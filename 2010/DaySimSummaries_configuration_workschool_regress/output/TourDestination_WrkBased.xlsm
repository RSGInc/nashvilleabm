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U13" i="1" l="1"/>
  <c r="U26" i="1" s="1"/>
  <c r="S15" i="1"/>
  <c r="S28" i="1" s="1"/>
  <c r="N26" i="1"/>
  <c r="O26" i="1"/>
  <c r="P26" i="1"/>
  <c r="Q26" i="1"/>
  <c r="R26" i="1"/>
  <c r="S26" i="1"/>
  <c r="M26" i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S21" i="1"/>
  <c r="S22" i="1"/>
  <c r="S23" i="1"/>
  <c r="S24" i="1"/>
  <c r="S25" i="1"/>
  <c r="S20" i="1"/>
  <c r="C26" i="1" l="1"/>
  <c r="D26" i="1"/>
  <c r="B26" i="1"/>
  <c r="F26" i="1"/>
  <c r="H26" i="1"/>
  <c r="G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J24" i="1" l="1"/>
  <c r="J23" i="1"/>
  <c r="U22" i="1"/>
  <c r="H22" i="1"/>
  <c r="U20" i="1"/>
  <c r="H20" i="1"/>
  <c r="H21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E28" i="1" s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H28" i="1" l="1"/>
  <c r="S34" i="1"/>
  <c r="O39" i="1"/>
  <c r="R39" i="1"/>
  <c r="S35" i="1"/>
  <c r="S36" i="1"/>
  <c r="S33" i="1"/>
  <c r="N39" i="1"/>
  <c r="P39" i="1"/>
  <c r="M39" i="1"/>
  <c r="S37" i="1"/>
  <c r="S38" i="1"/>
  <c r="S39" i="1"/>
  <c r="Q39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F32" i="4" l="1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H35" i="1" l="1"/>
  <c r="AD35" i="1" s="1"/>
  <c r="H37" i="1"/>
  <c r="AD37" i="1" s="1"/>
  <c r="H38" i="1"/>
  <c r="AD38" i="1" s="1"/>
  <c r="H34" i="1"/>
  <c r="AD34" i="1" s="1"/>
  <c r="H36" i="1"/>
  <c r="AD36" i="1" s="1"/>
  <c r="H33" i="1"/>
  <c r="AD33" i="1" s="1"/>
  <c r="H39" i="1"/>
  <c r="AD39" i="1" s="1"/>
  <c r="B39" i="1"/>
  <c r="X39" i="1" s="1"/>
  <c r="C39" i="1"/>
  <c r="Y39" i="1" s="1"/>
  <c r="G39" i="1"/>
  <c r="AC39" i="1" s="1"/>
  <c r="E39" i="1"/>
  <c r="AA39" i="1" s="1"/>
  <c r="F39" i="1"/>
  <c r="AB39" i="1" s="1"/>
  <c r="D39" i="1"/>
  <c r="Z39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</calcChain>
</file>

<file path=xl/sharedStrings.xml><?xml version="1.0" encoding="utf-8"?>
<sst xmlns="http://schemas.openxmlformats.org/spreadsheetml/2006/main" count="123" uniqueCount="60">
  <si>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</si>
  <si>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</si>
  <si>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</si>
  <si>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</si>
  <si>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</si>
  <si>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</si>
  <si>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</si>
  <si>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</si>
  <si>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</si>
  <si>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</si>
  <si>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</si>
  <si>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</si>
  <si>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</si>
  <si>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</si>
  <si>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</si>
  <si>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</si>
  <si>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</si>
  <si>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</si>
  <si>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</si>
  <si>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</si>
  <si>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</si>
  <si>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</si>
  <si>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</si>
  <si>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</si>
  <si>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</si>
  <si>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</si>
  <si>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</si>
  <si>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</si>
  <si>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</si>
  <si>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</si>
  <si>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</si>
  <si>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</si>
  <si>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</si>
  <si>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</si>
  <si>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</si>
  <si>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</si>
  <si>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</si>
  <si>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</si>
  <si>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</si>
  <si>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</si>
  <si>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</si>
  <si>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</si>
  <si>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</si>
  <si>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</si>
  <si>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</si>
  <si>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</si>
  <si>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</si>
  <si>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</si>
  <si>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</si>
  <si>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</si>
  <si>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</si>
  <si>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</si>
  <si>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</si>
  <si>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</si>
  <si>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</si>
  <si>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</si>
  <si>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</si>
  <si>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</si>
  <si>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</si>
  <si>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Table X. Work-based 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</si>
</sst>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7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0.23577866339755182</c:v>
                </c:pt>
                <c:pt idx="1">
                  <c:v>0.19012636538609307</c:v>
                </c:pt>
                <c:pt idx="2">
                  <c:v>0.14640094808133852</c:v>
                </c:pt>
                <c:pt idx="3">
                  <c:v>0.10723124569248255</c:v>
                </c:pt>
                <c:pt idx="4">
                  <c:v>7.5427444301328861E-2</c:v>
                </c:pt>
                <c:pt idx="5">
                  <c:v>5.2543308981674759E-2</c:v>
                </c:pt>
                <c:pt idx="6">
                  <c:v>3.7946685519961734E-2</c:v>
                </c:pt>
                <c:pt idx="7">
                  <c:v>2.9276581341297358E-2</c:v>
                </c:pt>
                <c:pt idx="8">
                  <c:v>2.3806226519261897E-2</c:v>
                </c:pt>
                <c:pt idx="9">
                  <c:v>1.9603770894940285E-2</c:v>
                </c:pt>
                <c:pt idx="10">
                  <c:v>1.5854013188677837E-2</c:v>
                </c:pt>
                <c:pt idx="11">
                  <c:v>1.2492538917460199E-2</c:v>
                </c:pt>
                <c:pt idx="12">
                  <c:v>9.6691135513604348E-3</c:v>
                </c:pt>
                <c:pt idx="13">
                  <c:v>7.4259683374395214E-3</c:v>
                </c:pt>
                <c:pt idx="14">
                  <c:v>5.66376023161073E-3</c:v>
                </c:pt>
                <c:pt idx="15">
                  <c:v>4.2521729938579441E-3</c:v>
                </c:pt>
                <c:pt idx="16">
                  <c:v>3.1179963183214235E-3</c:v>
                </c:pt>
                <c:pt idx="17">
                  <c:v>2.248018474110592E-3</c:v>
                </c:pt>
                <c:pt idx="18">
                  <c:v>1.6434071185588029E-3</c:v>
                </c:pt>
                <c:pt idx="19">
                  <c:v>1.2799508795064767E-3</c:v>
                </c:pt>
                <c:pt idx="20">
                  <c:v>1.0983785120353734E-3</c:v>
                </c:pt>
                <c:pt idx="21">
                  <c:v>1.0254159936811753E-3</c:v>
                </c:pt>
                <c:pt idx="22">
                  <c:v>1.0096510923342319E-3</c:v>
                </c:pt>
                <c:pt idx="23">
                  <c:v>1.0413895282462139E-3</c:v>
                </c:pt>
                <c:pt idx="24">
                  <c:v>1.1364824437340218E-3</c:v>
                </c:pt>
                <c:pt idx="25">
                  <c:v>1.2981587441210545E-3</c:v>
                </c:pt>
                <c:pt idx="26">
                  <c:v>1.4880234870755635E-3</c:v>
                </c:pt>
                <c:pt idx="27">
                  <c:v>1.6264487887538875E-3</c:v>
                </c:pt>
                <c:pt idx="28">
                  <c:v>1.6268484223626984E-3</c:v>
                </c:pt>
                <c:pt idx="29">
                  <c:v>1.4499865994860566E-3</c:v>
                </c:pt>
                <c:pt idx="30">
                  <c:v>1.1393637780187809E-3</c:v>
                </c:pt>
                <c:pt idx="31">
                  <c:v>8.0006134320600455E-4</c:v>
                </c:pt>
                <c:pt idx="32">
                  <c:v>5.3225194318690496E-4</c:v>
                </c:pt>
                <c:pt idx="33">
                  <c:v>3.7647773399374432E-4</c:v>
                </c:pt>
                <c:pt idx="34">
                  <c:v>3.1213622446727075E-4</c:v>
                </c:pt>
                <c:pt idx="35">
                  <c:v>2.9497911448824051E-4</c:v>
                </c:pt>
                <c:pt idx="36">
                  <c:v>2.9101156007971946E-4</c:v>
                </c:pt>
                <c:pt idx="37">
                  <c:v>2.8404814263137819E-4</c:v>
                </c:pt>
                <c:pt idx="38">
                  <c:v>2.665683878108904E-4</c:v>
                </c:pt>
                <c:pt idx="39">
                  <c:v>2.3330576810992953E-4</c:v>
                </c:pt>
                <c:pt idx="40">
                  <c:v>1.8387878709586253E-4</c:v>
                </c:pt>
                <c:pt idx="41">
                  <c:v>1.2634353323647186E-4</c:v>
                </c:pt>
                <c:pt idx="42">
                  <c:v>7.3686753877242261E-5</c:v>
                </c:pt>
                <c:pt idx="43">
                  <c:v>3.5710965792177096E-5</c:v>
                </c:pt>
                <c:pt idx="44">
                  <c:v>1.4438489889487556E-5</c:v>
                </c:pt>
                <c:pt idx="45">
                  <c:v>6.3470628834857487E-6</c:v>
                </c:pt>
                <c:pt idx="46">
                  <c:v>7.5381305688719855E-6</c:v>
                </c:pt>
                <c:pt idx="47">
                  <c:v>1.6499403628455487E-5</c:v>
                </c:pt>
                <c:pt idx="48">
                  <c:v>3.2682775869368769E-5</c:v>
                </c:pt>
                <c:pt idx="49">
                  <c:v>5.3081913278741561E-5</c:v>
                </c:pt>
                <c:pt idx="50">
                  <c:v>7.0774716223127041E-5</c:v>
                </c:pt>
                <c:pt idx="51">
                  <c:v>7.7852187845439737E-5</c:v>
                </c:pt>
                <c:pt idx="52">
                  <c:v>7.0774716223127041E-5</c:v>
                </c:pt>
                <c:pt idx="53">
                  <c:v>5.3081037167345274E-5</c:v>
                </c:pt>
                <c:pt idx="54">
                  <c:v>3.2665253641443243E-5</c:v>
                </c:pt>
                <c:pt idx="55">
                  <c:v>1.6332626820721625E-5</c:v>
                </c:pt>
                <c:pt idx="56">
                  <c:v>6.5330507282886512E-6</c:v>
                </c:pt>
                <c:pt idx="57">
                  <c:v>2.0415783525902031E-6</c:v>
                </c:pt>
                <c:pt idx="58">
                  <c:v>4.8037137708004781E-7</c:v>
                </c:pt>
                <c:pt idx="59">
                  <c:v>8.0061896180007974E-8</c:v>
                </c:pt>
                <c:pt idx="60">
                  <c:v>8.4275680189482088E-9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0.18075155623635239</c:v>
                </c:pt>
                <c:pt idx="1">
                  <c:v>0.15275559756216797</c:v>
                </c:pt>
                <c:pt idx="2">
                  <c:v>0.13362448261252158</c:v>
                </c:pt>
                <c:pt idx="3">
                  <c:v>0.11513433062825235</c:v>
                </c:pt>
                <c:pt idx="4">
                  <c:v>8.6888505035361607E-2</c:v>
                </c:pt>
                <c:pt idx="5">
                  <c:v>6.3922476072526588E-2</c:v>
                </c:pt>
                <c:pt idx="6">
                  <c:v>5.1114080544058055E-2</c:v>
                </c:pt>
                <c:pt idx="7">
                  <c:v>3.9761431411530816E-2</c:v>
                </c:pt>
                <c:pt idx="8">
                  <c:v>2.9028017686232331E-2</c:v>
                </c:pt>
                <c:pt idx="9">
                  <c:v>2.5073602103227628E-2</c:v>
                </c:pt>
                <c:pt idx="10">
                  <c:v>1.9793805473171899E-2</c:v>
                </c:pt>
                <c:pt idx="11">
                  <c:v>1.5546067855164098E-2</c:v>
                </c:pt>
                <c:pt idx="12">
                  <c:v>1.2699757737726646E-2</c:v>
                </c:pt>
                <c:pt idx="13">
                  <c:v>1.0559593260111463E-2</c:v>
                </c:pt>
                <c:pt idx="14">
                  <c:v>8.3325185499027697E-3</c:v>
                </c:pt>
                <c:pt idx="15">
                  <c:v>8.6367043639800547E-3</c:v>
                </c:pt>
                <c:pt idx="16">
                  <c:v>6.7464068050712119E-3</c:v>
                </c:pt>
                <c:pt idx="17">
                  <c:v>5.4753446533911286E-3</c:v>
                </c:pt>
                <c:pt idx="18">
                  <c:v>5.0516572694977672E-3</c:v>
                </c:pt>
                <c:pt idx="19">
                  <c:v>4.2042825017110453E-3</c:v>
                </c:pt>
                <c:pt idx="20">
                  <c:v>2.8028550011406968E-3</c:v>
                </c:pt>
                <c:pt idx="21">
                  <c:v>2.6724896522504317E-3</c:v>
                </c:pt>
                <c:pt idx="22">
                  <c:v>2.2270747102086934E-3</c:v>
                </c:pt>
                <c:pt idx="23">
                  <c:v>1.7382046518701997E-3</c:v>
                </c:pt>
                <c:pt idx="24">
                  <c:v>1.6187030820541232E-3</c:v>
                </c:pt>
                <c:pt idx="25">
                  <c:v>1.6295668611283121E-3</c:v>
                </c:pt>
                <c:pt idx="26">
                  <c:v>1.3688361633477821E-3</c:v>
                </c:pt>
                <c:pt idx="27">
                  <c:v>1.5426566285348022E-3</c:v>
                </c:pt>
                <c:pt idx="28">
                  <c:v>1.4883377331638584E-3</c:v>
                </c:pt>
                <c:pt idx="29">
                  <c:v>1.2927897098284609E-3</c:v>
                </c:pt>
                <c:pt idx="30">
                  <c:v>1.162424360938196E-3</c:v>
                </c:pt>
                <c:pt idx="31">
                  <c:v>1.0211952329737422E-3</c:v>
                </c:pt>
                <c:pt idx="32">
                  <c:v>8.4737476778672224E-4</c:v>
                </c:pt>
                <c:pt idx="33">
                  <c:v>6.5182674445132479E-4</c:v>
                </c:pt>
                <c:pt idx="34">
                  <c:v>4.1282360481917238E-4</c:v>
                </c:pt>
                <c:pt idx="35">
                  <c:v>3.3677715129985119E-4</c:v>
                </c:pt>
                <c:pt idx="36">
                  <c:v>3.910960466707949E-4</c:v>
                </c:pt>
                <c:pt idx="37">
                  <c:v>2.6073069778052995E-4</c:v>
                </c:pt>
                <c:pt idx="38">
                  <c:v>2.0641180240958619E-4</c:v>
                </c:pt>
                <c:pt idx="39">
                  <c:v>2.281393605579637E-4</c:v>
                </c:pt>
                <c:pt idx="40">
                  <c:v>2.281393605579637E-4</c:v>
                </c:pt>
                <c:pt idx="41">
                  <c:v>7.6046453519321229E-5</c:v>
                </c:pt>
                <c:pt idx="42">
                  <c:v>1.0863779074188748E-4</c:v>
                </c:pt>
                <c:pt idx="43">
                  <c:v>1.0863779074188748E-4</c:v>
                </c:pt>
                <c:pt idx="44">
                  <c:v>7.6046453519321229E-5</c:v>
                </c:pt>
                <c:pt idx="45">
                  <c:v>6.5182674445132488E-5</c:v>
                </c:pt>
                <c:pt idx="46">
                  <c:v>7.6046453519321229E-5</c:v>
                </c:pt>
                <c:pt idx="47">
                  <c:v>1.0863779074188748E-5</c:v>
                </c:pt>
                <c:pt idx="48">
                  <c:v>3.2591337222566244E-5</c:v>
                </c:pt>
                <c:pt idx="49">
                  <c:v>5.431889537094374E-5</c:v>
                </c:pt>
                <c:pt idx="50">
                  <c:v>2.1727558148377496E-5</c:v>
                </c:pt>
                <c:pt idx="51">
                  <c:v>3.2591337222566244E-5</c:v>
                </c:pt>
                <c:pt idx="52">
                  <c:v>3.2591337222566244E-5</c:v>
                </c:pt>
                <c:pt idx="53">
                  <c:v>2.1727558148377496E-5</c:v>
                </c:pt>
                <c:pt idx="54">
                  <c:v>0</c:v>
                </c:pt>
                <c:pt idx="55">
                  <c:v>1.0863779074188748E-5</c:v>
                </c:pt>
                <c:pt idx="56">
                  <c:v>1.0863779074188748E-5</c:v>
                </c:pt>
                <c:pt idx="57">
                  <c:v>0</c:v>
                </c:pt>
                <c:pt idx="58">
                  <c:v>1.0863779074188748E-5</c:v>
                </c:pt>
                <c:pt idx="59">
                  <c:v>1.0863779074188748E-5</c:v>
                </c:pt>
                <c:pt idx="60">
                  <c:v>1.0863779074188748E-5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41280"/>
        <c:axId val="153831680"/>
      </c:lineChart>
      <c:catAx>
        <c:axId val="191841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18412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2.327259431506137E-2</c:v>
                </c:pt>
                <c:pt idx="2">
                  <c:v>4.8067448536688873E-2</c:v>
                </c:pt>
                <c:pt idx="3">
                  <c:v>7.3248685610845285E-2</c:v>
                </c:pt>
                <c:pt idx="4">
                  <c:v>9.4517066588236831E-2</c:v>
                </c:pt>
                <c:pt idx="5">
                  <c:v>0.10659510369434089</c:v>
                </c:pt>
                <c:pt idx="6">
                  <c:v>0.10652547969182469</c:v>
                </c:pt>
                <c:pt idx="7">
                  <c:v>9.5581885387273857E-2</c:v>
                </c:pt>
                <c:pt idx="8">
                  <c:v>7.8450788428163568E-2</c:v>
                </c:pt>
                <c:pt idx="9">
                  <c:v>6.056537860522726E-2</c:v>
                </c:pt>
                <c:pt idx="10">
                  <c:v>4.5687918871358459E-2</c:v>
                </c:pt>
                <c:pt idx="11">
                  <c:v>3.513492484084383E-2</c:v>
                </c:pt>
                <c:pt idx="12">
                  <c:v>2.8474105979543401E-2</c:v>
                </c:pt>
                <c:pt idx="13">
                  <c:v>2.4627552843624678E-2</c:v>
                </c:pt>
                <c:pt idx="14">
                  <c:v>2.2537095278130689E-2</c:v>
                </c:pt>
                <c:pt idx="15">
                  <c:v>2.127968744143208E-2</c:v>
                </c:pt>
                <c:pt idx="16">
                  <c:v>2.0016613083666094E-2</c:v>
                </c:pt>
                <c:pt idx="17">
                  <c:v>1.8113239592388052E-2</c:v>
                </c:pt>
                <c:pt idx="18">
                  <c:v>1.5386250932272633E-2</c:v>
                </c:pt>
                <c:pt idx="19">
                  <c:v>1.2186834102959027E-2</c:v>
                </c:pt>
                <c:pt idx="20">
                  <c:v>9.162873448185822E-3</c:v>
                </c:pt>
                <c:pt idx="21">
                  <c:v>6.8605309813450713E-3</c:v>
                </c:pt>
                <c:pt idx="22">
                  <c:v>5.4575100811408098E-3</c:v>
                </c:pt>
                <c:pt idx="23">
                  <c:v>4.7671119776507235E-3</c:v>
                </c:pt>
                <c:pt idx="24">
                  <c:v>4.4275542064254689E-3</c:v>
                </c:pt>
                <c:pt idx="25">
                  <c:v>4.1088589932848163E-3</c:v>
                </c:pt>
                <c:pt idx="26">
                  <c:v>3.6319161353424662E-3</c:v>
                </c:pt>
                <c:pt idx="27">
                  <c:v>2.9837471191222712E-3</c:v>
                </c:pt>
                <c:pt idx="28">
                  <c:v>2.2623560362115057E-3</c:v>
                </c:pt>
                <c:pt idx="29">
                  <c:v>1.5986002259480981E-3</c:v>
                </c:pt>
                <c:pt idx="30">
                  <c:v>1.095352761516364E-3</c:v>
                </c:pt>
                <c:pt idx="31">
                  <c:v>8.0320747384581763E-4</c:v>
                </c:pt>
                <c:pt idx="32">
                  <c:v>7.2909651925127114E-4</c:v>
                </c:pt>
                <c:pt idx="33">
                  <c:v>8.5761220571856187E-4</c:v>
                </c:pt>
                <c:pt idx="34">
                  <c:v>1.1589106899446298E-3</c:v>
                </c:pt>
                <c:pt idx="35">
                  <c:v>1.5723144878267187E-3</c:v>
                </c:pt>
                <c:pt idx="36">
                  <c:v>1.9881368771145309E-3</c:v>
                </c:pt>
                <c:pt idx="37">
                  <c:v>2.2665410818228831E-3</c:v>
                </c:pt>
                <c:pt idx="38">
                  <c:v>2.3015717641315016E-3</c:v>
                </c:pt>
                <c:pt idx="39">
                  <c:v>2.0858657561461488E-3</c:v>
                </c:pt>
                <c:pt idx="40">
                  <c:v>1.7165345167264722E-3</c:v>
                </c:pt>
                <c:pt idx="41">
                  <c:v>1.3297999828067214E-3</c:v>
                </c:pt>
                <c:pt idx="42">
                  <c:v>1.0179032012981096E-3</c:v>
                </c:pt>
                <c:pt idx="43">
                  <c:v>7.968718137115106E-4</c:v>
                </c:pt>
                <c:pt idx="44">
                  <c:v>6.3885950308598572E-4</c:v>
                </c:pt>
                <c:pt idx="45">
                  <c:v>5.1951665100788489E-4</c:v>
                </c:pt>
                <c:pt idx="46">
                  <c:v>4.3144340482491073E-4</c:v>
                </c:pt>
                <c:pt idx="47">
                  <c:v>3.6868604064364564E-4</c:v>
                </c:pt>
                <c:pt idx="48">
                  <c:v>3.1863256301000999E-4</c:v>
                </c:pt>
                <c:pt idx="49">
                  <c:v>2.7327912202627794E-4</c:v>
                </c:pt>
                <c:pt idx="50">
                  <c:v>2.3828610413578576E-4</c:v>
                </c:pt>
                <c:pt idx="51">
                  <c:v>2.2339547246021734E-4</c:v>
                </c:pt>
                <c:pt idx="52">
                  <c:v>2.2633110788548115E-4</c:v>
                </c:pt>
                <c:pt idx="53">
                  <c:v>2.3082227270431415E-4</c:v>
                </c:pt>
                <c:pt idx="54">
                  <c:v>2.2004849432965911E-4</c:v>
                </c:pt>
                <c:pt idx="55">
                  <c:v>1.8918163680307923E-4</c:v>
                </c:pt>
                <c:pt idx="56">
                  <c:v>1.4549516241147689E-4</c:v>
                </c:pt>
                <c:pt idx="57">
                  <c:v>1.001411481230872E-4</c:v>
                </c:pt>
                <c:pt idx="58">
                  <c:v>6.1410968333174302E-5</c:v>
                </c:pt>
                <c:pt idx="59">
                  <c:v>3.305464566992444E-5</c:v>
                </c:pt>
                <c:pt idx="60">
                  <c:v>1.523382660706403E-5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5.931623374507056E-3</c:v>
                </c:pt>
                <c:pt idx="1">
                  <c:v>2.1455963671522776E-2</c:v>
                </c:pt>
                <c:pt idx="2">
                  <c:v>3.0929179024215363E-2</c:v>
                </c:pt>
                <c:pt idx="3">
                  <c:v>4.6833751588827688E-2</c:v>
                </c:pt>
                <c:pt idx="4">
                  <c:v>6.6616693282925396E-2</c:v>
                </c:pt>
                <c:pt idx="5">
                  <c:v>7.8056252648046151E-2</c:v>
                </c:pt>
                <c:pt idx="6">
                  <c:v>8.1119838346967371E-2</c:v>
                </c:pt>
                <c:pt idx="7">
                  <c:v>7.8121435322491287E-2</c:v>
                </c:pt>
                <c:pt idx="8">
                  <c:v>6.8474399504611677E-2</c:v>
                </c:pt>
                <c:pt idx="9">
                  <c:v>6.4672076828645619E-2</c:v>
                </c:pt>
                <c:pt idx="10">
                  <c:v>5.9653010896370415E-2</c:v>
                </c:pt>
                <c:pt idx="11">
                  <c:v>5.2406870253886517E-2</c:v>
                </c:pt>
                <c:pt idx="12">
                  <c:v>4.3335614726938913E-2</c:v>
                </c:pt>
                <c:pt idx="13">
                  <c:v>3.355821356016904E-2</c:v>
                </c:pt>
                <c:pt idx="14">
                  <c:v>3.1342002629034534E-2</c:v>
                </c:pt>
                <c:pt idx="15">
                  <c:v>2.7192039022694434E-2</c:v>
                </c:pt>
                <c:pt idx="16">
                  <c:v>2.4823735184521287E-2</c:v>
                </c:pt>
                <c:pt idx="17">
                  <c:v>2.0815000706145639E-2</c:v>
                </c:pt>
                <c:pt idx="18">
                  <c:v>1.8663972449456268E-2</c:v>
                </c:pt>
                <c:pt idx="19">
                  <c:v>1.5491748959793154E-2</c:v>
                </c:pt>
                <c:pt idx="20">
                  <c:v>1.430759704070658E-2</c:v>
                </c:pt>
                <c:pt idx="21">
                  <c:v>1.3090853784397441E-2</c:v>
                </c:pt>
                <c:pt idx="22">
                  <c:v>1.2254342795684907E-2</c:v>
                </c:pt>
                <c:pt idx="23">
                  <c:v>9.8317200621408155E-3</c:v>
                </c:pt>
                <c:pt idx="24">
                  <c:v>8.6910232593509981E-3</c:v>
                </c:pt>
                <c:pt idx="25">
                  <c:v>7.9957413986029187E-3</c:v>
                </c:pt>
                <c:pt idx="26">
                  <c:v>6.3879020956229835E-3</c:v>
                </c:pt>
                <c:pt idx="27">
                  <c:v>5.7252115720974701E-3</c:v>
                </c:pt>
                <c:pt idx="28">
                  <c:v>5.225477734684787E-3</c:v>
                </c:pt>
                <c:pt idx="29">
                  <c:v>4.584514769307651E-3</c:v>
                </c:pt>
                <c:pt idx="30">
                  <c:v>3.7805951178176839E-3</c:v>
                </c:pt>
                <c:pt idx="31">
                  <c:v>3.4546817455920215E-3</c:v>
                </c:pt>
                <c:pt idx="32">
                  <c:v>3.5198644200371541E-3</c:v>
                </c:pt>
                <c:pt idx="33">
                  <c:v>3.0418581407728493E-3</c:v>
                </c:pt>
                <c:pt idx="34">
                  <c:v>2.5855794196569218E-3</c:v>
                </c:pt>
                <c:pt idx="35">
                  <c:v>2.5638518615085444E-3</c:v>
                </c:pt>
                <c:pt idx="36">
                  <c:v>1.8359786635378983E-3</c:v>
                </c:pt>
                <c:pt idx="37">
                  <c:v>1.8794337798346532E-3</c:v>
                </c:pt>
                <c:pt idx="38">
                  <c:v>1.7056133146476334E-3</c:v>
                </c:pt>
                <c:pt idx="39">
                  <c:v>1.7273408727960108E-3</c:v>
                </c:pt>
                <c:pt idx="40">
                  <c:v>1.5535204076089909E-3</c:v>
                </c:pt>
                <c:pt idx="41">
                  <c:v>1.4883377331638584E-3</c:v>
                </c:pt>
                <c:pt idx="42">
                  <c:v>1.4340188377929147E-3</c:v>
                </c:pt>
                <c:pt idx="43">
                  <c:v>1.2927897098284609E-3</c:v>
                </c:pt>
                <c:pt idx="44">
                  <c:v>1.0429227911221198E-3</c:v>
                </c:pt>
                <c:pt idx="45">
                  <c:v>1.0429227911221198E-3</c:v>
                </c:pt>
                <c:pt idx="46">
                  <c:v>9.5601255852860976E-4</c:v>
                </c:pt>
                <c:pt idx="47">
                  <c:v>6.5182674445132479E-4</c:v>
                </c:pt>
                <c:pt idx="48">
                  <c:v>7.1700941889645735E-4</c:v>
                </c:pt>
                <c:pt idx="49">
                  <c:v>7.821920933415898E-4</c:v>
                </c:pt>
                <c:pt idx="50">
                  <c:v>5.8664407000619235E-4</c:v>
                </c:pt>
                <c:pt idx="51">
                  <c:v>6.9528186074807987E-4</c:v>
                </c:pt>
                <c:pt idx="52">
                  <c:v>5.6491651185781486E-4</c:v>
                </c:pt>
                <c:pt idx="53">
                  <c:v>4.1282360481917238E-4</c:v>
                </c:pt>
                <c:pt idx="54">
                  <c:v>3.1504959315147366E-4</c:v>
                </c:pt>
                <c:pt idx="55">
                  <c:v>3.5850470944822867E-4</c:v>
                </c:pt>
                <c:pt idx="56">
                  <c:v>3.259133722256624E-4</c:v>
                </c:pt>
                <c:pt idx="57">
                  <c:v>2.6073069778052995E-4</c:v>
                </c:pt>
                <c:pt idx="58">
                  <c:v>1.8468424426120871E-4</c:v>
                </c:pt>
                <c:pt idx="59">
                  <c:v>1.629566861128312E-4</c:v>
                </c:pt>
                <c:pt idx="60">
                  <c:v>1.8468424426120871E-4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3408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2"/>
  <sheetViews>
    <sheetView workbookViewId="0">
      <selection activeCell="P9" sqref="P9:R14"/>
    </sheetView>
  </sheetViews>
  <sheetFormatPr defaultRowHeight="15" x14ac:dyDescent="0.25"/>
  <cols>
    <col min="1" max="1" customWidth="true" width="13.5703125" collapsed="true"/>
  </cols>
  <sheetData>
    <row r="1" spans="1:18" x14ac:dyDescent="0.25">
      <c r="A1" t="s">
        <v>1</v>
      </c>
    </row>
    <row r="2" spans="1:18" x14ac:dyDescent="0.25">
      <c r="A2" t="s">
        <v>50</v>
      </c>
    </row>
    <row r="3" spans="1:18" x14ac:dyDescent="0.25">
      <c r="A3" t="s">
        <v>6</v>
      </c>
    </row>
    <row r="4" spans="1:18" x14ac:dyDescent="0.25">
      <c r="A4" t="s">
        <v>5</v>
      </c>
    </row>
    <row r="5" spans="1:18" x14ac:dyDescent="0.25">
      <c r="A5" t="s">
        <v>7</v>
      </c>
    </row>
    <row r="6" spans="1:18" x14ac:dyDescent="0.25">
      <c r="A6" t="s">
        <v>8</v>
      </c>
    </row>
    <row r="7" spans="1:18" x14ac:dyDescent="0.25">
      <c r="A7" t="s">
        <v>16</v>
      </c>
    </row>
    <row r="9" spans="1:18" ht="15.75" thickBot="1" x14ac:dyDescent="0.3">
      <c r="A9" s="4" t="s">
        <v>51</v>
      </c>
      <c r="B9" s="1"/>
      <c r="C9" s="1"/>
      <c r="D9" s="1"/>
      <c r="E9" s="1"/>
      <c r="F9" s="1"/>
      <c r="H9" s="4" t="s">
        <v>17</v>
      </c>
      <c r="I9" s="1"/>
      <c r="J9" s="1"/>
      <c r="K9" s="1"/>
      <c r="L9" s="1"/>
      <c r="M9" s="1"/>
      <c r="P9" s="10" t="s">
        <v>24</v>
      </c>
    </row>
    <row r="10" spans="1:18" x14ac:dyDescent="0.2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21733.128222169344</v>
      </c>
      <c r="C11" s="8" t="n">
        <v>319.27464824035553</v>
      </c>
      <c r="D11" s="8" t="n">
        <v>68.9537333154379</v>
      </c>
      <c r="E11" s="8">
        <f>SUM(B11:D11)</f>
        <v>22121.356603725137</v>
      </c>
      <c r="F11" s="21">
        <f>E11/$E$102</f>
        <v>0.23577866339755182</v>
      </c>
      <c r="H11" s="23">
        <v>0</v>
      </c>
      <c r="I11" s="113" t="n">
        <v>13632.0</v>
      </c>
      <c r="J11" s="203" t="n">
        <v>1030.0</v>
      </c>
      <c r="K11" s="293" t="n">
        <v>412.0</v>
      </c>
      <c r="L11">
        <f>SUM(I11:K11)</f>
        <v>16638</v>
      </c>
      <c r="M11" s="21">
        <f>L11/$L$102</f>
        <v>0.18075155623635239</v>
      </c>
      <c r="P11" t="s">
        <v>13</v>
      </c>
      <c r="Q11" s="8" t="n">
        <v>3.6456152790397542</v>
      </c>
      <c r="R11" s="8" t="n">
        <v>4.15996619079273</v>
      </c>
    </row>
    <row r="12" spans="1:18" x14ac:dyDescent="0.25">
      <c r="A12">
        <v>1</v>
      </c>
      <c r="B12" s="8" t="n">
        <v>17354.98496958795</v>
      </c>
      <c r="C12" s="8" t="n">
        <v>417.92905912454444</v>
      </c>
      <c r="D12" s="8" t="n">
        <v>65.22733603144891</v>
      </c>
      <c r="E12" s="8">
        <f t="shared" ref="E12:E75" si="0">SUM(B12:D12)</f>
        <v>17838.141364743944</v>
      </c>
      <c r="F12" s="21">
        <f t="shared" ref="F12:F75" si="1">E12/$E$102</f>
        <v>0.19012636538609307</v>
      </c>
      <c r="H12" s="24">
        <v>1</v>
      </c>
      <c r="I12" s="114" t="n">
        <v>14831.0</v>
      </c>
      <c r="J12" s="204" t="n">
        <v>1174.0</v>
      </c>
      <c r="K12" s="294" t="n">
        <v>382.0</v>
      </c>
      <c r="L12">
        <f t="shared" ref="L12:L75" si="2">SUM(I12:K12)</f>
        <v>14061</v>
      </c>
      <c r="M12" s="21">
        <f t="shared" ref="M12:M75" si="3">L12/$L$102</f>
        <v>0.15275559756216797</v>
      </c>
      <c r="P12" t="s">
        <v>14</v>
      </c>
      <c r="Q12" s="8" t="n">
        <v>4.445262847740009</v>
      </c>
      <c r="R12" s="8" t="n">
        <v>3.8321463212189126</v>
      </c>
    </row>
    <row r="13" spans="1:18" x14ac:dyDescent="0.25">
      <c r="A13">
        <v>2</v>
      </c>
      <c r="B13" s="8" t="n">
        <v>13208.205118960781</v>
      </c>
      <c r="C13" s="8" t="n">
        <v>469.3944737051212</v>
      </c>
      <c r="D13" s="8" t="n">
        <v>58.11140409245128</v>
      </c>
      <c r="E13" s="8">
        <f t="shared" si="0"/>
        <v>13735.710996758353</v>
      </c>
      <c r="F13" s="21">
        <f t="shared" si="1"/>
        <v>0.14640094808133852</v>
      </c>
      <c r="H13" s="25">
        <v>2</v>
      </c>
      <c r="I13" s="115" t="n">
        <v>14667.0</v>
      </c>
      <c r="J13" s="205" t="n">
        <v>1157.0</v>
      </c>
      <c r="K13" s="295" t="n">
        <v>425.0</v>
      </c>
      <c r="L13">
        <f t="shared" si="2"/>
        <v>12300</v>
      </c>
      <c r="M13" s="21">
        <f t="shared" si="3"/>
        <v>0.13362448261252158</v>
      </c>
      <c r="P13" s="6" t="s">
        <v>15</v>
      </c>
      <c r="Q13" s="11" t="n">
        <v>2.0697293217214057</v>
      </c>
      <c r="R13" s="11" t="n">
        <v>3.6397125979119904</v>
      </c>
    </row>
    <row r="14" spans="1:18" ht="15.75" thickBot="1" x14ac:dyDescent="0.3">
      <c r="A14">
        <v>3</v>
      </c>
      <c r="B14" s="8" t="n">
        <v>9559.369416052285</v>
      </c>
      <c r="C14" s="8" t="n">
        <v>454.75794536440145</v>
      </c>
      <c r="D14" s="8" t="n">
        <v>46.58208041019466</v>
      </c>
      <c r="E14" s="8">
        <f t="shared" si="0"/>
        <v>10060.709441826881</v>
      </c>
      <c r="F14" s="21">
        <f t="shared" si="1"/>
        <v>0.10723124569248255</v>
      </c>
      <c r="H14" s="26">
        <v>3</v>
      </c>
      <c r="I14" s="116" t="n">
        <v>10324.0</v>
      </c>
      <c r="J14" s="206" t="n">
        <v>771.0</v>
      </c>
      <c r="K14" s="296" t="n">
        <v>298.0</v>
      </c>
      <c r="L14">
        <f t="shared" si="2"/>
        <v>10598</v>
      </c>
      <c r="M14" s="21">
        <f t="shared" si="3"/>
        <v>0.11513433062825235</v>
      </c>
      <c r="P14" s="1" t="s">
        <v>4</v>
      </c>
      <c r="Q14" s="9" t="n">
        <v>3.6818248241465112</v>
      </c>
      <c r="R14" s="9" t="n">
        <v>4.125547659708375</v>
      </c>
    </row>
    <row r="15" spans="1:18" x14ac:dyDescent="0.25">
      <c r="A15">
        <v>4</v>
      </c>
      <c r="B15" s="8" t="n">
        <v>6654.745547671291</v>
      </c>
      <c r="C15" s="8" t="n">
        <v>389.48644082254475</v>
      </c>
      <c r="D15" s="8" t="n">
        <v>32.56354954820567</v>
      </c>
      <c r="E15" s="8">
        <f t="shared" si="0"/>
        <v>7076.7955380420417</v>
      </c>
      <c r="F15" s="21">
        <f t="shared" si="1"/>
        <v>7.5427444301328861E-2</v>
      </c>
      <c r="H15" s="27">
        <v>4</v>
      </c>
      <c r="I15" s="117" t="n">
        <v>7440.0</v>
      </c>
      <c r="J15" s="207" t="n">
        <v>548.0</v>
      </c>
      <c r="K15" s="297" t="n">
        <v>199.0</v>
      </c>
      <c r="L15">
        <f t="shared" si="2"/>
        <v>7998</v>
      </c>
      <c r="M15" s="21">
        <f t="shared" si="3"/>
        <v>8.6888505035361607E-2</v>
      </c>
    </row>
    <row r="16" spans="1:18" x14ac:dyDescent="0.25">
      <c r="A16">
        <v>5</v>
      </c>
      <c r="B16" s="8" t="n">
        <v>4603.972819915991</v>
      </c>
      <c r="C16" s="8" t="n">
        <v>306.36543451346057</v>
      </c>
      <c r="D16" s="8" t="n">
        <v>19.409239997179867</v>
      </c>
      <c r="E16" s="8">
        <f t="shared" si="0"/>
        <v>4929.7474944266314</v>
      </c>
      <c r="F16" s="21">
        <f t="shared" si="1"/>
        <v>5.2543308981674759E-2</v>
      </c>
      <c r="H16" s="28">
        <v>5</v>
      </c>
      <c r="I16" s="118" t="n">
        <v>5197.0</v>
      </c>
      <c r="J16" s="208" t="n">
        <v>390.0</v>
      </c>
      <c r="K16" s="298" t="n">
        <v>126.0</v>
      </c>
      <c r="L16">
        <f t="shared" si="2"/>
        <v>5884</v>
      </c>
      <c r="M16" s="21">
        <f t="shared" si="3"/>
        <v>6.3922476072526588E-2</v>
      </c>
    </row>
    <row r="17" spans="1:13" x14ac:dyDescent="0.25">
      <c r="A17">
        <v>6</v>
      </c>
      <c r="B17" s="8" t="n">
        <v>3317.539590840408</v>
      </c>
      <c r="C17" s="8" t="n">
        <v>233.04022272350355</v>
      </c>
      <c r="D17" s="8" t="n">
        <v>9.675173975400934</v>
      </c>
      <c r="E17" s="8">
        <f t="shared" si="0"/>
        <v>3560.2549875393124</v>
      </c>
      <c r="F17" s="21">
        <f t="shared" si="1"/>
        <v>3.7946685519961734E-2</v>
      </c>
      <c r="H17" s="29">
        <v>6</v>
      </c>
      <c r="I17" s="119" t="n">
        <v>3836.0</v>
      </c>
      <c r="J17" s="209" t="n">
        <v>237.0</v>
      </c>
      <c r="K17" s="299" t="n">
        <v>76.0</v>
      </c>
      <c r="L17">
        <f t="shared" si="2"/>
        <v>4705</v>
      </c>
      <c r="M17" s="21">
        <f t="shared" si="3"/>
        <v>5.1114080544058055E-2</v>
      </c>
    </row>
    <row r="18" spans="1:13" x14ac:dyDescent="0.25">
      <c r="A18">
        <v>7</v>
      </c>
      <c r="B18" s="8" t="n">
        <v>2561.7934787833437</v>
      </c>
      <c r="C18" s="8" t="n">
        <v>181.05633624670736</v>
      </c>
      <c r="D18" s="8" t="n">
        <v>3.953846744923465</v>
      </c>
      <c r="E18" s="8">
        <f t="shared" si="0"/>
        <v>2746.8036617749744</v>
      </c>
      <c r="F18" s="21">
        <f t="shared" si="1"/>
        <v>2.9276581341297358E-2</v>
      </c>
      <c r="H18" s="30">
        <v>7</v>
      </c>
      <c r="I18" s="120" t="n">
        <v>2685.0</v>
      </c>
      <c r="J18" s="210" t="n">
        <v>187.0</v>
      </c>
      <c r="K18" s="300" t="n">
        <v>61.0</v>
      </c>
      <c r="L18">
        <f t="shared" si="2"/>
        <v>3660</v>
      </c>
      <c r="M18" s="21">
        <f t="shared" si="3"/>
        <v>3.9761431411530816E-2</v>
      </c>
    </row>
    <row r="19" spans="1:13" x14ac:dyDescent="0.25">
      <c r="A19">
        <v>8</v>
      </c>
      <c r="B19" s="8" t="n">
        <v>2083.3194918814524</v>
      </c>
      <c r="C19" s="8" t="n">
        <v>148.94800517723127</v>
      </c>
      <c r="D19" s="8" t="n">
        <v>1.2934988050279967</v>
      </c>
      <c r="E19" s="8">
        <f t="shared" si="0"/>
        <v>2233.5609958637115</v>
      </c>
      <c r="F19" s="21">
        <f t="shared" si="1"/>
        <v>2.3806226519261897E-2</v>
      </c>
      <c r="H19" s="31">
        <v>8</v>
      </c>
      <c r="I19" s="121" t="n">
        <v>1940.0</v>
      </c>
      <c r="J19" s="211" t="n">
        <v>127.0</v>
      </c>
      <c r="K19" s="301" t="n">
        <v>41.0</v>
      </c>
      <c r="L19">
        <f t="shared" si="2"/>
        <v>2672</v>
      </c>
      <c r="M19" s="21">
        <f t="shared" si="3"/>
        <v>2.9028017686232331E-2</v>
      </c>
    </row>
    <row r="20" spans="1:13" x14ac:dyDescent="0.25">
      <c r="A20">
        <v>9</v>
      </c>
      <c r="B20" s="8" t="n">
        <v>1708.3812446918091</v>
      </c>
      <c r="C20" s="8" t="n">
        <v>130.56634702523644</v>
      </c>
      <c r="D20" s="8" t="n">
        <v>0.32828038972953355</v>
      </c>
      <c r="E20" s="8">
        <f t="shared" si="0"/>
        <v>1839.2758721067751</v>
      </c>
      <c r="F20" s="21">
        <f t="shared" si="1"/>
        <v>1.9603770894940285E-2</v>
      </c>
      <c r="H20" s="32">
        <v>9</v>
      </c>
      <c r="I20" s="122" t="n">
        <v>1484.0</v>
      </c>
      <c r="J20" s="212" t="n">
        <v>81.0</v>
      </c>
      <c r="K20" s="302" t="n">
        <v>22.0</v>
      </c>
      <c r="L20">
        <f t="shared" si="2"/>
        <v>2308</v>
      </c>
      <c r="M20" s="21">
        <f t="shared" si="3"/>
        <v>2.5073602103227628E-2</v>
      </c>
    </row>
    <row r="21" spans="1:13" x14ac:dyDescent="0.25">
      <c r="A21">
        <v>10</v>
      </c>
      <c r="B21" s="8" t="n">
        <v>1367.5041938864747</v>
      </c>
      <c r="C21" s="8" t="n">
        <v>119.89806255268134</v>
      </c>
      <c r="D21" s="8" t="n">
        <v>0.06176720559528943</v>
      </c>
      <c r="E21" s="8">
        <f t="shared" si="0"/>
        <v>1487.4640236447513</v>
      </c>
      <c r="F21" s="21">
        <f t="shared" si="1"/>
        <v>1.5854013188677837E-2</v>
      </c>
      <c r="H21" s="33">
        <v>10</v>
      </c>
      <c r="I21" s="123" t="n">
        <v>1143.0</v>
      </c>
      <c r="J21" s="213" t="n">
        <v>80.0</v>
      </c>
      <c r="K21" s="303" t="n">
        <v>18.0</v>
      </c>
      <c r="L21">
        <f t="shared" si="2"/>
        <v>1822</v>
      </c>
      <c r="M21" s="21">
        <f t="shared" si="3"/>
        <v>1.9793805473171899E-2</v>
      </c>
    </row>
    <row r="22" spans="1:13" x14ac:dyDescent="0.25">
      <c r="A22">
        <v>11</v>
      </c>
      <c r="B22" s="8" t="n">
        <v>1060.8289567167594</v>
      </c>
      <c r="C22" s="8" t="n">
        <v>111.24494556970009</v>
      </c>
      <c r="D22" s="8" t="n">
        <v>0.008016818697766798</v>
      </c>
      <c r="E22" s="8">
        <f t="shared" si="0"/>
        <v>1172.0819191051573</v>
      </c>
      <c r="F22" s="21">
        <f t="shared" si="1"/>
        <v>1.2492538917460199E-2</v>
      </c>
      <c r="H22" s="34">
        <v>11</v>
      </c>
      <c r="I22" s="124" t="n">
        <v>860.0</v>
      </c>
      <c r="J22" s="214" t="n">
        <v>52.0</v>
      </c>
      <c r="K22" s="304" t="n">
        <v>14.0</v>
      </c>
      <c r="L22">
        <f t="shared" si="2"/>
        <v>1431</v>
      </c>
      <c r="M22" s="21">
        <f t="shared" si="3"/>
        <v>1.5546067855164098E-2</v>
      </c>
    </row>
    <row r="23" spans="1:13" x14ac:dyDescent="0.25">
      <c r="A23">
        <v>12</v>
      </c>
      <c r="B23" s="8" t="n">
        <v>807.9832331816388</v>
      </c>
      <c r="C23" s="8" t="n">
        <v>99.19707522219852</v>
      </c>
      <c r="D23" s="8" t="n">
        <v>6.291303786458935E-4</v>
      </c>
      <c r="E23" s="8">
        <f t="shared" si="0"/>
        <v>907.1809375342159</v>
      </c>
      <c r="F23" s="21">
        <f t="shared" si="1"/>
        <v>9.6691135513604348E-3</v>
      </c>
      <c r="H23" s="35">
        <v>12</v>
      </c>
      <c r="I23" s="125" t="n">
        <v>739.0</v>
      </c>
      <c r="J23" s="215" t="n">
        <v>52.0</v>
      </c>
      <c r="K23" s="305" t="n">
        <v>13.0</v>
      </c>
      <c r="L23">
        <f t="shared" si="2"/>
        <v>1169</v>
      </c>
      <c r="M23" s="21">
        <f t="shared" si="3"/>
        <v>1.2699757737726646E-2</v>
      </c>
    </row>
    <row r="24" spans="1:13" x14ac:dyDescent="0.25">
      <c r="A24">
        <v>13</v>
      </c>
      <c r="B24" s="8" t="n">
        <v>615.8046241931911</v>
      </c>
      <c r="C24" s="8" t="n">
        <v>80.91867649506139</v>
      </c>
      <c r="D24" s="8" t="n">
        <v>2.1741851786433698E-5</v>
      </c>
      <c r="E24" s="8">
        <f t="shared" si="0"/>
        <v>696.7233224301043</v>
      </c>
      <c r="F24" s="21">
        <f t="shared" si="1"/>
        <v>7.4259683374395214E-3</v>
      </c>
      <c r="H24" s="36">
        <v>13</v>
      </c>
      <c r="I24" s="126" t="n">
        <v>552.0</v>
      </c>
      <c r="J24" s="216" t="n">
        <v>41.0</v>
      </c>
      <c r="K24" s="306" t="n">
        <v>14.0</v>
      </c>
      <c r="L24">
        <f t="shared" si="2"/>
        <v>972</v>
      </c>
      <c r="M24" s="21">
        <f t="shared" si="3"/>
        <v>1.0559593260111463E-2</v>
      </c>
    </row>
    <row r="25" spans="1:13" x14ac:dyDescent="0.25">
      <c r="A25">
        <v>14</v>
      </c>
      <c r="B25" s="8" t="n">
        <v>473.1989628956173</v>
      </c>
      <c r="C25" s="8" t="n">
        <v>58.18949268402686</v>
      </c>
      <c r="D25" s="8" t="n">
        <v>0.0</v>
      </c>
      <c r="E25" s="8">
        <f t="shared" si="0"/>
        <v>531.38845557964419</v>
      </c>
      <c r="F25" s="21">
        <f t="shared" si="1"/>
        <v>5.66376023161073E-3</v>
      </c>
      <c r="H25" s="37">
        <v>14</v>
      </c>
      <c r="I25" s="127" t="n">
        <v>438.0</v>
      </c>
      <c r="J25" s="217" t="n">
        <v>33.0</v>
      </c>
      <c r="K25" s="307" t="n">
        <v>11.0</v>
      </c>
      <c r="L25">
        <f t="shared" si="2"/>
        <v>767</v>
      </c>
      <c r="M25" s="21">
        <f t="shared" si="3"/>
        <v>8.3325185499027697E-3</v>
      </c>
    </row>
    <row r="26" spans="1:13" x14ac:dyDescent="0.25">
      <c r="A26">
        <v>15</v>
      </c>
      <c r="B26" s="8" t="n">
        <v>362.89422620565176</v>
      </c>
      <c r="C26" s="8" t="n">
        <v>36.05550818680221</v>
      </c>
      <c r="D26" s="8" t="n">
        <v>0.0</v>
      </c>
      <c r="E26" s="8">
        <f t="shared" si="0"/>
        <v>398.94973439245399</v>
      </c>
      <c r="F26" s="21">
        <f t="shared" si="1"/>
        <v>4.2521729938579441E-3</v>
      </c>
      <c r="H26" s="38">
        <v>15</v>
      </c>
      <c r="I26" s="128" t="n">
        <v>422.0</v>
      </c>
      <c r="J26" s="218" t="n">
        <v>17.0</v>
      </c>
      <c r="K26" s="308" t="n">
        <v>9.0</v>
      </c>
      <c r="L26">
        <f t="shared" si="2"/>
        <v>795</v>
      </c>
      <c r="M26" s="21">
        <f t="shared" si="3"/>
        <v>8.6367043639800547E-3</v>
      </c>
    </row>
    <row r="27" spans="1:13" x14ac:dyDescent="0.25">
      <c r="A27">
        <v>16</v>
      </c>
      <c r="B27" s="8" t="n">
        <v>273.4288767081146</v>
      </c>
      <c r="C27" s="8" t="n">
        <v>19.109504215655072</v>
      </c>
      <c r="D27" s="8" t="n">
        <v>0.0</v>
      </c>
      <c r="E27" s="8">
        <f t="shared" si="0"/>
        <v>292.53838092376969</v>
      </c>
      <c r="F27" s="21">
        <f t="shared" si="1"/>
        <v>3.1179963183214235E-3</v>
      </c>
      <c r="H27" s="39">
        <v>16</v>
      </c>
      <c r="I27" s="129" t="n">
        <v>352.0</v>
      </c>
      <c r="J27" s="219" t="n">
        <v>20.0</v>
      </c>
      <c r="K27" s="309" t="n">
        <v>4.0</v>
      </c>
      <c r="L27">
        <f t="shared" si="2"/>
        <v>621</v>
      </c>
      <c r="M27" s="21">
        <f t="shared" si="3"/>
        <v>6.7464068050712119E-3</v>
      </c>
    </row>
    <row r="28" spans="1:13" x14ac:dyDescent="0.25">
      <c r="A28">
        <v>17</v>
      </c>
      <c r="B28" s="8" t="n">
        <v>201.92547685980597</v>
      </c>
      <c r="C28" s="8" t="n">
        <v>8.989359966259457</v>
      </c>
      <c r="D28" s="8" t="n">
        <v>0.0</v>
      </c>
      <c r="E28" s="8">
        <f t="shared" si="0"/>
        <v>210.91483682606543</v>
      </c>
      <c r="F28" s="21">
        <f t="shared" si="1"/>
        <v>2.248018474110592E-3</v>
      </c>
      <c r="H28" s="40">
        <v>17</v>
      </c>
      <c r="I28" s="130" t="n">
        <v>277.0</v>
      </c>
      <c r="J28" s="220" t="n">
        <v>14.0</v>
      </c>
      <c r="K28" s="310" t="n">
        <v>4.0</v>
      </c>
      <c r="L28">
        <f t="shared" si="2"/>
        <v>504</v>
      </c>
      <c r="M28" s="21">
        <f t="shared" si="3"/>
        <v>5.4753446533911286E-3</v>
      </c>
    </row>
    <row r="29" spans="1:13" x14ac:dyDescent="0.25">
      <c r="A29">
        <v>18</v>
      </c>
      <c r="B29" s="8" t="n">
        <v>149.5137907221334</v>
      </c>
      <c r="C29" s="8" t="n">
        <v>4.674863971534519</v>
      </c>
      <c r="D29" s="8" t="n">
        <v>0.0</v>
      </c>
      <c r="E29" s="8">
        <f t="shared" si="0"/>
        <v>154.1886546936679</v>
      </c>
      <c r="F29" s="21">
        <f t="shared" si="1"/>
        <v>1.6434071185588029E-3</v>
      </c>
      <c r="H29" s="41">
        <v>18</v>
      </c>
      <c r="I29" s="131" t="n">
        <v>232.0</v>
      </c>
      <c r="J29" s="221" t="n">
        <v>14.0</v>
      </c>
      <c r="K29" s="311" t="n">
        <v>5.0</v>
      </c>
      <c r="L29">
        <f t="shared" si="2"/>
        <v>465</v>
      </c>
      <c r="M29" s="21">
        <f t="shared" si="3"/>
        <v>5.0516572694977672E-3</v>
      </c>
    </row>
    <row r="30" spans="1:13" x14ac:dyDescent="0.25">
      <c r="A30">
        <v>19</v>
      </c>
      <c r="B30" s="8" t="n">
        <v>115.95950230017826</v>
      </c>
      <c r="C30" s="8" t="n">
        <v>4.128759431431838</v>
      </c>
      <c r="D30" s="8" t="n">
        <v>0.0</v>
      </c>
      <c r="E30" s="8">
        <f t="shared" si="0"/>
        <v>120.08826173161009</v>
      </c>
      <c r="F30" s="21">
        <f t="shared" si="1"/>
        <v>1.2799508795064767E-3</v>
      </c>
      <c r="H30" s="42">
        <v>19</v>
      </c>
      <c r="I30" s="132" t="n">
        <v>186.0</v>
      </c>
      <c r="J30" s="222" t="n">
        <v>11.0</v>
      </c>
      <c r="K30" s="312" t="n">
        <v>4.0</v>
      </c>
      <c r="L30">
        <f t="shared" si="2"/>
        <v>387</v>
      </c>
      <c r="M30" s="21">
        <f t="shared" si="3"/>
        <v>4.2042825017110453E-3</v>
      </c>
    </row>
    <row r="31" spans="1:13" x14ac:dyDescent="0.25">
      <c r="A31">
        <v>20</v>
      </c>
      <c r="B31" s="8" t="n">
        <v>97.63992609885628</v>
      </c>
      <c r="C31" s="8" t="n">
        <v>5.412752207470012</v>
      </c>
      <c r="D31" s="8" t="n">
        <v>0.0</v>
      </c>
      <c r="E31" s="8">
        <f t="shared" si="0"/>
        <v>103.05267830632629</v>
      </c>
      <c r="F31" s="21">
        <f t="shared" si="1"/>
        <v>1.0983785120353734E-3</v>
      </c>
      <c r="H31" s="43">
        <v>20</v>
      </c>
      <c r="I31" s="133" t="n">
        <v>120.0</v>
      </c>
      <c r="J31" s="223" t="n">
        <v>11.0</v>
      </c>
      <c r="K31" s="313" t="n">
        <v>2.0</v>
      </c>
      <c r="L31">
        <f t="shared" si="2"/>
        <v>258</v>
      </c>
      <c r="M31" s="21">
        <f t="shared" si="3"/>
        <v>2.8028550011406968E-3</v>
      </c>
    </row>
    <row r="32" spans="1:13" x14ac:dyDescent="0.25">
      <c r="A32">
        <v>21</v>
      </c>
      <c r="B32" s="8" t="n">
        <v>89.25809495598158</v>
      </c>
      <c r="C32" s="8" t="n">
        <v>6.9490534624362255</v>
      </c>
      <c r="D32" s="8" t="n">
        <v>0.0</v>
      </c>
      <c r="E32" s="8">
        <f t="shared" si="0"/>
        <v>96.207148418417802</v>
      </c>
      <c r="F32" s="21">
        <f t="shared" si="1"/>
        <v>1.0254159936811753E-3</v>
      </c>
      <c r="H32" s="44">
        <v>21</v>
      </c>
      <c r="I32" s="134" t="n">
        <v>123.0</v>
      </c>
      <c r="J32" s="224" t="n">
        <v>9.0</v>
      </c>
      <c r="K32" s="314" t="n">
        <v>2.0</v>
      </c>
      <c r="L32">
        <f t="shared" si="2"/>
        <v>246</v>
      </c>
      <c r="M32" s="21">
        <f t="shared" si="3"/>
        <v>2.6724896522504317E-3</v>
      </c>
    </row>
    <row r="33" spans="1:13" x14ac:dyDescent="0.25">
      <c r="A33">
        <v>22</v>
      </c>
      <c r="B33" s="8" t="n">
        <v>87.12889409228006</v>
      </c>
      <c r="C33" s="8" t="n">
        <v>7.599151003161229</v>
      </c>
      <c r="D33" s="8" t="n">
        <v>0.0</v>
      </c>
      <c r="E33" s="8">
        <f t="shared" si="0"/>
        <v>94.728045095441288</v>
      </c>
      <c r="F33" s="21">
        <f t="shared" si="1"/>
        <v>1.0096510923342319E-3</v>
      </c>
      <c r="H33" s="45">
        <v>22</v>
      </c>
      <c r="I33" s="135" t="n">
        <v>115.0</v>
      </c>
      <c r="J33" s="225" t="n">
        <v>1.0</v>
      </c>
      <c r="K33" s="315" t="n">
        <v>1.0</v>
      </c>
      <c r="L33">
        <f t="shared" si="2"/>
        <v>205</v>
      </c>
      <c r="M33" s="21">
        <f t="shared" si="3"/>
        <v>2.2270747102086934E-3</v>
      </c>
    </row>
    <row r="34" spans="1:13" x14ac:dyDescent="0.25">
      <c r="A34">
        <v>23</v>
      </c>
      <c r="B34" s="8" t="n">
        <v>90.80323871983182</v>
      </c>
      <c r="C34" s="8" t="n">
        <v>6.902587523132586</v>
      </c>
      <c r="D34" s="8" t="n">
        <v>0.0</v>
      </c>
      <c r="E34" s="8">
        <f t="shared" si="0"/>
        <v>97.705826242964406</v>
      </c>
      <c r="F34" s="21">
        <f t="shared" si="1"/>
        <v>1.0413895282462139E-3</v>
      </c>
      <c r="H34" s="46">
        <v>23</v>
      </c>
      <c r="I34" s="136" t="n">
        <v>88.0</v>
      </c>
      <c r="J34" s="226" t="n">
        <v>7.0</v>
      </c>
      <c r="K34" s="316" t="n">
        <v>3.0</v>
      </c>
      <c r="L34">
        <f t="shared" si="2"/>
        <v>160</v>
      </c>
      <c r="M34" s="21">
        <f t="shared" si="3"/>
        <v>1.7382046518701997E-3</v>
      </c>
    </row>
    <row r="35" spans="1:13" x14ac:dyDescent="0.25">
      <c r="A35">
        <v>24</v>
      </c>
      <c r="B35" s="8" t="n">
        <v>101.45124429734575</v>
      </c>
      <c r="C35" s="8" t="n">
        <v>5.176442234761076</v>
      </c>
      <c r="D35" s="8" t="n">
        <v>0.0</v>
      </c>
      <c r="E35" s="8">
        <f t="shared" si="0"/>
        <v>106.62768653210682</v>
      </c>
      <c r="F35" s="21">
        <f t="shared" si="1"/>
        <v>1.1364824437340218E-3</v>
      </c>
      <c r="H35" s="47">
        <v>24</v>
      </c>
      <c r="I35" s="137" t="n">
        <v>86.0</v>
      </c>
      <c r="J35" s="227" t="n">
        <v>2.0</v>
      </c>
      <c r="K35" s="317" t="n">
        <v>0.0</v>
      </c>
      <c r="L35">
        <f t="shared" si="2"/>
        <v>149</v>
      </c>
      <c r="M35" s="21">
        <f t="shared" si="3"/>
        <v>1.6187030820541232E-3</v>
      </c>
    </row>
    <row r="36" spans="1:13" x14ac:dyDescent="0.25">
      <c r="A36">
        <v>25</v>
      </c>
      <c r="B36" s="8" t="n">
        <v>118.61108910434288</v>
      </c>
      <c r="C36" s="8" t="n">
        <v>3.185481005673262</v>
      </c>
      <c r="D36" s="8" t="n">
        <v>0.0</v>
      </c>
      <c r="E36" s="8">
        <f t="shared" si="0"/>
        <v>121.79657011001615</v>
      </c>
      <c r="F36" s="21">
        <f t="shared" si="1"/>
        <v>1.2981587441210545E-3</v>
      </c>
      <c r="H36" s="48">
        <v>25</v>
      </c>
      <c r="I36" s="138" t="n">
        <v>76.0</v>
      </c>
      <c r="J36" s="228" t="n">
        <v>4.0</v>
      </c>
      <c r="K36" s="318" t="n">
        <v>1.0</v>
      </c>
      <c r="L36">
        <f t="shared" si="2"/>
        <v>150</v>
      </c>
      <c r="M36" s="21">
        <f t="shared" si="3"/>
        <v>1.6295668611283121E-3</v>
      </c>
    </row>
    <row r="37" spans="1:13" x14ac:dyDescent="0.25">
      <c r="A37">
        <v>26</v>
      </c>
      <c r="B37" s="8" t="n">
        <v>138.01742488695885</v>
      </c>
      <c r="C37" s="8" t="n">
        <v>1.592740502836631</v>
      </c>
      <c r="D37" s="8" t="n">
        <v>0.0</v>
      </c>
      <c r="E37" s="8">
        <f t="shared" si="0"/>
        <v>139.61016538979547</v>
      </c>
      <c r="F37" s="21">
        <f t="shared" si="1"/>
        <v>1.4880234870755635E-3</v>
      </c>
      <c r="H37" s="49">
        <v>26</v>
      </c>
      <c r="I37" s="139" t="n">
        <v>73.0</v>
      </c>
      <c r="J37" s="229" t="n">
        <v>4.0</v>
      </c>
      <c r="K37" s="319" t="n">
        <v>1.0</v>
      </c>
      <c r="L37">
        <f t="shared" si="2"/>
        <v>126</v>
      </c>
      <c r="M37" s="21">
        <f t="shared" si="3"/>
        <v>1.3688361633477821E-3</v>
      </c>
    </row>
    <row r="38" spans="1:13" x14ac:dyDescent="0.25">
      <c r="A38">
        <v>27</v>
      </c>
      <c r="B38" s="8" t="n">
        <v>151.96048466247433</v>
      </c>
      <c r="C38" s="8" t="n">
        <v>0.6370962011346524</v>
      </c>
      <c r="D38" s="8" t="n">
        <v>0.0</v>
      </c>
      <c r="E38" s="8">
        <f t="shared" si="0"/>
        <v>152.59758086360898</v>
      </c>
      <c r="F38" s="21">
        <f t="shared" si="1"/>
        <v>1.6264487887538875E-3</v>
      </c>
      <c r="H38" s="50">
        <v>27</v>
      </c>
      <c r="I38" s="140" t="n">
        <v>88.0</v>
      </c>
      <c r="J38" s="230" t="n">
        <v>6.0</v>
      </c>
      <c r="K38" s="320" t="n">
        <v>4.0</v>
      </c>
      <c r="L38">
        <f t="shared" si="2"/>
        <v>142</v>
      </c>
      <c r="M38" s="21">
        <f t="shared" si="3"/>
        <v>1.5426566285348022E-3</v>
      </c>
    </row>
    <row r="39" spans="1:13" x14ac:dyDescent="0.25">
      <c r="A39">
        <v>28</v>
      </c>
      <c r="B39" s="8" t="n">
        <v>152.43598294697875</v>
      </c>
      <c r="C39" s="8" t="n">
        <v>0.19909256285457888</v>
      </c>
      <c r="D39" s="8" t="n">
        <v>0.0</v>
      </c>
      <c r="E39" s="8">
        <f t="shared" si="0"/>
        <v>152.63507550983334</v>
      </c>
      <c r="F39" s="21">
        <f t="shared" si="1"/>
        <v>1.6268484223626984E-3</v>
      </c>
      <c r="H39" s="51">
        <v>28</v>
      </c>
      <c r="I39" s="141" t="n">
        <v>77.0</v>
      </c>
      <c r="J39" s="231" t="n">
        <v>2.0</v>
      </c>
      <c r="K39" s="321" t="n">
        <v>0.0</v>
      </c>
      <c r="L39">
        <f t="shared" si="2"/>
        <v>137</v>
      </c>
      <c r="M39" s="21">
        <f t="shared" si="3"/>
        <v>1.4883377331638584E-3</v>
      </c>
    </row>
    <row r="40" spans="1:13" x14ac:dyDescent="0.25">
      <c r="A40">
        <v>29</v>
      </c>
      <c r="B40" s="8" t="n">
        <v>135.99460210472228</v>
      </c>
      <c r="C40" s="8" t="n">
        <v>0.04684530890695974</v>
      </c>
      <c r="D40" s="8" t="n">
        <v>0.0</v>
      </c>
      <c r="E40" s="8">
        <f t="shared" si="0"/>
        <v>136.04144741362924</v>
      </c>
      <c r="F40" s="21">
        <f t="shared" si="1"/>
        <v>1.4499865994860566E-3</v>
      </c>
      <c r="H40" s="52">
        <v>29</v>
      </c>
      <c r="I40" s="142" t="n">
        <v>63.0</v>
      </c>
      <c r="J40" s="232" t="n">
        <v>1.0</v>
      </c>
      <c r="K40" s="322" t="n">
        <v>1.0</v>
      </c>
      <c r="L40">
        <f t="shared" si="2"/>
        <v>119</v>
      </c>
      <c r="M40" s="21">
        <f t="shared" si="3"/>
        <v>1.2927897098284609E-3</v>
      </c>
    </row>
    <row r="41" spans="1:13" x14ac:dyDescent="0.25">
      <c r="A41">
        <v>30</v>
      </c>
      <c r="B41" s="8" t="n">
        <v>106.89021312489655</v>
      </c>
      <c r="C41" s="8" t="n">
        <v>0.00780755148449329</v>
      </c>
      <c r="D41" s="8" t="n">
        <v>0.0</v>
      </c>
      <c r="E41" s="8">
        <f t="shared" si="0"/>
        <v>106.89802067638104</v>
      </c>
      <c r="F41" s="21">
        <f t="shared" si="1"/>
        <v>1.1393637780187809E-3</v>
      </c>
      <c r="H41" s="53">
        <v>30</v>
      </c>
      <c r="I41" s="143" t="n">
        <v>55.0</v>
      </c>
      <c r="J41" s="233" t="n">
        <v>0.0</v>
      </c>
      <c r="K41" s="323" t="n">
        <v>0.0</v>
      </c>
      <c r="L41">
        <f t="shared" si="2"/>
        <v>107</v>
      </c>
      <c r="M41" s="21">
        <f t="shared" si="3"/>
        <v>1.162424360938196E-3</v>
      </c>
    </row>
    <row r="42" spans="1:13" x14ac:dyDescent="0.25">
      <c r="A42">
        <v>31</v>
      </c>
      <c r="B42" s="8" t="n">
        <v>75.06297749242493</v>
      </c>
      <c r="C42" s="8" t="n">
        <v>8.218475246835043E-4</v>
      </c>
      <c r="D42" s="8" t="n">
        <v>0.0</v>
      </c>
      <c r="E42" s="8">
        <f t="shared" si="0"/>
        <v>75.063799339949611</v>
      </c>
      <c r="F42" s="21">
        <f t="shared" si="1"/>
        <v>8.0006134320600455E-4</v>
      </c>
      <c r="H42" s="54">
        <v>31</v>
      </c>
      <c r="I42" s="144" t="n">
        <v>51.0</v>
      </c>
      <c r="J42" s="234" t="n">
        <v>2.0</v>
      </c>
      <c r="K42" s="324" t="n">
        <v>1.0</v>
      </c>
      <c r="L42">
        <f t="shared" si="2"/>
        <v>94</v>
      </c>
      <c r="M42" s="21">
        <f t="shared" si="3"/>
        <v>1.0211952329737422E-3</v>
      </c>
    </row>
    <row r="43" spans="1:13" x14ac:dyDescent="0.25">
      <c r="A43">
        <v>32</v>
      </c>
      <c r="B43" s="8" t="n">
        <v>49.937196096938635</v>
      </c>
      <c r="C43" s="8" t="n">
        <v>4.109237623417521E-5</v>
      </c>
      <c r="D43" s="8" t="n">
        <v>0.0</v>
      </c>
      <c r="E43" s="8">
        <f t="shared" si="0"/>
        <v>49.937237189314871</v>
      </c>
      <c r="F43" s="21">
        <f t="shared" si="1"/>
        <v>5.3225194318690496E-4</v>
      </c>
      <c r="H43" s="55">
        <v>32</v>
      </c>
      <c r="I43" s="145" t="n">
        <v>31.0</v>
      </c>
      <c r="J43" s="235" t="n">
        <v>1.0</v>
      </c>
      <c r="K43" s="325" t="n">
        <v>1.0</v>
      </c>
      <c r="L43">
        <f t="shared" si="2"/>
        <v>78</v>
      </c>
      <c r="M43" s="21">
        <f t="shared" si="3"/>
        <v>8.4737476778672224E-4</v>
      </c>
    </row>
    <row r="44" spans="1:13" x14ac:dyDescent="0.25">
      <c r="A44">
        <v>33</v>
      </c>
      <c r="B44" s="8" t="n">
        <v>35.32210288678932</v>
      </c>
      <c r="C44" s="8" t="n">
        <v>0.0</v>
      </c>
      <c r="D44" s="8" t="n">
        <v>0.0</v>
      </c>
      <c r="E44" s="8">
        <f t="shared" si="0"/>
        <v>35.322102886789317</v>
      </c>
      <c r="F44" s="21">
        <f t="shared" si="1"/>
        <v>3.7647773399374432E-4</v>
      </c>
      <c r="H44" s="56">
        <v>33</v>
      </c>
      <c r="I44" s="146" t="n">
        <v>34.0</v>
      </c>
      <c r="J44" s="236" t="n">
        <v>2.0</v>
      </c>
      <c r="K44" s="326" t="n">
        <v>1.0</v>
      </c>
      <c r="L44">
        <f t="shared" si="2"/>
        <v>60</v>
      </c>
      <c r="M44" s="21">
        <f t="shared" si="3"/>
        <v>6.5182674445132479E-4</v>
      </c>
    </row>
    <row r="45" spans="1:13" x14ac:dyDescent="0.25">
      <c r="A45">
        <v>34</v>
      </c>
      <c r="B45" s="8" t="n">
        <v>29.285418073383596</v>
      </c>
      <c r="C45" s="8" t="n">
        <v>0.0</v>
      </c>
      <c r="D45" s="8" t="n">
        <v>0.0</v>
      </c>
      <c r="E45" s="8">
        <f t="shared" si="0"/>
        <v>29.285418073383596</v>
      </c>
      <c r="F45" s="21">
        <f t="shared" si="1"/>
        <v>3.1213622446727075E-4</v>
      </c>
      <c r="H45" s="57">
        <v>34</v>
      </c>
      <c r="I45" s="147" t="n">
        <v>23.0</v>
      </c>
      <c r="J45" s="237" t="n">
        <v>1.0</v>
      </c>
      <c r="K45" s="327" t="n">
        <v>1.0</v>
      </c>
      <c r="L45">
        <f t="shared" si="2"/>
        <v>38</v>
      </c>
      <c r="M45" s="21">
        <f t="shared" si="3"/>
        <v>4.1282360481917238E-4</v>
      </c>
    </row>
    <row r="46" spans="1:13" x14ac:dyDescent="0.25">
      <c r="A46">
        <v>35</v>
      </c>
      <c r="B46" s="8" t="n">
        <v>27.67569417951492</v>
      </c>
      <c r="C46" s="8" t="n">
        <v>0.0</v>
      </c>
      <c r="D46" s="8" t="n">
        <v>0.0</v>
      </c>
      <c r="E46" s="8">
        <f t="shared" si="0"/>
        <v>27.67569417951492</v>
      </c>
      <c r="F46" s="21">
        <f t="shared" si="1"/>
        <v>2.9497911448824051E-4</v>
      </c>
      <c r="H46" s="58">
        <v>35</v>
      </c>
      <c r="I46" s="148" t="n">
        <v>17.0</v>
      </c>
      <c r="J46" s="238" t="n">
        <v>0.0</v>
      </c>
      <c r="K46" s="328" t="n">
        <v>3.0</v>
      </c>
      <c r="L46">
        <f t="shared" si="2"/>
        <v>31</v>
      </c>
      <c r="M46" s="21">
        <f t="shared" si="3"/>
        <v>3.3677715129985119E-4</v>
      </c>
    </row>
    <row r="47" spans="1:13" x14ac:dyDescent="0.25">
      <c r="A47">
        <v>36</v>
      </c>
      <c r="B47" s="8" t="n">
        <v>27.30344808798632</v>
      </c>
      <c r="C47" s="8" t="n">
        <v>0.0</v>
      </c>
      <c r="D47" s="8" t="n">
        <v>0.0</v>
      </c>
      <c r="E47" s="8">
        <f t="shared" si="0"/>
        <v>27.303448087986322</v>
      </c>
      <c r="F47" s="21">
        <f t="shared" si="1"/>
        <v>2.9101156007971946E-4</v>
      </c>
      <c r="H47" s="59">
        <v>36</v>
      </c>
      <c r="I47" s="149" t="n">
        <v>18.0</v>
      </c>
      <c r="J47" s="239" t="n">
        <v>0.0</v>
      </c>
      <c r="K47" s="329" t="n">
        <v>0.0</v>
      </c>
      <c r="L47">
        <f t="shared" si="2"/>
        <v>36</v>
      </c>
      <c r="M47" s="21">
        <f t="shared" si="3"/>
        <v>3.910960466707949E-4</v>
      </c>
    </row>
    <row r="48" spans="1:13" x14ac:dyDescent="0.25">
      <c r="A48">
        <v>37</v>
      </c>
      <c r="B48" s="8" t="n">
        <v>26.65012247176791</v>
      </c>
      <c r="C48" s="8" t="n">
        <v>0.0</v>
      </c>
      <c r="D48" s="8" t="n">
        <v>0.0</v>
      </c>
      <c r="E48" s="8">
        <f t="shared" si="0"/>
        <v>26.650122471767911</v>
      </c>
      <c r="F48" s="21">
        <f t="shared" si="1"/>
        <v>2.8404814263137819E-4</v>
      </c>
      <c r="H48" s="60">
        <v>37</v>
      </c>
      <c r="I48" s="150" t="n">
        <v>7.0</v>
      </c>
      <c r="J48" s="240" t="n">
        <v>1.0</v>
      </c>
      <c r="K48" s="330" t="n">
        <v>0.0</v>
      </c>
      <c r="L48">
        <f t="shared" si="2"/>
        <v>24</v>
      </c>
      <c r="M48" s="21">
        <f t="shared" si="3"/>
        <v>2.6073069778052995E-4</v>
      </c>
    </row>
    <row r="49" spans="1:13" x14ac:dyDescent="0.25">
      <c r="A49">
        <v>38</v>
      </c>
      <c r="B49" s="8" t="n">
        <v>25.010127214530783</v>
      </c>
      <c r="C49" s="8" t="n">
        <v>0.0</v>
      </c>
      <c r="D49" s="8" t="n">
        <v>0.0</v>
      </c>
      <c r="E49" s="8">
        <f t="shared" si="0"/>
        <v>25.010127214530783</v>
      </c>
      <c r="F49" s="21">
        <f t="shared" si="1"/>
        <v>2.665683878108904E-4</v>
      </c>
      <c r="H49" s="61">
        <v>38</v>
      </c>
      <c r="I49" s="151" t="n">
        <v>12.0</v>
      </c>
      <c r="J49" s="241" t="n">
        <v>2.0</v>
      </c>
      <c r="K49" s="331" t="n">
        <v>0.0</v>
      </c>
      <c r="L49">
        <f t="shared" si="2"/>
        <v>19</v>
      </c>
      <c r="M49" s="21">
        <f t="shared" si="3"/>
        <v>2.0641180240958619E-4</v>
      </c>
    </row>
    <row r="50" spans="1:13" x14ac:dyDescent="0.25">
      <c r="A50">
        <v>39</v>
      </c>
      <c r="B50" s="8" t="n">
        <v>21.88934324970537</v>
      </c>
      <c r="C50" s="8" t="n">
        <v>0.0</v>
      </c>
      <c r="D50" s="8" t="n">
        <v>0.0</v>
      </c>
      <c r="E50" s="8">
        <f t="shared" si="0"/>
        <v>21.889343249705369</v>
      </c>
      <c r="F50" s="21">
        <f t="shared" si="1"/>
        <v>2.3330576810992953E-4</v>
      </c>
      <c r="H50" s="62">
        <v>39</v>
      </c>
      <c r="I50" s="152" t="n">
        <v>13.0</v>
      </c>
      <c r="J50" s="242" t="n">
        <v>2.0</v>
      </c>
      <c r="K50" s="332" t="n">
        <v>0.0</v>
      </c>
      <c r="L50">
        <f t="shared" si="2"/>
        <v>21</v>
      </c>
      <c r="M50" s="21">
        <f t="shared" si="3"/>
        <v>2.281393605579637E-4</v>
      </c>
    </row>
    <row r="51" spans="1:13" x14ac:dyDescent="0.25">
      <c r="A51">
        <v>40</v>
      </c>
      <c r="B51" s="8" t="n">
        <v>17.25197760727599</v>
      </c>
      <c r="C51" s="8" t="n">
        <v>0.0</v>
      </c>
      <c r="D51" s="8" t="n">
        <v>0.0</v>
      </c>
      <c r="E51" s="8">
        <f t="shared" si="0"/>
        <v>17.25197760727599</v>
      </c>
      <c r="F51" s="21">
        <f t="shared" si="1"/>
        <v>1.8387878709586253E-4</v>
      </c>
      <c r="H51" s="63">
        <v>40</v>
      </c>
      <c r="I51" s="153" t="n">
        <v>10.0</v>
      </c>
      <c r="J51" s="243" t="n">
        <v>2.0</v>
      </c>
      <c r="K51" s="333" t="n">
        <v>0.0</v>
      </c>
      <c r="L51">
        <f t="shared" si="2"/>
        <v>21</v>
      </c>
      <c r="M51" s="21">
        <f t="shared" si="3"/>
        <v>2.281393605579637E-4</v>
      </c>
    </row>
    <row r="52" spans="1:13" x14ac:dyDescent="0.25">
      <c r="A52">
        <v>41</v>
      </c>
      <c r="B52" s="8" t="n">
        <v>11.853873090229815</v>
      </c>
      <c r="C52" s="8" t="n">
        <v>0.0</v>
      </c>
      <c r="D52" s="8" t="n">
        <v>0.0</v>
      </c>
      <c r="E52" s="8">
        <f t="shared" si="0"/>
        <v>11.853873090229815</v>
      </c>
      <c r="F52" s="21">
        <f t="shared" si="1"/>
        <v>1.2634353323647186E-4</v>
      </c>
      <c r="H52" s="64">
        <v>41</v>
      </c>
      <c r="I52" s="154" t="n">
        <v>5.0</v>
      </c>
      <c r="J52" s="244" t="n">
        <v>0.0</v>
      </c>
      <c r="K52" s="334" t="n">
        <v>0.0</v>
      </c>
      <c r="L52">
        <f t="shared" si="2"/>
        <v>7</v>
      </c>
      <c r="M52" s="21">
        <f t="shared" si="3"/>
        <v>7.6046453519321229E-5</v>
      </c>
    </row>
    <row r="53" spans="1:13" x14ac:dyDescent="0.25">
      <c r="A53">
        <v>42</v>
      </c>
      <c r="B53" s="8" t="n">
        <v>6.913479515069333</v>
      </c>
      <c r="C53" s="8" t="n">
        <v>0.0</v>
      </c>
      <c r="D53" s="8" t="n">
        <v>0.0</v>
      </c>
      <c r="E53" s="8">
        <f t="shared" si="0"/>
        <v>6.9134795150693327</v>
      </c>
      <c r="F53" s="21">
        <f t="shared" si="1"/>
        <v>7.3686753877242261E-5</v>
      </c>
      <c r="H53" s="65">
        <v>42</v>
      </c>
      <c r="I53" s="155" t="n">
        <v>11.0</v>
      </c>
      <c r="J53" s="245" t="n">
        <v>0.0</v>
      </c>
      <c r="K53" s="335" t="n">
        <v>0.0</v>
      </c>
      <c r="L53">
        <f t="shared" si="2"/>
        <v>10</v>
      </c>
      <c r="M53" s="21">
        <f t="shared" si="3"/>
        <v>1.0863779074188748E-4</v>
      </c>
    </row>
    <row r="54" spans="1:13" x14ac:dyDescent="0.25">
      <c r="A54">
        <v>43</v>
      </c>
      <c r="B54" s="8" t="n">
        <v>3.3504940505162857</v>
      </c>
      <c r="C54" s="8" t="n">
        <v>0.0</v>
      </c>
      <c r="D54" s="8" t="n">
        <v>0.0</v>
      </c>
      <c r="E54" s="8">
        <f t="shared" si="0"/>
        <v>3.3504940505162857</v>
      </c>
      <c r="F54" s="21">
        <f t="shared" si="1"/>
        <v>3.5710965792177096E-5</v>
      </c>
      <c r="H54" s="66">
        <v>43</v>
      </c>
      <c r="I54" s="156" t="n">
        <v>7.0</v>
      </c>
      <c r="J54" s="246" t="n">
        <v>0.0</v>
      </c>
      <c r="K54" s="336" t="n">
        <v>0.0</v>
      </c>
      <c r="L54">
        <f t="shared" si="2"/>
        <v>10</v>
      </c>
      <c r="M54" s="21">
        <f t="shared" si="3"/>
        <v>1.0863779074188748E-4</v>
      </c>
    </row>
    <row r="55" spans="1:13" x14ac:dyDescent="0.25">
      <c r="A55">
        <v>44</v>
      </c>
      <c r="B55" s="8" t="n">
        <v>1.3546560111170374</v>
      </c>
      <c r="C55" s="8" t="n">
        <v>0.0</v>
      </c>
      <c r="D55" s="8" t="n">
        <v>0.0</v>
      </c>
      <c r="E55" s="8">
        <f t="shared" si="0"/>
        <v>1.3546560111170374</v>
      </c>
      <c r="F55" s="21">
        <f t="shared" si="1"/>
        <v>1.4438489889487556E-5</v>
      </c>
      <c r="H55" s="67">
        <v>44</v>
      </c>
      <c r="I55" s="157" t="n">
        <v>4.0</v>
      </c>
      <c r="J55" s="247" t="n">
        <v>1.0</v>
      </c>
      <c r="K55" s="337" t="n">
        <v>0.0</v>
      </c>
      <c r="L55">
        <f t="shared" si="2"/>
        <v>7</v>
      </c>
      <c r="M55" s="21">
        <f t="shared" si="3"/>
        <v>7.6046453519321229E-5</v>
      </c>
    </row>
    <row r="56" spans="1:13" x14ac:dyDescent="0.25">
      <c r="A56">
        <v>45</v>
      </c>
      <c r="B56" s="8" t="n">
        <v>0.595497656185772</v>
      </c>
      <c r="C56" s="8" t="n">
        <v>0.0</v>
      </c>
      <c r="D56" s="8" t="n">
        <v>0.0</v>
      </c>
      <c r="E56" s="8">
        <f t="shared" si="0"/>
        <v>0.595497656185772</v>
      </c>
      <c r="F56" s="21">
        <f t="shared" si="1"/>
        <v>6.3470628834857487E-6</v>
      </c>
      <c r="H56" s="68">
        <v>45</v>
      </c>
      <c r="I56" s="158" t="n">
        <v>5.0</v>
      </c>
      <c r="J56" s="248" t="n">
        <v>0.0</v>
      </c>
      <c r="K56" s="338" t="n">
        <v>0.0</v>
      </c>
      <c r="L56">
        <f t="shared" si="2"/>
        <v>6</v>
      </c>
      <c r="M56" s="21">
        <f t="shared" si="3"/>
        <v>6.5182674445132488E-5</v>
      </c>
    </row>
    <row r="57" spans="1:13" x14ac:dyDescent="0.25">
      <c r="A57">
        <v>46</v>
      </c>
      <c r="B57" s="8" t="n">
        <v>0.7072466695525007</v>
      </c>
      <c r="C57" s="8" t="n">
        <v>0.0</v>
      </c>
      <c r="D57" s="8" t="n">
        <v>0.0</v>
      </c>
      <c r="E57" s="8">
        <f t="shared" si="0"/>
        <v>0.70724666955250071</v>
      </c>
      <c r="F57" s="21">
        <f t="shared" si="1"/>
        <v>7.5381305688719855E-6</v>
      </c>
      <c r="H57" s="69">
        <v>46</v>
      </c>
      <c r="I57" s="159" t="n">
        <v>8.0</v>
      </c>
      <c r="J57" s="249" t="n">
        <v>0.0</v>
      </c>
      <c r="K57" s="339" t="n">
        <v>0.0</v>
      </c>
      <c r="L57">
        <f t="shared" si="2"/>
        <v>7</v>
      </c>
      <c r="M57" s="21">
        <f t="shared" si="3"/>
        <v>7.6046453519321229E-5</v>
      </c>
    </row>
    <row r="58" spans="1:13" x14ac:dyDescent="0.25">
      <c r="A58">
        <v>47</v>
      </c>
      <c r="B58" s="8" t="n">
        <v>1.5480162036479257</v>
      </c>
      <c r="C58" s="8" t="n">
        <v>0.0</v>
      </c>
      <c r="D58" s="8" t="n">
        <v>0.0</v>
      </c>
      <c r="E58" s="8">
        <f t="shared" si="0"/>
        <v>1.5480162036479257</v>
      </c>
      <c r="F58" s="21">
        <f t="shared" si="1"/>
        <v>1.6499403628455487E-5</v>
      </c>
      <c r="H58" s="70">
        <v>47</v>
      </c>
      <c r="I58" s="160" t="n">
        <v>3.0</v>
      </c>
      <c r="J58" s="250" t="n">
        <v>0.0</v>
      </c>
      <c r="K58" s="340" t="n">
        <v>0.0</v>
      </c>
      <c r="L58">
        <f t="shared" si="2"/>
        <v>1</v>
      </c>
      <c r="M58" s="21">
        <f t="shared" si="3"/>
        <v>1.0863779074188748E-5</v>
      </c>
    </row>
    <row r="59" spans="1:13" x14ac:dyDescent="0.25">
      <c r="A59">
        <v>48</v>
      </c>
      <c r="B59" s="8" t="n">
        <v>3.066381535070813</v>
      </c>
      <c r="C59" s="8" t="n">
        <v>0.0</v>
      </c>
      <c r="D59" s="8" t="n">
        <v>0.0</v>
      </c>
      <c r="E59" s="8">
        <f t="shared" si="0"/>
        <v>3.0663815350708128</v>
      </c>
      <c r="F59" s="21">
        <f t="shared" si="1"/>
        <v>3.2682775869368769E-5</v>
      </c>
      <c r="H59" s="71">
        <v>48</v>
      </c>
      <c r="I59" s="161" t="n">
        <v>1.0</v>
      </c>
      <c r="J59" s="251" t="n">
        <v>0.0</v>
      </c>
      <c r="K59" s="341" t="n">
        <v>0.0</v>
      </c>
      <c r="L59">
        <f t="shared" si="2"/>
        <v>3</v>
      </c>
      <c r="M59" s="21">
        <f t="shared" si="3"/>
        <v>3.2591337222566244E-5</v>
      </c>
    </row>
    <row r="60" spans="1:13" x14ac:dyDescent="0.25">
      <c r="A60">
        <v>49</v>
      </c>
      <c r="B60" s="8" t="n">
        <v>4.980280725686934</v>
      </c>
      <c r="C60" s="8" t="n">
        <v>0.0</v>
      </c>
      <c r="D60" s="8" t="n">
        <v>0.0</v>
      </c>
      <c r="E60" s="8">
        <f t="shared" si="0"/>
        <v>4.9802807256869341</v>
      </c>
      <c r="F60" s="21">
        <f t="shared" si="1"/>
        <v>5.3081913278741561E-5</v>
      </c>
      <c r="H60" s="72">
        <v>49</v>
      </c>
      <c r="I60" s="162" t="n">
        <v>4.0</v>
      </c>
      <c r="J60" s="252" t="n">
        <v>0.0</v>
      </c>
      <c r="K60" s="342" t="n">
        <v>0.0</v>
      </c>
      <c r="L60">
        <f t="shared" si="2"/>
        <v>5</v>
      </c>
      <c r="M60" s="21">
        <f t="shared" si="3"/>
        <v>5.431889537094374E-5</v>
      </c>
    </row>
    <row r="61" spans="1:13" x14ac:dyDescent="0.25">
      <c r="A61">
        <v>50</v>
      </c>
      <c r="B61" s="8" t="n">
        <v>6.640264702236413</v>
      </c>
      <c r="C61" s="8" t="n">
        <v>0.0</v>
      </c>
      <c r="D61" s="8" t="n">
        <v>0.0</v>
      </c>
      <c r="E61" s="8">
        <f t="shared" si="0"/>
        <v>6.6402647022364132</v>
      </c>
      <c r="F61" s="21">
        <f t="shared" si="1"/>
        <v>7.0774716223127041E-5</v>
      </c>
      <c r="H61" s="73">
        <v>50</v>
      </c>
      <c r="I61" s="163" t="n">
        <v>1.0</v>
      </c>
      <c r="J61" s="253" t="n">
        <v>0.0</v>
      </c>
      <c r="K61" s="343" t="n">
        <v>0.0</v>
      </c>
      <c r="L61">
        <f t="shared" si="2"/>
        <v>2</v>
      </c>
      <c r="M61" s="21">
        <f t="shared" si="3"/>
        <v>2.1727558148377496E-5</v>
      </c>
    </row>
    <row r="62" spans="1:13" x14ac:dyDescent="0.25">
      <c r="A62">
        <v>51</v>
      </c>
      <c r="B62" s="8" t="n">
        <v>7.304291172460054</v>
      </c>
      <c r="C62" s="8" t="n">
        <v>0.0</v>
      </c>
      <c r="D62" s="8" t="n">
        <v>0.0</v>
      </c>
      <c r="E62" s="8">
        <f t="shared" si="0"/>
        <v>7.3042911724600543</v>
      </c>
      <c r="F62" s="21">
        <f t="shared" si="1"/>
        <v>7.7852187845439737E-5</v>
      </c>
      <c r="H62" s="74">
        <v>51</v>
      </c>
      <c r="I62" s="164" t="n">
        <v>2.0</v>
      </c>
      <c r="J62" s="254" t="n">
        <v>0.0</v>
      </c>
      <c r="K62" s="344" t="n">
        <v>0.0</v>
      </c>
      <c r="L62">
        <f t="shared" si="2"/>
        <v>3</v>
      </c>
      <c r="M62" s="21">
        <f t="shared" si="3"/>
        <v>3.2591337222566244E-5</v>
      </c>
    </row>
    <row r="63" spans="1:13" x14ac:dyDescent="0.25">
      <c r="A63">
        <v>52</v>
      </c>
      <c r="B63" s="8" t="n">
        <v>6.640264702236413</v>
      </c>
      <c r="C63" s="8" t="n">
        <v>0.0</v>
      </c>
      <c r="D63" s="8" t="n">
        <v>0.0</v>
      </c>
      <c r="E63" s="8">
        <f t="shared" si="0"/>
        <v>6.6402647022364132</v>
      </c>
      <c r="F63" s="21">
        <f t="shared" si="1"/>
        <v>7.0774716223127041E-5</v>
      </c>
      <c r="H63" s="75">
        <v>52</v>
      </c>
      <c r="I63" s="165" t="n">
        <v>0.0</v>
      </c>
      <c r="J63" s="255" t="n">
        <v>0.0</v>
      </c>
      <c r="K63" s="345" t="n">
        <v>0.0</v>
      </c>
      <c r="L63">
        <f t="shared" si="2"/>
        <v>3</v>
      </c>
      <c r="M63" s="21">
        <f t="shared" si="3"/>
        <v>3.2591337222566244E-5</v>
      </c>
    </row>
    <row r="64" spans="1:13" x14ac:dyDescent="0.25">
      <c r="A64">
        <v>53</v>
      </c>
      <c r="B64" s="8" t="n">
        <v>4.9801985266773094</v>
      </c>
      <c r="C64" s="8" t="n">
        <v>0.0</v>
      </c>
      <c r="D64" s="8" t="n">
        <v>0.0</v>
      </c>
      <c r="E64" s="8">
        <f t="shared" si="0"/>
        <v>4.9801985266773094</v>
      </c>
      <c r="F64" s="21">
        <f t="shared" si="1"/>
        <v>5.3081037167345274E-5</v>
      </c>
      <c r="H64" s="76">
        <v>53</v>
      </c>
      <c r="I64" s="166" t="n">
        <v>0.0</v>
      </c>
      <c r="J64" s="256" t="n">
        <v>0.0</v>
      </c>
      <c r="K64" s="346" t="n">
        <v>0.0</v>
      </c>
      <c r="L64">
        <f t="shared" si="2"/>
        <v>2</v>
      </c>
      <c r="M64" s="21">
        <f t="shared" si="3"/>
        <v>2.1727558148377496E-5</v>
      </c>
    </row>
    <row r="65" spans="1:13" x14ac:dyDescent="0.25">
      <c r="A65">
        <v>54</v>
      </c>
      <c r="B65" s="8" t="n">
        <v>3.064737554878344</v>
      </c>
      <c r="C65" s="8" t="n">
        <v>0.0</v>
      </c>
      <c r="D65" s="8" t="n">
        <v>0.0</v>
      </c>
      <c r="E65" s="8">
        <f t="shared" si="0"/>
        <v>3.0647375548783442</v>
      </c>
      <c r="F65" s="21">
        <f t="shared" si="1"/>
        <v>3.2665253641443243E-5</v>
      </c>
      <c r="H65" s="77">
        <v>54</v>
      </c>
      <c r="I65" s="167" t="n">
        <v>0.0</v>
      </c>
      <c r="J65" s="257" t="n">
        <v>0.0</v>
      </c>
      <c r="K65" s="347" t="n">
        <v>0.0</v>
      </c>
      <c r="L65">
        <f t="shared" si="2"/>
        <v>0</v>
      </c>
      <c r="M65" s="21">
        <f t="shared" si="3"/>
        <v>0</v>
      </c>
    </row>
    <row r="66" spans="1:13" x14ac:dyDescent="0.25">
      <c r="A66">
        <v>55</v>
      </c>
      <c r="B66" s="8" t="n">
        <v>1.5323687774391723</v>
      </c>
      <c r="C66" s="8" t="n">
        <v>0.0</v>
      </c>
      <c r="D66" s="8" t="n">
        <v>0.0</v>
      </c>
      <c r="E66" s="8">
        <f t="shared" si="0"/>
        <v>1.5323687774391723</v>
      </c>
      <c r="F66" s="21">
        <f t="shared" si="1"/>
        <v>1.6332626820721625E-5</v>
      </c>
      <c r="H66" s="78">
        <v>55</v>
      </c>
      <c r="I66" s="168" t="n">
        <v>1.0</v>
      </c>
      <c r="J66" s="258" t="n">
        <v>0.0</v>
      </c>
      <c r="K66" s="348" t="n">
        <v>0.0</v>
      </c>
      <c r="L66">
        <f t="shared" si="2"/>
        <v>1</v>
      </c>
      <c r="M66" s="21">
        <f t="shared" si="3"/>
        <v>1.0863779074188748E-5</v>
      </c>
    </row>
    <row r="67" spans="1:13" x14ac:dyDescent="0.25">
      <c r="A67">
        <v>56</v>
      </c>
      <c r="B67" s="8" t="n">
        <v>0.612947510975669</v>
      </c>
      <c r="C67" s="8" t="n">
        <v>0.0</v>
      </c>
      <c r="D67" s="8" t="n">
        <v>0.0</v>
      </c>
      <c r="E67" s="8">
        <f t="shared" si="0"/>
        <v>0.61294751097566902</v>
      </c>
      <c r="F67" s="21">
        <f t="shared" si="1"/>
        <v>6.5330507282886512E-6</v>
      </c>
      <c r="H67" s="79">
        <v>56</v>
      </c>
      <c r="I67" s="169" t="n">
        <v>1.0</v>
      </c>
      <c r="J67" s="259" t="n">
        <v>1.0</v>
      </c>
      <c r="K67" s="349" t="n">
        <v>0.0</v>
      </c>
      <c r="L67">
        <f t="shared" si="2"/>
        <v>1</v>
      </c>
      <c r="M67" s="21">
        <f t="shared" si="3"/>
        <v>1.0863779074188748E-5</v>
      </c>
    </row>
    <row r="68" spans="1:13" x14ac:dyDescent="0.25">
      <c r="A68">
        <v>57</v>
      </c>
      <c r="B68" s="8" t="n">
        <v>0.19154609717989654</v>
      </c>
      <c r="C68" s="8" t="n">
        <v>0.0</v>
      </c>
      <c r="D68" s="8" t="n">
        <v>0.0</v>
      </c>
      <c r="E68" s="8">
        <f t="shared" si="0"/>
        <v>0.19154609717989654</v>
      </c>
      <c r="F68" s="21">
        <f t="shared" si="1"/>
        <v>2.0415783525902031E-6</v>
      </c>
      <c r="H68" s="80">
        <v>57</v>
      </c>
      <c r="I68" s="170" t="n">
        <v>0.0</v>
      </c>
      <c r="J68" s="260" t="n">
        <v>0.0</v>
      </c>
      <c r="K68" s="350" t="n">
        <v>0.0</v>
      </c>
      <c r="L68">
        <f t="shared" si="2"/>
        <v>0</v>
      </c>
      <c r="M68" s="21">
        <f t="shared" si="3"/>
        <v>0</v>
      </c>
    </row>
    <row r="69" spans="1:13" x14ac:dyDescent="0.25">
      <c r="A69">
        <v>58</v>
      </c>
      <c r="B69" s="8" t="n">
        <v>0.04506966992468154</v>
      </c>
      <c r="C69" s="8" t="n">
        <v>0.0</v>
      </c>
      <c r="D69" s="8" t="n">
        <v>0.0</v>
      </c>
      <c r="E69" s="8">
        <f t="shared" si="0"/>
        <v>4.5069669924681539E-2</v>
      </c>
      <c r="F69" s="21">
        <f t="shared" si="1"/>
        <v>4.8037137708004781E-7</v>
      </c>
      <c r="H69" s="81">
        <v>58</v>
      </c>
      <c r="I69" s="171" t="n">
        <v>0.0</v>
      </c>
      <c r="J69" s="261" t="n">
        <v>0.0</v>
      </c>
      <c r="K69" s="351" t="n">
        <v>0.0</v>
      </c>
      <c r="L69">
        <f t="shared" si="2"/>
        <v>1</v>
      </c>
      <c r="M69" s="21">
        <f t="shared" si="3"/>
        <v>1.0863779074188748E-5</v>
      </c>
    </row>
    <row r="70" spans="1:13" x14ac:dyDescent="0.25">
      <c r="A70">
        <v>59</v>
      </c>
      <c r="B70" s="8" t="n">
        <v>0.00751161165411359</v>
      </c>
      <c r="C70" s="8" t="n">
        <v>0.0</v>
      </c>
      <c r="D70" s="8" t="n">
        <v>0.0</v>
      </c>
      <c r="E70" s="8">
        <f t="shared" si="0"/>
        <v>7.5116116541135902E-3</v>
      </c>
      <c r="F70" s="21">
        <f t="shared" si="1"/>
        <v>8.0061896180007974E-8</v>
      </c>
      <c r="H70" s="82">
        <v>59</v>
      </c>
      <c r="I70" s="172" t="n">
        <v>0.0</v>
      </c>
      <c r="J70" s="262" t="n">
        <v>0.0</v>
      </c>
      <c r="K70" s="352" t="n">
        <v>0.0</v>
      </c>
      <c r="L70">
        <f t="shared" si="2"/>
        <v>1</v>
      </c>
      <c r="M70" s="21">
        <f t="shared" si="3"/>
        <v>1.0863779074188748E-5</v>
      </c>
    </row>
    <row r="71" spans="1:13" x14ac:dyDescent="0.25">
      <c r="A71">
        <v>60</v>
      </c>
      <c r="B71" s="8" t="n">
        <v>7.906959635909043E-4</v>
      </c>
      <c r="C71" s="8" t="n">
        <v>0.0</v>
      </c>
      <c r="D71" s="8" t="n">
        <v>0.0</v>
      </c>
      <c r="E71" s="8">
        <f t="shared" si="0"/>
        <v>7.9069596359090434E-4</v>
      </c>
      <c r="F71" s="21">
        <f t="shared" si="1"/>
        <v>8.4275680189482088E-9</v>
      </c>
      <c r="H71" s="83">
        <v>60</v>
      </c>
      <c r="I71" s="173" t="n">
        <v>0.0</v>
      </c>
      <c r="J71" s="263" t="n">
        <v>0.0</v>
      </c>
      <c r="K71" s="353" t="n">
        <v>0.0</v>
      </c>
      <c r="L71">
        <f t="shared" si="2"/>
        <v>1</v>
      </c>
      <c r="M71" s="21">
        <f t="shared" si="3"/>
        <v>1.0863779074188748E-5</v>
      </c>
    </row>
    <row r="72" spans="1:13" x14ac:dyDescent="0.25">
      <c r="A72">
        <v>61</v>
      </c>
      <c r="B72" s="8" t="n">
        <v>3.953479817954521E-5</v>
      </c>
      <c r="C72" s="8" t="n">
        <v>0.0</v>
      </c>
      <c r="D72" s="8" t="n">
        <v>0.0</v>
      </c>
      <c r="E72" s="8">
        <f t="shared" si="0"/>
        <v>3.9534798179545209E-5</v>
      </c>
      <c r="F72" s="21">
        <f t="shared" si="1"/>
        <v>4.2137840094741034E-10</v>
      </c>
      <c r="H72" s="84">
        <v>61</v>
      </c>
      <c r="I72" s="174" t="n">
        <v>1.0</v>
      </c>
      <c r="J72" s="264" t="n">
        <v>0.0</v>
      </c>
      <c r="K72" s="354" t="n">
        <v>0.0</v>
      </c>
      <c r="L72">
        <f t="shared" si="2"/>
        <v>0</v>
      </c>
      <c r="M72" s="21">
        <f t="shared" si="3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85">
        <v>62</v>
      </c>
      <c r="I73" s="175" t="n">
        <v>0.0</v>
      </c>
      <c r="J73" s="265" t="n">
        <v>0.0</v>
      </c>
      <c r="K73" s="355" t="n">
        <v>0.0</v>
      </c>
      <c r="L73">
        <f t="shared" si="2"/>
        <v>0</v>
      </c>
      <c r="M73" s="21">
        <f t="shared" si="3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86">
        <v>63</v>
      </c>
      <c r="I74" s="176" t="n">
        <v>0.0</v>
      </c>
      <c r="J74" s="266" t="n">
        <v>0.0</v>
      </c>
      <c r="K74" s="356" t="n">
        <v>0.0</v>
      </c>
      <c r="L74">
        <f t="shared" si="2"/>
        <v>0</v>
      </c>
      <c r="M74" s="21">
        <f t="shared" si="3"/>
        <v>0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87">
        <v>64</v>
      </c>
      <c r="I75" s="177" t="n">
        <v>0.0</v>
      </c>
      <c r="J75" s="267" t="n">
        <v>0.0</v>
      </c>
      <c r="K75" s="357" t="n">
        <v>0.0</v>
      </c>
      <c r="L75">
        <f t="shared" si="2"/>
        <v>0</v>
      </c>
      <c r="M75" s="21">
        <f t="shared" si="3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88">
        <v>65</v>
      </c>
      <c r="I76" s="178" t="n">
        <v>0.0</v>
      </c>
      <c r="J76" s="268" t="n">
        <v>0.0</v>
      </c>
      <c r="K76" s="358" t="n">
        <v>0.0</v>
      </c>
      <c r="L76">
        <f t="shared" ref="L76:L101" si="6">SUM(I76:K76)</f>
        <v>0</v>
      </c>
      <c r="M76" s="21">
        <f t="shared" ref="M76:M102" si="7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89">
        <v>66</v>
      </c>
      <c r="I77" s="179" t="n">
        <v>1.0</v>
      </c>
      <c r="J77" s="269" t="n">
        <v>0.0</v>
      </c>
      <c r="K77" s="359" t="n">
        <v>0.0</v>
      </c>
      <c r="L77">
        <f t="shared" si="6"/>
        <v>0</v>
      </c>
      <c r="M77" s="21">
        <f t="shared" si="7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90">
        <v>67</v>
      </c>
      <c r="I78" s="180" t="n">
        <v>0.0</v>
      </c>
      <c r="J78" s="270" t="n">
        <v>0.0</v>
      </c>
      <c r="K78" s="360" t="n">
        <v>0.0</v>
      </c>
      <c r="L78">
        <f t="shared" si="6"/>
        <v>0</v>
      </c>
      <c r="M78" s="21">
        <f t="shared" si="7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91">
        <v>68</v>
      </c>
      <c r="I79" s="181" t="n">
        <v>0.0</v>
      </c>
      <c r="J79" s="271" t="n">
        <v>0.0</v>
      </c>
      <c r="K79" s="361" t="n">
        <v>0.0</v>
      </c>
      <c r="L79">
        <f t="shared" si="6"/>
        <v>0</v>
      </c>
      <c r="M79" s="21">
        <f t="shared" si="7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92">
        <v>69</v>
      </c>
      <c r="I80" s="182" t="n">
        <v>0.0</v>
      </c>
      <c r="J80" s="272" t="n">
        <v>0.0</v>
      </c>
      <c r="K80" s="362" t="n">
        <v>0.0</v>
      </c>
      <c r="L80">
        <f t="shared" si="6"/>
        <v>0</v>
      </c>
      <c r="M80" s="21">
        <f t="shared" si="7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93">
        <v>70</v>
      </c>
      <c r="I81" s="183" t="n">
        <v>0.0</v>
      </c>
      <c r="J81" s="273" t="n">
        <v>0.0</v>
      </c>
      <c r="K81" s="363" t="n">
        <v>0.0</v>
      </c>
      <c r="L81">
        <f t="shared" si="6"/>
        <v>0</v>
      </c>
      <c r="M81" s="21">
        <f t="shared" si="7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t="shared" si="4"/>
        <v>0</v>
      </c>
      <c r="F82" s="21">
        <f t="shared" si="5"/>
        <v>0</v>
      </c>
      <c r="H82" s="94">
        <v>71</v>
      </c>
      <c r="I82" s="184" t="n">
        <v>0.0</v>
      </c>
      <c r="J82" s="274" t="n">
        <v>0.0</v>
      </c>
      <c r="K82" s="364" t="n">
        <v>0.0</v>
      </c>
      <c r="L82">
        <f t="shared" si="6"/>
        <v>0</v>
      </c>
      <c r="M82" s="21">
        <f t="shared" si="7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t="shared" si="4"/>
        <v>0</v>
      </c>
      <c r="F83" s="21">
        <f t="shared" si="5"/>
        <v>0</v>
      </c>
      <c r="H83" s="95">
        <v>72</v>
      </c>
      <c r="I83" s="185" t="n">
        <v>0.0</v>
      </c>
      <c r="J83" s="275" t="n">
        <v>0.0</v>
      </c>
      <c r="K83" s="365" t="n">
        <v>0.0</v>
      </c>
      <c r="L83">
        <f t="shared" si="6"/>
        <v>0</v>
      </c>
      <c r="M83" s="21">
        <f t="shared" si="7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96">
        <v>73</v>
      </c>
      <c r="I84" s="186" t="n">
        <v>0.0</v>
      </c>
      <c r="J84" s="276" t="n">
        <v>0.0</v>
      </c>
      <c r="K84" s="366" t="n">
        <v>0.0</v>
      </c>
      <c r="L84">
        <f t="shared" si="6"/>
        <v>0</v>
      </c>
      <c r="M84" s="21">
        <f t="shared" si="7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t="shared" si="6"/>
        <v>0</v>
      </c>
      <c r="M85" s="21">
        <f t="shared" si="7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98">
        <v>75</v>
      </c>
      <c r="I86" s="188" t="n">
        <v>0.0</v>
      </c>
      <c r="J86" s="278" t="n">
        <v>0.0</v>
      </c>
      <c r="K86" s="368" t="n">
        <v>0.0</v>
      </c>
      <c r="L86">
        <f t="shared" si="6"/>
        <v>0</v>
      </c>
      <c r="M86" s="21">
        <f t="shared" si="7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99">
        <v>76</v>
      </c>
      <c r="I87" s="189" t="n">
        <v>0.0</v>
      </c>
      <c r="J87" s="279" t="n">
        <v>0.0</v>
      </c>
      <c r="K87" s="369" t="n">
        <v>0.0</v>
      </c>
      <c r="L87">
        <f t="shared" si="6"/>
        <v>0</v>
      </c>
      <c r="M87" s="21">
        <f t="shared" si="7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00">
        <v>77</v>
      </c>
      <c r="I88" s="190" t="n">
        <v>0.0</v>
      </c>
      <c r="J88" s="280" t="n">
        <v>0.0</v>
      </c>
      <c r="K88" s="370" t="n">
        <v>0.0</v>
      </c>
      <c r="L88">
        <f t="shared" si="6"/>
        <v>0</v>
      </c>
      <c r="M88" s="21">
        <f t="shared" si="7"/>
        <v>0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01">
        <v>78</v>
      </c>
      <c r="I89" s="191" t="n">
        <v>0.0</v>
      </c>
      <c r="J89" s="281" t="n">
        <v>0.0</v>
      </c>
      <c r="K89" s="371" t="n">
        <v>0.0</v>
      </c>
      <c r="L89">
        <f t="shared" si="6"/>
        <v>0</v>
      </c>
      <c r="M89" s="21">
        <f t="shared" si="7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t="shared" si="6"/>
        <v>0</v>
      </c>
      <c r="M90" s="21">
        <f t="shared" si="7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03">
        <v>80</v>
      </c>
      <c r="I91" s="193" t="n">
        <v>0.0</v>
      </c>
      <c r="J91" s="283" t="n">
        <v>0.0</v>
      </c>
      <c r="K91" s="373" t="n">
        <v>0.0</v>
      </c>
      <c r="L91">
        <f t="shared" si="6"/>
        <v>0</v>
      </c>
      <c r="M91" s="21">
        <f t="shared" si="7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t="shared" si="6"/>
        <v>0</v>
      </c>
      <c r="M93" s="21">
        <f t="shared" si="7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06">
        <v>83</v>
      </c>
      <c r="I94" s="196" t="n">
        <v>0.0</v>
      </c>
      <c r="J94" s="286" t="n">
        <v>0.0</v>
      </c>
      <c r="K94" s="376" t="n">
        <v>0.0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t="shared" si="6"/>
        <v>0</v>
      </c>
      <c r="M96" s="21">
        <f t="shared" si="7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t="shared" si="6"/>
        <v>0</v>
      </c>
      <c r="M97" s="21">
        <f t="shared" si="7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4">
        <v>90</v>
      </c>
      <c r="I101" s="744" t="n">
        <v>0.0</v>
      </c>
      <c r="J101" s="744" t="n">
        <v>0.0</v>
      </c>
      <c r="K101" s="744" t="n">
        <v>0.0</v>
      </c>
      <c r="L101" s="1">
        <f t="shared" si="6"/>
        <v>0</v>
      </c>
      <c r="M101" s="21">
        <f t="shared" si="7"/>
        <v>0</v>
      </c>
    </row>
    <row r="102" spans="1:13" x14ac:dyDescent="0.25">
      <c r="E102" s="8">
        <f>SUM(E11:E101)</f>
        <v>93822.554954541454</v>
      </c>
      <c r="F102" s="21">
        <f t="shared" si="5"/>
        <v>1</v>
      </c>
      <c r="L102" s="8">
        <f>SUM(L11:L101)</f>
        <v>92049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2"/>
  <sheetViews>
    <sheetView workbookViewId="0"/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53</v>
      </c>
    </row>
    <row r="3" spans="1:18" x14ac:dyDescent="0.25">
      <c r="A3" t="s">
        <v>10</v>
      </c>
    </row>
    <row r="4" spans="1:18" x14ac:dyDescent="0.25">
      <c r="A4" t="s">
        <v>9</v>
      </c>
    </row>
    <row r="5" spans="1:18" x14ac:dyDescent="0.25">
      <c r="A5" t="s">
        <v>11</v>
      </c>
    </row>
    <row r="6" spans="1:18" x14ac:dyDescent="0.25">
      <c r="A6" t="s">
        <v>12</v>
      </c>
    </row>
    <row r="7" spans="1:18" x14ac:dyDescent="0.25">
      <c r="A7" t="s">
        <v>16</v>
      </c>
    </row>
    <row r="9" spans="1:18" ht="15.75" thickBot="1" x14ac:dyDescent="0.3">
      <c r="A9" s="4" t="s">
        <v>54</v>
      </c>
      <c r="B9" s="1"/>
      <c r="C9" s="1"/>
      <c r="D9" s="1"/>
      <c r="E9" s="1"/>
      <c r="F9" s="1"/>
      <c r="H9" s="4" t="s">
        <v>18</v>
      </c>
      <c r="I9" s="1"/>
      <c r="J9" s="1"/>
      <c r="K9" s="1"/>
      <c r="L9" s="1"/>
      <c r="M9" s="1"/>
      <c r="P9" s="10" t="s">
        <v>25</v>
      </c>
    </row>
    <row r="10" spans="1:18" x14ac:dyDescent="0.25">
      <c r="A10" s="2" t="s">
        <v>22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22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383">
        <v>0</v>
      </c>
      <c r="I11" s="473" t="n">
        <v>578.0</v>
      </c>
      <c r="J11" s="563" t="n">
        <v>49.0</v>
      </c>
      <c r="K11" s="653" t="n">
        <v>15.0</v>
      </c>
      <c r="L11">
        <f>SUM(I11:K11)</f>
        <v>546</v>
      </c>
      <c r="M11" s="21">
        <f>L11/$L$102</f>
        <v>5.931623374507056E-3</v>
      </c>
      <c r="P11" t="s">
        <v>13</v>
      </c>
      <c r="Q11" s="8" t="n">
        <v>9.219646731393162</v>
      </c>
      <c r="R11" s="8" t="n">
        <v>11.443208279144134</v>
      </c>
    </row>
    <row r="12" spans="1:18" x14ac:dyDescent="0.25">
      <c r="A12">
        <v>1</v>
      </c>
      <c r="B12" s="8" t="n">
        <v>1824.39867985393</v>
      </c>
      <c r="C12" s="8" t="n">
        <v>65.44685843042524</v>
      </c>
      <c r="D12" s="8" t="n">
        <v>6.876066926746416</v>
      </c>
      <c r="E12" s="8">
        <f t="shared" ref="E12:E75" si="0">SUM(B12:D12)</f>
        <v>1896.7216052111016</v>
      </c>
      <c r="F12" s="21">
        <f t="shared" ref="F12:F75" si="1">E12/$E$102</f>
        <v>2.327259431506137E-2</v>
      </c>
      <c r="H12" s="384">
        <v>1</v>
      </c>
      <c r="I12" s="474" t="n">
        <v>1443.0</v>
      </c>
      <c r="J12" s="564" t="n">
        <v>141.0</v>
      </c>
      <c r="K12" s="654" t="n">
        <v>42.0</v>
      </c>
      <c r="L12">
        <f t="shared" ref="L12:L75" si="2">SUM(I12:K12)</f>
        <v>1975</v>
      </c>
      <c r="M12" s="21">
        <f t="shared" ref="M12:M75" si="3">L12/$L$102</f>
        <v>2.1455963671522776E-2</v>
      </c>
      <c r="P12" t="s">
        <v>14</v>
      </c>
      <c r="Q12" s="8" t="n">
        <v>9.94026219663881</v>
      </c>
      <c r="R12" s="8" t="n">
        <v>10.565828433065805</v>
      </c>
    </row>
    <row r="13" spans="1:18" x14ac:dyDescent="0.25">
      <c r="A13">
        <v>2</v>
      </c>
      <c r="B13" s="8" t="n">
        <v>3762.8413640987874</v>
      </c>
      <c r="C13" s="8" t="n">
        <v>141.9520011135085</v>
      </c>
      <c r="D13" s="8" t="n">
        <v>12.714365668721612</v>
      </c>
      <c r="E13" s="8">
        <f t="shared" si="0"/>
        <v>3917.5077308810178</v>
      </c>
      <c r="F13" s="21">
        <f t="shared" si="1"/>
        <v>4.8067448536688873E-2</v>
      </c>
      <c r="H13" s="385">
        <v>2</v>
      </c>
      <c r="I13" s="475" t="n">
        <v>2410.0</v>
      </c>
      <c r="J13" s="565" t="n">
        <v>196.0</v>
      </c>
      <c r="K13" s="655" t="n">
        <v>72.0</v>
      </c>
      <c r="L13">
        <f t="shared" si="2"/>
        <v>2847</v>
      </c>
      <c r="M13" s="21">
        <f t="shared" si="3"/>
        <v>3.0929179024215363E-2</v>
      </c>
      <c r="P13" s="6" t="s">
        <v>15</v>
      </c>
      <c r="Q13" s="11" t="n">
        <v>6.395587257942357</v>
      </c>
      <c r="R13" s="8" t="n">
        <v>10.370851979722282</v>
      </c>
    </row>
    <row r="14" spans="1:18" ht="15.75" thickBot="1" x14ac:dyDescent="0.3">
      <c r="A14">
        <v>3</v>
      </c>
      <c r="B14" s="8" t="n">
        <v>5721.86924738204</v>
      </c>
      <c r="C14" s="8" t="n">
        <v>230.02178034236664</v>
      </c>
      <c r="D14" s="8" t="n">
        <v>17.89311711812514</v>
      </c>
      <c r="E14" s="8">
        <f t="shared" si="0"/>
        <v>5969.7841448425315</v>
      </c>
      <c r="F14" s="21">
        <f t="shared" si="1"/>
        <v>7.3248685610845285E-2</v>
      </c>
      <c r="H14" s="386">
        <v>3</v>
      </c>
      <c r="I14" s="476" t="n">
        <v>3395.0</v>
      </c>
      <c r="J14" s="566" t="n">
        <v>274.0</v>
      </c>
      <c r="K14" s="656" t="n">
        <v>105.0</v>
      </c>
      <c r="L14">
        <f t="shared" si="2"/>
        <v>4311</v>
      </c>
      <c r="M14" s="21">
        <f t="shared" si="3"/>
        <v>4.6833751588827688E-2</v>
      </c>
      <c r="P14" s="1" t="s">
        <v>4</v>
      </c>
      <c r="Q14" s="12" t="n">
        <v>9.247354469819603</v>
      </c>
      <c r="R14" s="12" t="n">
        <v>11.358709746044422</v>
      </c>
    </row>
    <row r="15" spans="1:18" x14ac:dyDescent="0.25">
      <c r="A15">
        <v>4</v>
      </c>
      <c r="B15" s="8" t="n">
        <v>7363.335181259101</v>
      </c>
      <c r="C15" s="8" t="n">
        <v>315.9572946791024</v>
      </c>
      <c r="D15" s="8" t="n">
        <v>23.8694419862198</v>
      </c>
      <c r="E15" s="8">
        <f t="shared" si="0"/>
        <v>7703.1619179244226</v>
      </c>
      <c r="F15" s="21">
        <f t="shared" si="1"/>
        <v>9.4517066588236831E-2</v>
      </c>
      <c r="H15" s="387">
        <v>4</v>
      </c>
      <c r="I15" s="477" t="n">
        <v>4575.0</v>
      </c>
      <c r="J15" s="567" t="n">
        <v>368.0</v>
      </c>
      <c r="K15" s="657" t="n">
        <v>135.0</v>
      </c>
      <c r="L15">
        <f t="shared" si="2"/>
        <v>6132</v>
      </c>
      <c r="M15" s="21">
        <f t="shared" si="3"/>
        <v>6.6616693282925396E-2</v>
      </c>
    </row>
    <row r="16" spans="1:18" x14ac:dyDescent="0.25">
      <c r="A16">
        <v>5</v>
      </c>
      <c r="B16" s="8" t="n">
        <v>8277.923211964275</v>
      </c>
      <c r="C16" s="8" t="n">
        <v>378.41814840679564</v>
      </c>
      <c r="D16" s="8" t="n">
        <v>31.18326407219784</v>
      </c>
      <c r="E16" s="8">
        <f t="shared" si="0"/>
        <v>8687.5246244432692</v>
      </c>
      <c r="F16" s="21">
        <f t="shared" si="1"/>
        <v>0.10659510369434089</v>
      </c>
      <c r="H16" s="388">
        <v>5</v>
      </c>
      <c r="I16" s="478" t="n">
        <v>5280.0</v>
      </c>
      <c r="J16" s="568" t="n">
        <v>444.0</v>
      </c>
      <c r="K16" s="658" t="n">
        <v>152.0</v>
      </c>
      <c r="L16">
        <f t="shared" si="2"/>
        <v>7185</v>
      </c>
      <c r="M16" s="21">
        <f t="shared" si="3"/>
        <v>7.8056252648046151E-2</v>
      </c>
    </row>
    <row r="17" spans="1:13" x14ac:dyDescent="0.25">
      <c r="A17">
        <v>6</v>
      </c>
      <c r="B17" s="8" t="n">
        <v>8242.546771221545</v>
      </c>
      <c r="C17" s="8" t="n">
        <v>401.39481037725716</v>
      </c>
      <c r="D17" s="8" t="n">
        <v>37.908671176832584</v>
      </c>
      <c r="E17" s="8">
        <f t="shared" si="0"/>
        <v>8681.8502527756336</v>
      </c>
      <c r="F17" s="21">
        <f t="shared" si="1"/>
        <v>0.10652547969182469</v>
      </c>
      <c r="H17" s="389">
        <v>6</v>
      </c>
      <c r="I17" s="479" t="n">
        <v>6004.0</v>
      </c>
      <c r="J17" s="569" t="n">
        <v>515.0</v>
      </c>
      <c r="K17" s="659" t="n">
        <v>161.0</v>
      </c>
      <c r="L17">
        <f t="shared" si="2"/>
        <v>7467</v>
      </c>
      <c r="M17" s="21">
        <f t="shared" si="3"/>
        <v>8.1119838346967371E-2</v>
      </c>
    </row>
    <row r="18" spans="1:13" x14ac:dyDescent="0.25">
      <c r="A18">
        <v>7</v>
      </c>
      <c r="B18" s="8" t="n">
        <v>7365.481220915635</v>
      </c>
      <c r="C18" s="8" t="n">
        <v>383.89682470331275</v>
      </c>
      <c r="D18" s="8" t="n">
        <v>40.56684090908204</v>
      </c>
      <c r="E18" s="8">
        <f t="shared" si="0"/>
        <v>7789.9448865280301</v>
      </c>
      <c r="F18" s="21">
        <f t="shared" si="1"/>
        <v>9.5581885387273857E-2</v>
      </c>
      <c r="H18" s="390">
        <v>7</v>
      </c>
      <c r="I18" s="480" t="n">
        <v>6623.0</v>
      </c>
      <c r="J18" s="570" t="n">
        <v>563.0</v>
      </c>
      <c r="K18" s="660" t="n">
        <v>194.0</v>
      </c>
      <c r="L18">
        <f t="shared" si="2"/>
        <v>7191</v>
      </c>
      <c r="M18" s="21">
        <f t="shared" si="3"/>
        <v>7.8121435322491287E-2</v>
      </c>
    </row>
    <row r="19" spans="1:13" x14ac:dyDescent="0.25">
      <c r="A19">
        <v>8</v>
      </c>
      <c r="B19" s="8" t="n">
        <v>6017.880662205709</v>
      </c>
      <c r="C19" s="8" t="n">
        <v>338.90703156574716</v>
      </c>
      <c r="D19" s="8" t="n">
        <v>36.96898600034748</v>
      </c>
      <c r="E19" s="8">
        <f t="shared" si="0"/>
        <v>6393.7566797718036</v>
      </c>
      <c r="F19" s="21">
        <f t="shared" si="1"/>
        <v>7.8450788428163568E-2</v>
      </c>
      <c r="H19" s="391">
        <v>8</v>
      </c>
      <c r="I19" s="481" t="n">
        <v>6397.0</v>
      </c>
      <c r="J19" s="571" t="n">
        <v>505.0</v>
      </c>
      <c r="K19" s="661" t="n">
        <v>192.0</v>
      </c>
      <c r="L19">
        <f t="shared" si="2"/>
        <v>6303</v>
      </c>
      <c r="M19" s="21">
        <f t="shared" si="3"/>
        <v>6.8474399504611677E-2</v>
      </c>
    </row>
    <row r="20" spans="1:13" x14ac:dyDescent="0.25">
      <c r="A20">
        <v>9</v>
      </c>
      <c r="B20" s="8" t="n">
        <v>4624.15205304072</v>
      </c>
      <c r="C20" s="8" t="n">
        <v>283.7378944957414</v>
      </c>
      <c r="D20" s="8" t="n">
        <v>28.201859554442493</v>
      </c>
      <c r="E20" s="8">
        <f t="shared" si="0"/>
        <v>4936.0918070909038</v>
      </c>
      <c r="F20" s="21">
        <f t="shared" si="1"/>
        <v>6.056537860522726E-2</v>
      </c>
      <c r="H20" s="392">
        <v>9</v>
      </c>
      <c r="I20" s="482" t="n">
        <v>5862.0</v>
      </c>
      <c r="J20" s="572" t="n">
        <v>443.0</v>
      </c>
      <c r="K20" s="662" t="n">
        <v>166.0</v>
      </c>
      <c r="L20">
        <f t="shared" si="2"/>
        <v>5953</v>
      </c>
      <c r="M20" s="21">
        <f t="shared" si="3"/>
        <v>6.4672076828645619E-2</v>
      </c>
    </row>
    <row r="21" spans="1:13" x14ac:dyDescent="0.25">
      <c r="A21">
        <v>10</v>
      </c>
      <c r="B21" s="8" t="n">
        <v>3474.701785247775</v>
      </c>
      <c r="C21" s="8" t="n">
        <v>231.06081414759797</v>
      </c>
      <c r="D21" s="8" t="n">
        <v>17.81293529933175</v>
      </c>
      <c r="E21" s="8">
        <f t="shared" si="0"/>
        <v>3723.5755346947053</v>
      </c>
      <c r="F21" s="21">
        <f t="shared" si="1"/>
        <v>4.5687918871358459E-2</v>
      </c>
      <c r="H21" s="393">
        <v>10</v>
      </c>
      <c r="I21" s="483" t="n">
        <v>5653.0</v>
      </c>
      <c r="J21" s="573" t="n">
        <v>372.0</v>
      </c>
      <c r="K21" s="663" t="n">
        <v>170.0</v>
      </c>
      <c r="L21">
        <f t="shared" si="2"/>
        <v>5491</v>
      </c>
      <c r="M21" s="21">
        <f t="shared" si="3"/>
        <v>5.9653010896370415E-2</v>
      </c>
    </row>
    <row r="22" spans="1:13" x14ac:dyDescent="0.25">
      <c r="A22">
        <v>11</v>
      </c>
      <c r="B22" s="8" t="n">
        <v>2667.0388827824727</v>
      </c>
      <c r="C22" s="8" t="n">
        <v>187.2477412356583</v>
      </c>
      <c r="D22" s="8" t="n">
        <v>9.217553510045443</v>
      </c>
      <c r="E22" s="8">
        <f t="shared" si="0"/>
        <v>2863.5041775281766</v>
      </c>
      <c r="F22" s="21">
        <f t="shared" si="1"/>
        <v>3.513492484084383E-2</v>
      </c>
      <c r="H22" s="394">
        <v>11</v>
      </c>
      <c r="I22" s="484" t="n">
        <v>5087.0</v>
      </c>
      <c r="J22" s="574" t="n">
        <v>371.0</v>
      </c>
      <c r="K22" s="664" t="n">
        <v>137.0</v>
      </c>
      <c r="L22">
        <f t="shared" si="2"/>
        <v>4824</v>
      </c>
      <c r="M22" s="21">
        <f t="shared" si="3"/>
        <v>5.2406870253886517E-2</v>
      </c>
    </row>
    <row r="23" spans="1:13" x14ac:dyDescent="0.25">
      <c r="A23">
        <v>12</v>
      </c>
      <c r="B23" s="8" t="n">
        <v>2160.691208853361</v>
      </c>
      <c r="C23" s="8" t="n">
        <v>156.09964827633559</v>
      </c>
      <c r="D23" s="8" t="n">
        <v>3.8551039232352284</v>
      </c>
      <c r="E23" s="8">
        <f t="shared" si="0"/>
        <v>2320.6459610529319</v>
      </c>
      <c r="F23" s="21">
        <f t="shared" si="1"/>
        <v>2.8474105979543401E-2</v>
      </c>
      <c r="H23" s="395">
        <v>12</v>
      </c>
      <c r="I23" s="485" t="n">
        <v>4381.0</v>
      </c>
      <c r="J23" s="575" t="n">
        <v>286.0</v>
      </c>
      <c r="K23" s="665" t="n">
        <v>120.0</v>
      </c>
      <c r="L23">
        <f t="shared" si="2"/>
        <v>3989</v>
      </c>
      <c r="M23" s="21">
        <f t="shared" si="3"/>
        <v>4.3335614726938913E-2</v>
      </c>
    </row>
    <row r="24" spans="1:13" x14ac:dyDescent="0.25">
      <c r="A24">
        <v>13</v>
      </c>
      <c r="B24" s="8" t="n">
        <v>1864.7292681944118</v>
      </c>
      <c r="C24" s="8" t="n">
        <v>141.14332109633276</v>
      </c>
      <c r="D24" s="8" t="n">
        <v>1.2784369165307976</v>
      </c>
      <c r="E24" s="8">
        <f t="shared" si="0"/>
        <v>2007.1510262072754</v>
      </c>
      <c r="F24" s="21">
        <f t="shared" si="1"/>
        <v>2.4627552843624678E-2</v>
      </c>
      <c r="H24" s="396">
        <v>13</v>
      </c>
      <c r="I24" s="486" t="n">
        <v>3649.0</v>
      </c>
      <c r="J24" s="576" t="n">
        <v>252.0</v>
      </c>
      <c r="K24" s="666" t="n">
        <v>75.0</v>
      </c>
      <c r="L24">
        <f t="shared" si="2"/>
        <v>3089</v>
      </c>
      <c r="M24" s="21">
        <f t="shared" si="3"/>
        <v>3.355821356016904E-2</v>
      </c>
    </row>
    <row r="25" spans="1:13" x14ac:dyDescent="0.25">
      <c r="A25">
        <v>14</v>
      </c>
      <c r="B25" s="8" t="n">
        <v>1693.5099791894745</v>
      </c>
      <c r="C25" s="8" t="n">
        <v>142.94145748439396</v>
      </c>
      <c r="D25" s="8" t="n">
        <v>0.32683368283090175</v>
      </c>
      <c r="E25" s="8">
        <f t="shared" si="0"/>
        <v>1836.7782703566995</v>
      </c>
      <c r="F25" s="21">
        <f t="shared" si="1"/>
        <v>2.2537095278130689E-2</v>
      </c>
      <c r="H25" s="397">
        <v>14</v>
      </c>
      <c r="I25" s="487" t="n">
        <v>2887.0</v>
      </c>
      <c r="J25" s="577" t="n">
        <v>195.0</v>
      </c>
      <c r="K25" s="667" t="n">
        <v>74.0</v>
      </c>
      <c r="L25">
        <f t="shared" si="2"/>
        <v>2885</v>
      </c>
      <c r="M25" s="21">
        <f t="shared" si="3"/>
        <v>3.1342002629034534E-2</v>
      </c>
    </row>
    <row r="26" spans="1:13" x14ac:dyDescent="0.25">
      <c r="A26">
        <v>15</v>
      </c>
      <c r="B26" s="8" t="n">
        <v>1579.2918728842994</v>
      </c>
      <c r="C26" s="8" t="n">
        <v>154.9456780817195</v>
      </c>
      <c r="D26" s="8" t="n">
        <v>0.06170144619080616</v>
      </c>
      <c r="E26" s="8">
        <f t="shared" si="0"/>
        <v>1734.2992524122099</v>
      </c>
      <c r="F26" s="21">
        <f t="shared" si="1"/>
        <v>2.127968744143208E-2</v>
      </c>
      <c r="H26" s="398">
        <v>15</v>
      </c>
      <c r="I26" s="488" t="n">
        <v>2441.0</v>
      </c>
      <c r="J26" s="578" t="n">
        <v>167.0</v>
      </c>
      <c r="K26" s="668" t="n">
        <v>56.0</v>
      </c>
      <c r="L26">
        <f t="shared" si="2"/>
        <v>2503</v>
      </c>
      <c r="M26" s="21">
        <f t="shared" si="3"/>
        <v>2.7192039022694434E-2</v>
      </c>
    </row>
    <row r="27" spans="1:13" x14ac:dyDescent="0.25">
      <c r="A27">
        <v>16</v>
      </c>
      <c r="B27" s="8" t="n">
        <v>1467.0757645032254</v>
      </c>
      <c r="C27" s="8" t="n">
        <v>164.27463042034657</v>
      </c>
      <c r="D27" s="8" t="n">
        <v>0.008016818697766798</v>
      </c>
      <c r="E27" s="8">
        <f t="shared" si="0"/>
        <v>1631.3584117422697</v>
      </c>
      <c r="F27" s="21">
        <f t="shared" si="1"/>
        <v>2.0016613083666094E-2</v>
      </c>
      <c r="H27" s="399">
        <v>16</v>
      </c>
      <c r="I27" s="489" t="n">
        <v>2177.0</v>
      </c>
      <c r="J27" s="579" t="n">
        <v>142.0</v>
      </c>
      <c r="K27" s="669" t="n">
        <v>44.0</v>
      </c>
      <c r="L27">
        <f t="shared" si="2"/>
        <v>2285</v>
      </c>
      <c r="M27" s="21">
        <f t="shared" si="3"/>
        <v>2.4823735184521287E-2</v>
      </c>
    </row>
    <row r="28" spans="1:13" x14ac:dyDescent="0.25">
      <c r="A28">
        <v>17</v>
      </c>
      <c r="B28" s="8" t="n">
        <v>1317.3208012813222</v>
      </c>
      <c r="C28" s="8" t="n">
        <v>158.9116190774766</v>
      </c>
      <c r="D28" s="8" t="n">
        <v>6.291303786458935E-4</v>
      </c>
      <c r="E28" s="8">
        <f t="shared" si="0"/>
        <v>1476.2330494891776</v>
      </c>
      <c r="F28" s="21">
        <f t="shared" si="1"/>
        <v>1.8113239592388052E-2</v>
      </c>
      <c r="H28" s="400">
        <v>17</v>
      </c>
      <c r="I28" s="490" t="n">
        <v>1875.0</v>
      </c>
      <c r="J28" s="580" t="n">
        <v>120.0</v>
      </c>
      <c r="K28" s="670" t="n">
        <v>31.0</v>
      </c>
      <c r="L28">
        <f t="shared" si="2"/>
        <v>1916</v>
      </c>
      <c r="M28" s="21">
        <f t="shared" si="3"/>
        <v>2.0815000706145639E-2</v>
      </c>
    </row>
    <row r="29" spans="1:13" x14ac:dyDescent="0.25">
      <c r="A29">
        <v>18</v>
      </c>
      <c r="B29" s="8" t="n">
        <v>1118.498546011559</v>
      </c>
      <c r="C29" s="8" t="n">
        <v>135.48430030845626</v>
      </c>
      <c r="D29" s="8" t="n">
        <v>2.1741851786433698E-5</v>
      </c>
      <c r="E29" s="8">
        <f t="shared" si="0"/>
        <v>1253.9828680618671</v>
      </c>
      <c r="F29" s="21">
        <f t="shared" si="1"/>
        <v>1.5386250932272633E-2</v>
      </c>
      <c r="H29" s="401">
        <v>18</v>
      </c>
      <c r="I29" s="491" t="n">
        <v>1575.0</v>
      </c>
      <c r="J29" s="581" t="n">
        <v>103.0</v>
      </c>
      <c r="K29" s="671" t="n">
        <v>32.0</v>
      </c>
      <c r="L29">
        <f t="shared" si="2"/>
        <v>1718</v>
      </c>
      <c r="M29" s="21">
        <f t="shared" si="3"/>
        <v>1.8663972449456268E-2</v>
      </c>
    </row>
    <row r="30" spans="1:13" x14ac:dyDescent="0.25">
      <c r="A30">
        <v>19</v>
      </c>
      <c r="B30" s="8" t="n">
        <v>892.5893856819607</v>
      </c>
      <c r="C30" s="8" t="n">
        <v>100.64030024293173</v>
      </c>
      <c r="D30" s="8" t="n">
        <v>0.0</v>
      </c>
      <c r="E30" s="8">
        <f t="shared" si="0"/>
        <v>993.22968592489246</v>
      </c>
      <c r="F30" s="21">
        <f t="shared" si="1"/>
        <v>1.2186834102959027E-2</v>
      </c>
      <c r="H30" s="402">
        <v>19</v>
      </c>
      <c r="I30" s="492" t="n">
        <v>1351.0</v>
      </c>
      <c r="J30" s="582" t="n">
        <v>79.0</v>
      </c>
      <c r="K30" s="672" t="n">
        <v>20.0</v>
      </c>
      <c r="L30">
        <f t="shared" si="2"/>
        <v>1426</v>
      </c>
      <c r="M30" s="21">
        <f t="shared" si="3"/>
        <v>1.5491748959793154E-2</v>
      </c>
    </row>
    <row r="31" spans="1:13" x14ac:dyDescent="0.25">
      <c r="A31">
        <v>20</v>
      </c>
      <c r="B31" s="8" t="n">
        <v>681.3707438891973</v>
      </c>
      <c r="C31" s="8" t="n">
        <v>65.4054770902455</v>
      </c>
      <c r="D31" s="8" t="n">
        <v>0.0</v>
      </c>
      <c r="E31" s="8">
        <f t="shared" si="0"/>
        <v>746.77622097944288</v>
      </c>
      <c r="F31" s="21">
        <f t="shared" si="1"/>
        <v>9.162873448185822E-3</v>
      </c>
      <c r="H31" s="403">
        <v>20</v>
      </c>
      <c r="I31" s="493" t="n">
        <v>1129.0</v>
      </c>
      <c r="J31" s="583" t="n">
        <v>65.0</v>
      </c>
      <c r="K31" s="673" t="n">
        <v>18.0</v>
      </c>
      <c r="L31">
        <f t="shared" si="2"/>
        <v>1317</v>
      </c>
      <c r="M31" s="21">
        <f t="shared" si="3"/>
        <v>1.430759704070658E-2</v>
      </c>
    </row>
    <row r="32" spans="1:13" x14ac:dyDescent="0.25">
      <c r="A32">
        <v>21</v>
      </c>
      <c r="B32" s="8" t="n">
        <v>521.0001398689562</v>
      </c>
      <c r="C32" s="8" t="n">
        <v>38.13465874333174</v>
      </c>
      <c r="D32" s="8" t="n">
        <v>0.0</v>
      </c>
      <c r="E32" s="8">
        <f t="shared" si="0"/>
        <v>559.13479861228802</v>
      </c>
      <c r="F32" s="21">
        <f t="shared" si="1"/>
        <v>6.8605309813450713E-3</v>
      </c>
      <c r="H32" s="404">
        <v>21</v>
      </c>
      <c r="I32" s="494" t="n">
        <v>921.0</v>
      </c>
      <c r="J32" s="584" t="n">
        <v>55.0</v>
      </c>
      <c r="K32" s="674" t="n">
        <v>19.0</v>
      </c>
      <c r="L32">
        <f t="shared" si="2"/>
        <v>1205</v>
      </c>
      <c r="M32" s="21">
        <f t="shared" si="3"/>
        <v>1.3090853784397441E-2</v>
      </c>
    </row>
    <row r="33" spans="1:13" x14ac:dyDescent="0.25">
      <c r="A33">
        <v>22</v>
      </c>
      <c r="B33" s="8" t="n">
        <v>423.4675406128551</v>
      </c>
      <c r="C33" s="8" t="n">
        <v>21.320743040508198</v>
      </c>
      <c r="D33" s="8" t="n">
        <v>0.0</v>
      </c>
      <c r="E33" s="8">
        <f t="shared" si="0"/>
        <v>444.78828365336329</v>
      </c>
      <c r="F33" s="21">
        <f t="shared" si="1"/>
        <v>5.4575100811408098E-3</v>
      </c>
      <c r="H33" s="405">
        <v>22</v>
      </c>
      <c r="I33" s="495" t="n">
        <v>811.0</v>
      </c>
      <c r="J33" s="585" t="n">
        <v>69.0</v>
      </c>
      <c r="K33" s="675" t="n">
        <v>16.0</v>
      </c>
      <c r="L33">
        <f t="shared" si="2"/>
        <v>1128</v>
      </c>
      <c r="M33" s="21">
        <f t="shared" si="3"/>
        <v>1.2254342795684907E-2</v>
      </c>
    </row>
    <row r="34" spans="1:13" x14ac:dyDescent="0.25">
      <c r="A34">
        <v>23</v>
      </c>
      <c r="B34" s="8" t="n">
        <v>375.69267335515576</v>
      </c>
      <c r="C34" s="8" t="n">
        <v>12.828011535531122</v>
      </c>
      <c r="D34" s="8" t="n">
        <v>0.0</v>
      </c>
      <c r="E34" s="8">
        <f t="shared" si="0"/>
        <v>388.52068489068688</v>
      </c>
      <c r="F34" s="21">
        <f t="shared" si="1"/>
        <v>4.7671119776507235E-3</v>
      </c>
      <c r="H34" s="406">
        <v>23</v>
      </c>
      <c r="I34" s="496" t="n">
        <v>782.0</v>
      </c>
      <c r="J34" s="586" t="n">
        <v>42.0</v>
      </c>
      <c r="K34" s="676" t="n">
        <v>12.0</v>
      </c>
      <c r="L34">
        <f t="shared" si="2"/>
        <v>905</v>
      </c>
      <c r="M34" s="21">
        <f t="shared" si="3"/>
        <v>9.8317200621408155E-3</v>
      </c>
    </row>
    <row r="35" spans="1:13" x14ac:dyDescent="0.25">
      <c r="A35">
        <v>24</v>
      </c>
      <c r="B35" s="8" t="n">
        <v>351.9269750001638</v>
      </c>
      <c r="C35" s="8" t="n">
        <v>8.919676124400997</v>
      </c>
      <c r="D35" s="8" t="n">
        <v>0.0</v>
      </c>
      <c r="E35" s="8">
        <f t="shared" si="0"/>
        <v>360.8466511245648</v>
      </c>
      <c r="F35" s="21">
        <f t="shared" si="1"/>
        <v>4.4275542064254689E-3</v>
      </c>
      <c r="H35" s="407">
        <v>24</v>
      </c>
      <c r="I35" s="497" t="n">
        <v>610.0</v>
      </c>
      <c r="J35" s="587" t="n">
        <v>31.0</v>
      </c>
      <c r="K35" s="677" t="n">
        <v>17.0</v>
      </c>
      <c r="L35">
        <f t="shared" si="2"/>
        <v>800</v>
      </c>
      <c r="M35" s="21">
        <f t="shared" si="3"/>
        <v>8.6910232593509981E-3</v>
      </c>
    </row>
    <row r="36" spans="1:13" x14ac:dyDescent="0.25">
      <c r="A36">
        <v>25</v>
      </c>
      <c r="B36" s="8" t="n">
        <v>328.23866417491945</v>
      </c>
      <c r="C36" s="8" t="n">
        <v>6.634256300714953</v>
      </c>
      <c r="D36" s="8" t="n">
        <v>0.0</v>
      </c>
      <c r="E36" s="8">
        <f t="shared" si="0"/>
        <v>334.87292047563443</v>
      </c>
      <c r="F36" s="21">
        <f t="shared" si="1"/>
        <v>4.1088589932848163E-3</v>
      </c>
      <c r="H36" s="408">
        <v>25</v>
      </c>
      <c r="I36" s="498" t="n">
        <v>521.0</v>
      </c>
      <c r="J36" s="588" t="n">
        <v>38.0</v>
      </c>
      <c r="K36" s="678" t="n">
        <v>11.0</v>
      </c>
      <c r="L36">
        <f t="shared" si="2"/>
        <v>736</v>
      </c>
      <c r="M36" s="21">
        <f t="shared" si="3"/>
        <v>7.9957413986029187E-3</v>
      </c>
    </row>
    <row r="37" spans="1:13" x14ac:dyDescent="0.25">
      <c r="A37">
        <v>26</v>
      </c>
      <c r="B37" s="8" t="n">
        <v>291.3742159929624</v>
      </c>
      <c r="C37" s="8" t="n">
        <v>4.6277556377065885</v>
      </c>
      <c r="D37" s="8" t="n">
        <v>0.0</v>
      </c>
      <c r="E37" s="8">
        <f t="shared" si="0"/>
        <v>296.00197163066895</v>
      </c>
      <c r="F37" s="21">
        <f t="shared" si="1"/>
        <v>3.6319161353424662E-3</v>
      </c>
      <c r="H37" s="409">
        <v>26</v>
      </c>
      <c r="I37" s="499" t="n">
        <v>445.0</v>
      </c>
      <c r="J37" s="589" t="n">
        <v>29.0</v>
      </c>
      <c r="K37" s="679" t="n">
        <v>12.0</v>
      </c>
      <c r="L37">
        <f t="shared" si="2"/>
        <v>588</v>
      </c>
      <c r="M37" s="21">
        <f t="shared" si="3"/>
        <v>6.3879020956229835E-3</v>
      </c>
    </row>
    <row r="38" spans="1:13" x14ac:dyDescent="0.25">
      <c r="A38">
        <v>27</v>
      </c>
      <c r="B38" s="8" t="n">
        <v>240.3934653508169</v>
      </c>
      <c r="C38" s="8" t="n">
        <v>2.7825875081903213</v>
      </c>
      <c r="D38" s="8" t="n">
        <v>0.0</v>
      </c>
      <c r="E38" s="8">
        <f t="shared" si="0"/>
        <v>243.17605285900723</v>
      </c>
      <c r="F38" s="21">
        <f t="shared" si="1"/>
        <v>2.9837471191222712E-3</v>
      </c>
      <c r="H38" s="410">
        <v>27</v>
      </c>
      <c r="I38" s="500" t="n">
        <v>430.0</v>
      </c>
      <c r="J38" s="590" t="n">
        <v>14.0</v>
      </c>
      <c r="K38" s="680" t="n">
        <v>12.0</v>
      </c>
      <c r="L38">
        <f t="shared" si="2"/>
        <v>527</v>
      </c>
      <c r="M38" s="21">
        <f t="shared" si="3"/>
        <v>5.7252115720974701E-3</v>
      </c>
    </row>
    <row r="39" spans="1:13" x14ac:dyDescent="0.25">
      <c r="A39">
        <v>28</v>
      </c>
      <c r="B39" s="8" t="n">
        <v>183.0002511589933</v>
      </c>
      <c r="C39" s="8" t="n">
        <v>1.3822682314237262</v>
      </c>
      <c r="D39" s="8" t="n">
        <v>0.0</v>
      </c>
      <c r="E39" s="8">
        <f t="shared" si="0"/>
        <v>184.38251939041703</v>
      </c>
      <c r="F39" s="21">
        <f t="shared" si="1"/>
        <v>2.2623560362115057E-3</v>
      </c>
      <c r="H39" s="411">
        <v>28</v>
      </c>
      <c r="I39" s="501" t="n">
        <v>325.0</v>
      </c>
      <c r="J39" s="591" t="n">
        <v>17.0</v>
      </c>
      <c r="K39" s="681" t="n">
        <v>7.0</v>
      </c>
      <c r="L39">
        <f t="shared" si="2"/>
        <v>481</v>
      </c>
      <c r="M39" s="21">
        <f t="shared" si="3"/>
        <v>5.225477734684787E-3</v>
      </c>
    </row>
    <row r="40" spans="1:13" x14ac:dyDescent="0.25">
      <c r="A40">
        <v>29</v>
      </c>
      <c r="B40" s="8" t="n">
        <v>129.7333841923859</v>
      </c>
      <c r="C40" s="8" t="n">
        <v>0.5528892502279741</v>
      </c>
      <c r="D40" s="8" t="n">
        <v>0.0</v>
      </c>
      <c r="E40" s="8">
        <f t="shared" si="0"/>
        <v>130.28627344261386</v>
      </c>
      <c r="F40" s="21">
        <f t="shared" si="1"/>
        <v>1.5986002259480981E-3</v>
      </c>
      <c r="H40" s="412">
        <v>29</v>
      </c>
      <c r="I40" s="502" t="n">
        <v>332.0</v>
      </c>
      <c r="J40" s="592" t="n">
        <v>20.0</v>
      </c>
      <c r="K40" s="682" t="n">
        <v>5.0</v>
      </c>
      <c r="L40">
        <f t="shared" si="2"/>
        <v>422</v>
      </c>
      <c r="M40" s="21">
        <f t="shared" si="3"/>
        <v>4.584514769307651E-3</v>
      </c>
    </row>
    <row r="41" spans="1:13" x14ac:dyDescent="0.25">
      <c r="A41">
        <v>30</v>
      </c>
      <c r="B41" s="8" t="n">
        <v>89.09120114926053</v>
      </c>
      <c r="C41" s="8" t="n">
        <v>0.1802921775999145</v>
      </c>
      <c r="D41" s="8" t="n">
        <v>0.0</v>
      </c>
      <c r="E41" s="8">
        <f t="shared" si="0"/>
        <v>89.271493326860437</v>
      </c>
      <c r="F41" s="21">
        <f t="shared" si="1"/>
        <v>1.095352761516364E-3</v>
      </c>
      <c r="H41" s="413">
        <v>30</v>
      </c>
      <c r="I41" s="503" t="n">
        <v>238.0</v>
      </c>
      <c r="J41" s="593" t="n">
        <v>19.0</v>
      </c>
      <c r="K41" s="683" t="n">
        <v>5.0</v>
      </c>
      <c r="L41">
        <f t="shared" si="2"/>
        <v>348</v>
      </c>
      <c r="M41" s="21">
        <f t="shared" si="3"/>
        <v>3.7805951178176839E-3</v>
      </c>
    </row>
    <row r="42" spans="1:13" x14ac:dyDescent="0.25">
      <c r="A42">
        <v>31</v>
      </c>
      <c r="B42" s="8" t="n">
        <v>65.37415757331247</v>
      </c>
      <c r="C42" s="8" t="n">
        <v>0.08742992681647062</v>
      </c>
      <c r="D42" s="8" t="n">
        <v>0.0</v>
      </c>
      <c r="E42" s="8">
        <f t="shared" si="0"/>
        <v>65.461587500128942</v>
      </c>
      <c r="F42" s="21">
        <f t="shared" si="1"/>
        <v>8.0320747384581763E-4</v>
      </c>
      <c r="H42" s="414">
        <v>31</v>
      </c>
      <c r="I42" s="504" t="n">
        <v>237.0</v>
      </c>
      <c r="J42" s="594" t="n">
        <v>12.0</v>
      </c>
      <c r="K42" s="684" t="n">
        <v>6.0</v>
      </c>
      <c r="L42">
        <f t="shared" si="2"/>
        <v>318</v>
      </c>
      <c r="M42" s="21">
        <f t="shared" si="3"/>
        <v>3.4546817455920215E-3</v>
      </c>
    </row>
    <row r="43" spans="1:13" x14ac:dyDescent="0.25">
      <c r="A43">
        <v>32</v>
      </c>
      <c r="B43" s="8" t="n">
        <v>59.21567157577679</v>
      </c>
      <c r="C43" s="8" t="n">
        <v>0.20585666583949738</v>
      </c>
      <c r="D43" s="8" t="n">
        <v>0.0</v>
      </c>
      <c r="E43" s="8">
        <f t="shared" si="0"/>
        <v>59.421528241616286</v>
      </c>
      <c r="F43" s="21">
        <f t="shared" si="1"/>
        <v>7.2909651925127114E-4</v>
      </c>
      <c r="H43" s="415">
        <v>32</v>
      </c>
      <c r="I43" s="505" t="n">
        <v>206.0</v>
      </c>
      <c r="J43" s="595" t="n">
        <v>11.0</v>
      </c>
      <c r="K43" s="685" t="n">
        <v>1.0</v>
      </c>
      <c r="L43">
        <f t="shared" si="2"/>
        <v>324</v>
      </c>
      <c r="M43" s="21">
        <f t="shared" si="3"/>
        <v>3.5198644200371541E-3</v>
      </c>
    </row>
    <row r="44" spans="1:13" x14ac:dyDescent="0.25">
      <c r="A44">
        <v>33</v>
      </c>
      <c r="B44" s="8" t="n">
        <v>69.25777701834963</v>
      </c>
      <c r="C44" s="8" t="n">
        <v>0.6378082119751702</v>
      </c>
      <c r="D44" s="8" t="n">
        <v>0.0</v>
      </c>
      <c r="E44" s="8">
        <f t="shared" si="0"/>
        <v>69.895585230324798</v>
      </c>
      <c r="F44" s="21">
        <f t="shared" si="1"/>
        <v>8.5761220571856187E-4</v>
      </c>
      <c r="H44" s="416">
        <v>33</v>
      </c>
      <c r="I44" s="506" t="n">
        <v>176.0</v>
      </c>
      <c r="J44" s="596" t="n">
        <v>14.0</v>
      </c>
      <c r="K44" s="686" t="n">
        <v>3.0</v>
      </c>
      <c r="L44">
        <f t="shared" si="2"/>
        <v>280</v>
      </c>
      <c r="M44" s="21">
        <f t="shared" si="3"/>
        <v>3.0418581407728493E-3</v>
      </c>
    </row>
    <row r="45" spans="1:13" x14ac:dyDescent="0.25">
      <c r="A45">
        <v>34</v>
      </c>
      <c r="B45" s="8" t="n">
        <v>92.85870250575583</v>
      </c>
      <c r="C45" s="8" t="n">
        <v>1.5927761033786572</v>
      </c>
      <c r="D45" s="8" t="n">
        <v>0.0</v>
      </c>
      <c r="E45" s="8">
        <f t="shared" si="0"/>
        <v>94.451478609134483</v>
      </c>
      <c r="F45" s="21">
        <f t="shared" si="1"/>
        <v>1.1589106899446298E-3</v>
      </c>
      <c r="H45" s="417">
        <v>34</v>
      </c>
      <c r="I45" s="507" t="n">
        <v>165.0</v>
      </c>
      <c r="J45" s="597" t="n">
        <v>12.0</v>
      </c>
      <c r="K45" s="687" t="n">
        <v>0.0</v>
      </c>
      <c r="L45">
        <f t="shared" si="2"/>
        <v>238</v>
      </c>
      <c r="M45" s="21">
        <f t="shared" si="3"/>
        <v>2.5855794196569218E-3</v>
      </c>
    </row>
    <row r="46" spans="1:13" x14ac:dyDescent="0.25">
      <c r="A46">
        <v>35</v>
      </c>
      <c r="B46" s="8" t="n">
        <v>124.95849894233542</v>
      </c>
      <c r="C46" s="8" t="n">
        <v>3.1854810056732625</v>
      </c>
      <c r="D46" s="8" t="n">
        <v>0.0</v>
      </c>
      <c r="E46" s="8">
        <f t="shared" si="0"/>
        <v>128.14397994800868</v>
      </c>
      <c r="F46" s="21">
        <f t="shared" si="1"/>
        <v>1.5723144878267187E-3</v>
      </c>
      <c r="H46" s="418">
        <v>35</v>
      </c>
      <c r="I46" s="508" t="n">
        <v>140.0</v>
      </c>
      <c r="J46" s="598" t="n">
        <v>9.0</v>
      </c>
      <c r="K46" s="688" t="n">
        <v>2.0</v>
      </c>
      <c r="L46">
        <f t="shared" si="2"/>
        <v>236</v>
      </c>
      <c r="M46" s="21">
        <f t="shared" si="3"/>
        <v>2.5638518615085444E-3</v>
      </c>
    </row>
    <row r="47" spans="1:13" x14ac:dyDescent="0.25">
      <c r="A47">
        <v>36</v>
      </c>
      <c r="B47" s="8" t="n">
        <v>156.85719038936725</v>
      </c>
      <c r="C47" s="8" t="n">
        <v>5.176406634219052</v>
      </c>
      <c r="D47" s="8" t="n">
        <v>0.0</v>
      </c>
      <c r="E47" s="8">
        <f t="shared" si="0"/>
        <v>162.03359702358631</v>
      </c>
      <c r="F47" s="21">
        <f t="shared" si="1"/>
        <v>1.9881368771145309E-3</v>
      </c>
      <c r="H47" s="419">
        <v>36</v>
      </c>
      <c r="I47" s="509" t="n">
        <v>137.0</v>
      </c>
      <c r="J47" s="599" t="n">
        <v>5.0</v>
      </c>
      <c r="K47" s="689" t="n">
        <v>3.0</v>
      </c>
      <c r="L47">
        <f t="shared" si="2"/>
        <v>169</v>
      </c>
      <c r="M47" s="21">
        <f t="shared" si="3"/>
        <v>1.8359786635378983E-3</v>
      </c>
    </row>
    <row r="48" spans="1:13" x14ac:dyDescent="0.25">
      <c r="A48">
        <v>37</v>
      </c>
      <c r="B48" s="8" t="n">
        <v>177.82172602489518</v>
      </c>
      <c r="C48" s="8" t="n">
        <v>6.901875512292069</v>
      </c>
      <c r="D48" s="8" t="n">
        <v>0.0</v>
      </c>
      <c r="E48" s="8">
        <f t="shared" si="0"/>
        <v>184.72360153718725</v>
      </c>
      <c r="F48" s="21">
        <f t="shared" si="1"/>
        <v>2.2665410818228831E-3</v>
      </c>
      <c r="H48" s="420">
        <v>37</v>
      </c>
      <c r="I48" s="510" t="n">
        <v>120.0</v>
      </c>
      <c r="J48" s="600" t="n">
        <v>9.0</v>
      </c>
      <c r="K48" s="690" t="n">
        <v>1.0</v>
      </c>
      <c r="L48">
        <f t="shared" si="2"/>
        <v>173</v>
      </c>
      <c r="M48" s="21">
        <f t="shared" si="3"/>
        <v>1.8794337798346532E-3</v>
      </c>
    </row>
    <row r="49" spans="1:13" x14ac:dyDescent="0.25">
      <c r="A49">
        <v>38</v>
      </c>
      <c r="B49" s="8" t="n">
        <v>179.9865468616669</v>
      </c>
      <c r="C49" s="8" t="n">
        <v>7.592063063521275</v>
      </c>
      <c r="D49" s="8" t="n">
        <v>0.0</v>
      </c>
      <c r="E49" s="8">
        <f t="shared" si="0"/>
        <v>187.57860992518818</v>
      </c>
      <c r="F49" s="21">
        <f t="shared" si="1"/>
        <v>2.3015717641315016E-3</v>
      </c>
      <c r="H49" s="421">
        <v>38</v>
      </c>
      <c r="I49" s="511" t="n">
        <v>106.0</v>
      </c>
      <c r="J49" s="601" t="n">
        <v>1.0</v>
      </c>
      <c r="K49" s="691" t="n">
        <v>1.0</v>
      </c>
      <c r="L49">
        <f t="shared" si="2"/>
        <v>157</v>
      </c>
      <c r="M49" s="21">
        <f t="shared" si="3"/>
        <v>1.7056133146476334E-3</v>
      </c>
    </row>
    <row r="50" spans="1:13" x14ac:dyDescent="0.25">
      <c r="A50">
        <v>39</v>
      </c>
      <c r="B50" s="8" t="n">
        <v>163.09664685665507</v>
      </c>
      <c r="C50" s="8" t="n">
        <v>6.901875512292067</v>
      </c>
      <c r="D50" s="8" t="n">
        <v>0.0</v>
      </c>
      <c r="E50" s="8">
        <f t="shared" si="0"/>
        <v>169.99852236894714</v>
      </c>
      <c r="F50" s="21">
        <f t="shared" si="1"/>
        <v>2.0858657561461488E-3</v>
      </c>
      <c r="H50" s="422">
        <v>39</v>
      </c>
      <c r="I50" s="512" t="n">
        <v>98.0</v>
      </c>
      <c r="J50" s="602" t="n">
        <v>1.0</v>
      </c>
      <c r="K50" s="692" t="n">
        <v>1.0</v>
      </c>
      <c r="L50">
        <f t="shared" si="2"/>
        <v>159</v>
      </c>
      <c r="M50" s="21">
        <f t="shared" si="3"/>
        <v>1.7273408727960108E-3</v>
      </c>
    </row>
    <row r="51" spans="1:13" x14ac:dyDescent="0.25">
      <c r="A51">
        <v>40</v>
      </c>
      <c r="B51" s="8" t="n">
        <v>134.72153769846938</v>
      </c>
      <c r="C51" s="8" t="n">
        <v>5.176406634219051</v>
      </c>
      <c r="D51" s="8" t="n">
        <v>0.0</v>
      </c>
      <c r="E51" s="8">
        <f t="shared" si="0"/>
        <v>139.89794433268844</v>
      </c>
      <c r="F51" s="21">
        <f t="shared" si="1"/>
        <v>1.7165345167264722E-3</v>
      </c>
      <c r="H51" s="423">
        <v>40</v>
      </c>
      <c r="I51" s="513" t="n">
        <v>90.0</v>
      </c>
      <c r="J51" s="603" t="n">
        <v>3.0</v>
      </c>
      <c r="K51" s="693" t="n">
        <v>2.0</v>
      </c>
      <c r="L51">
        <f t="shared" si="2"/>
        <v>143</v>
      </c>
      <c r="M51" s="21">
        <f t="shared" si="3"/>
        <v>1.5535204076089909E-3</v>
      </c>
    </row>
    <row r="52" spans="1:13" x14ac:dyDescent="0.25">
      <c r="A52">
        <v>41</v>
      </c>
      <c r="B52" s="8" t="n">
        <v>105.19351292396027</v>
      </c>
      <c r="C52" s="8" t="n">
        <v>3.185481005673262</v>
      </c>
      <c r="D52" s="8" t="n">
        <v>0.0</v>
      </c>
      <c r="E52" s="8">
        <f t="shared" si="0"/>
        <v>108.37899392963354</v>
      </c>
      <c r="F52" s="21">
        <f t="shared" si="1"/>
        <v>1.3297999828067214E-3</v>
      </c>
      <c r="H52" s="424">
        <v>41</v>
      </c>
      <c r="I52" s="514" t="n">
        <v>93.0</v>
      </c>
      <c r="J52" s="604" t="n">
        <v>4.0</v>
      </c>
      <c r="K52" s="694" t="n">
        <v>2.0</v>
      </c>
      <c r="L52">
        <f t="shared" si="2"/>
        <v>137</v>
      </c>
      <c r="M52" s="21">
        <f t="shared" si="3"/>
        <v>1.4883377331638584E-3</v>
      </c>
    </row>
    <row r="53" spans="1:13" x14ac:dyDescent="0.25">
      <c r="A53">
        <v>42</v>
      </c>
      <c r="B53" s="8" t="n">
        <v>81.36659646571906</v>
      </c>
      <c r="C53" s="8" t="n">
        <v>1.592740502836631</v>
      </c>
      <c r="D53" s="8" t="n">
        <v>0.0</v>
      </c>
      <c r="E53" s="8">
        <f t="shared" si="0"/>
        <v>82.959336968555689</v>
      </c>
      <c r="F53" s="21">
        <f t="shared" si="1"/>
        <v>1.0179032012981096E-3</v>
      </c>
      <c r="H53" s="425">
        <v>42</v>
      </c>
      <c r="I53" s="515" t="n">
        <v>70.0</v>
      </c>
      <c r="J53" s="605" t="n">
        <v>2.0</v>
      </c>
      <c r="K53" s="695" t="n">
        <v>1.0</v>
      </c>
      <c r="L53">
        <f t="shared" si="2"/>
        <v>132</v>
      </c>
      <c r="M53" s="21">
        <f t="shared" si="3"/>
        <v>1.4340188377929147E-3</v>
      </c>
    </row>
    <row r="54" spans="1:13" x14ac:dyDescent="0.25">
      <c r="A54">
        <v>43</v>
      </c>
      <c r="B54" s="8" t="n">
        <v>64.30813359098244</v>
      </c>
      <c r="C54" s="8" t="n">
        <v>0.6370962011346524</v>
      </c>
      <c r="D54" s="8" t="n">
        <v>0.0</v>
      </c>
      <c r="E54" s="8">
        <f t="shared" si="0"/>
        <v>64.94522979211709</v>
      </c>
      <c r="F54" s="21">
        <f t="shared" si="1"/>
        <v>7.968718137115106E-4</v>
      </c>
      <c r="H54" s="426">
        <v>43</v>
      </c>
      <c r="I54" s="516" t="n">
        <v>76.0</v>
      </c>
      <c r="J54" s="606" t="n">
        <v>3.0</v>
      </c>
      <c r="K54" s="696" t="n">
        <v>1.0</v>
      </c>
      <c r="L54">
        <f t="shared" si="2"/>
        <v>119</v>
      </c>
      <c r="M54" s="21">
        <f t="shared" si="3"/>
        <v>1.2927897098284609E-3</v>
      </c>
    </row>
    <row r="55" spans="1:13" x14ac:dyDescent="0.25">
      <c r="A55">
        <v>44</v>
      </c>
      <c r="B55" s="8" t="n">
        <v>51.868098820850086</v>
      </c>
      <c r="C55" s="8" t="n">
        <v>0.19909256285457888</v>
      </c>
      <c r="D55" s="8" t="n">
        <v>0.0</v>
      </c>
      <c r="E55" s="8">
        <f t="shared" si="0"/>
        <v>52.067191383704667</v>
      </c>
      <c r="F55" s="21">
        <f t="shared" si="1"/>
        <v>6.3885950308598572E-4</v>
      </c>
      <c r="H55" s="427">
        <v>44</v>
      </c>
      <c r="I55" s="517" t="n">
        <v>69.0</v>
      </c>
      <c r="J55" s="607" t="n">
        <v>0.0</v>
      </c>
      <c r="K55" s="697" t="n">
        <v>1.0</v>
      </c>
      <c r="L55">
        <f t="shared" si="2"/>
        <v>96</v>
      </c>
      <c r="M55" s="21">
        <f t="shared" si="3"/>
        <v>1.0429227911221198E-3</v>
      </c>
    </row>
    <row r="56" spans="1:13" x14ac:dyDescent="0.25">
      <c r="A56">
        <v>45</v>
      </c>
      <c r="B56" s="8" t="n">
        <v>42.29387712597268</v>
      </c>
      <c r="C56" s="8" t="n">
        <v>0.04684530890695974</v>
      </c>
      <c r="D56" s="8" t="n">
        <v>0.0</v>
      </c>
      <c r="E56" s="8">
        <f t="shared" si="0"/>
        <v>42.340722434879638</v>
      </c>
      <c r="F56" s="21">
        <f t="shared" si="1"/>
        <v>5.1951665100788489E-4</v>
      </c>
      <c r="H56" s="428">
        <v>45</v>
      </c>
      <c r="I56" s="518" t="n">
        <v>70.0</v>
      </c>
      <c r="J56" s="608" t="n">
        <v>5.0</v>
      </c>
      <c r="K56" s="698" t="n">
        <v>0.0</v>
      </c>
      <c r="L56">
        <f t="shared" si="2"/>
        <v>96</v>
      </c>
      <c r="M56" s="21">
        <f t="shared" si="3"/>
        <v>1.0429227911221198E-3</v>
      </c>
    </row>
    <row r="57" spans="1:13" x14ac:dyDescent="0.25">
      <c r="A57">
        <v>46</v>
      </c>
      <c r="B57" s="8" t="n">
        <v>35.15492575958642</v>
      </c>
      <c r="C57" s="8" t="n">
        <v>0.00780755148449329</v>
      </c>
      <c r="D57" s="8" t="n">
        <v>0.0</v>
      </c>
      <c r="E57" s="8">
        <f t="shared" si="0"/>
        <v>35.162733311070909</v>
      </c>
      <c r="F57" s="21">
        <f t="shared" si="1"/>
        <v>4.3144340482491073E-4</v>
      </c>
      <c r="H57" s="429">
        <v>46</v>
      </c>
      <c r="I57" s="519" t="n">
        <v>56.0</v>
      </c>
      <c r="J57" s="609" t="n">
        <v>3.0</v>
      </c>
      <c r="K57" s="699" t="n">
        <v>2.0</v>
      </c>
      <c r="L57">
        <f t="shared" si="2"/>
        <v>88</v>
      </c>
      <c r="M57" s="21">
        <f t="shared" si="3"/>
        <v>9.5601255852860976E-4</v>
      </c>
    </row>
    <row r="58" spans="1:13" x14ac:dyDescent="0.25">
      <c r="A58">
        <v>47</v>
      </c>
      <c r="B58" s="8" t="n">
        <v>30.0471723451974</v>
      </c>
      <c r="C58" s="8" t="n">
        <v>8.218475246835043E-4</v>
      </c>
      <c r="D58" s="8" t="n">
        <v>0.0</v>
      </c>
      <c r="E58" s="8">
        <f t="shared" si="0"/>
        <v>30.047994192722083</v>
      </c>
      <c r="F58" s="21">
        <f t="shared" si="1"/>
        <v>3.6868604064364564E-4</v>
      </c>
      <c r="H58" s="430">
        <v>47</v>
      </c>
      <c r="I58" s="520" t="n">
        <v>52.0</v>
      </c>
      <c r="J58" s="610" t="n">
        <v>4.0</v>
      </c>
      <c r="K58" s="700" t="n">
        <v>3.0</v>
      </c>
      <c r="L58">
        <f t="shared" si="2"/>
        <v>60</v>
      </c>
      <c r="M58" s="21">
        <f t="shared" si="3"/>
        <v>6.5182674445132479E-4</v>
      </c>
    </row>
    <row r="59" spans="1:13" x14ac:dyDescent="0.25">
      <c r="A59">
        <v>48</v>
      </c>
      <c r="B59" s="8" t="n">
        <v>25.968583556993025</v>
      </c>
      <c r="C59" s="8" t="n">
        <v>4.109237623417521E-5</v>
      </c>
      <c r="D59" s="8" t="n">
        <v>0.0</v>
      </c>
      <c r="E59" s="8">
        <f t="shared" si="0"/>
        <v>25.968624649369261</v>
      </c>
      <c r="F59" s="21">
        <f t="shared" si="1"/>
        <v>3.1863256301000999E-4</v>
      </c>
      <c r="H59" s="431">
        <v>48</v>
      </c>
      <c r="I59" s="521" t="n">
        <v>42.0</v>
      </c>
      <c r="J59" s="611" t="n">
        <v>1.0</v>
      </c>
      <c r="K59" s="701" t="n">
        <v>0.0</v>
      </c>
      <c r="L59">
        <f t="shared" si="2"/>
        <v>66</v>
      </c>
      <c r="M59" s="21">
        <f t="shared" si="3"/>
        <v>7.1700941889645735E-4</v>
      </c>
    </row>
    <row r="60" spans="1:13" x14ac:dyDescent="0.25">
      <c r="A60">
        <v>49</v>
      </c>
      <c r="B60" s="8" t="n">
        <v>22.272309136799198</v>
      </c>
      <c r="C60" s="8" t="n">
        <v>0.0</v>
      </c>
      <c r="D60" s="8" t="n">
        <v>0.0</v>
      </c>
      <c r="E60" s="8">
        <f t="shared" si="0"/>
        <v>22.272309136799198</v>
      </c>
      <c r="F60" s="21">
        <f t="shared" si="1"/>
        <v>2.7327912202627794E-4</v>
      </c>
      <c r="H60" s="432">
        <v>49</v>
      </c>
      <c r="I60" s="522" t="n">
        <v>34.0</v>
      </c>
      <c r="J60" s="612" t="n">
        <v>0.0</v>
      </c>
      <c r="K60" s="702" t="n">
        <v>1.0</v>
      </c>
      <c r="L60">
        <f t="shared" si="2"/>
        <v>72</v>
      </c>
      <c r="M60" s="21">
        <f t="shared" si="3"/>
        <v>7.821920933415898E-4</v>
      </c>
    </row>
    <row r="61" spans="1:13" x14ac:dyDescent="0.25">
      <c r="A61">
        <v>50</v>
      </c>
      <c r="B61" s="8" t="n">
        <v>19.420370407240327</v>
      </c>
      <c r="C61" s="8" t="n">
        <v>0.0</v>
      </c>
      <c r="D61" s="8" t="n">
        <v>0.0</v>
      </c>
      <c r="E61" s="8">
        <f t="shared" si="0"/>
        <v>19.420370407240327</v>
      </c>
      <c r="F61" s="21">
        <f t="shared" si="1"/>
        <v>2.3828610413578576E-4</v>
      </c>
      <c r="H61" s="433">
        <v>50</v>
      </c>
      <c r="I61" s="523" t="n">
        <v>25.0</v>
      </c>
      <c r="J61" s="613" t="n">
        <v>2.0</v>
      </c>
      <c r="K61" s="703" t="n">
        <v>1.0</v>
      </c>
      <c r="L61">
        <f t="shared" si="2"/>
        <v>54</v>
      </c>
      <c r="M61" s="21">
        <f t="shared" si="3"/>
        <v>5.8664407000619235E-4</v>
      </c>
    </row>
    <row r="62" spans="1:13" x14ac:dyDescent="0.25">
      <c r="A62">
        <v>51</v>
      </c>
      <c r="B62" s="8" t="n">
        <v>18.206780618670297</v>
      </c>
      <c r="C62" s="8" t="n">
        <v>0.0</v>
      </c>
      <c r="D62" s="8" t="n">
        <v>0.0</v>
      </c>
      <c r="E62" s="8">
        <f t="shared" si="0"/>
        <v>18.206780618670297</v>
      </c>
      <c r="F62" s="21">
        <f t="shared" si="1"/>
        <v>2.2339547246021734E-4</v>
      </c>
      <c r="H62" s="434">
        <v>51</v>
      </c>
      <c r="I62" s="524" t="n">
        <v>19.0</v>
      </c>
      <c r="J62" s="614" t="n">
        <v>2.0</v>
      </c>
      <c r="K62" s="704" t="n">
        <v>0.0</v>
      </c>
      <c r="L62">
        <f t="shared" si="2"/>
        <v>64</v>
      </c>
      <c r="M62" s="21">
        <f t="shared" si="3"/>
        <v>6.9528186074807987E-4</v>
      </c>
    </row>
    <row r="63" spans="1:13" x14ac:dyDescent="0.25">
      <c r="A63">
        <v>52</v>
      </c>
      <c r="B63" s="8" t="n">
        <v>18.446035557794872</v>
      </c>
      <c r="C63" s="8" t="n">
        <v>0.0</v>
      </c>
      <c r="D63" s="8" t="n">
        <v>0.0</v>
      </c>
      <c r="E63" s="8">
        <f t="shared" si="0"/>
        <v>18.446035557794872</v>
      </c>
      <c r="F63" s="21">
        <f t="shared" si="1"/>
        <v>2.2633110788548115E-4</v>
      </c>
      <c r="H63" s="435">
        <v>52</v>
      </c>
      <c r="I63" s="525" t="n">
        <v>31.0</v>
      </c>
      <c r="J63" s="615" t="n">
        <v>2.0</v>
      </c>
      <c r="K63" s="705" t="n">
        <v>0.0</v>
      </c>
      <c r="L63">
        <f t="shared" si="2"/>
        <v>52</v>
      </c>
      <c r="M63" s="21">
        <f t="shared" si="3"/>
        <v>5.6491651185781486E-4</v>
      </c>
    </row>
    <row r="64" spans="1:13" x14ac:dyDescent="0.25">
      <c r="A64">
        <v>53</v>
      </c>
      <c r="B64" s="8" t="n">
        <v>18.812066487957722</v>
      </c>
      <c r="C64" s="8" t="n">
        <v>0.0</v>
      </c>
      <c r="D64" s="8" t="n">
        <v>0.0</v>
      </c>
      <c r="E64" s="8">
        <f t="shared" si="0"/>
        <v>18.812066487957722</v>
      </c>
      <c r="F64" s="21">
        <f t="shared" si="1"/>
        <v>2.3082227270431415E-4</v>
      </c>
      <c r="H64" s="436">
        <v>53</v>
      </c>
      <c r="I64" s="526" t="n">
        <v>16.0</v>
      </c>
      <c r="J64" s="616" t="n">
        <v>0.0</v>
      </c>
      <c r="K64" s="706" t="n">
        <v>0.0</v>
      </c>
      <c r="L64">
        <f t="shared" si="2"/>
        <v>38</v>
      </c>
      <c r="M64" s="21">
        <f t="shared" si="3"/>
        <v>4.1282360481917238E-4</v>
      </c>
    </row>
    <row r="65" spans="1:13" x14ac:dyDescent="0.25">
      <c r="A65">
        <v>54</v>
      </c>
      <c r="B65" s="8" t="n">
        <v>17.934001157710483</v>
      </c>
      <c r="C65" s="8" t="n">
        <v>0.0</v>
      </c>
      <c r="D65" s="8" t="n">
        <v>0.0</v>
      </c>
      <c r="E65" s="8">
        <f t="shared" si="0"/>
        <v>17.934001157710483</v>
      </c>
      <c r="F65" s="21">
        <f t="shared" si="1"/>
        <v>2.2004849432965911E-4</v>
      </c>
      <c r="H65" s="437">
        <v>54</v>
      </c>
      <c r="I65" s="527" t="n">
        <v>12.0</v>
      </c>
      <c r="J65" s="617" t="n">
        <v>0.0</v>
      </c>
      <c r="K65" s="707" t="n">
        <v>0.0</v>
      </c>
      <c r="L65">
        <f t="shared" si="2"/>
        <v>29</v>
      </c>
      <c r="M65" s="21">
        <f t="shared" si="3"/>
        <v>3.1504959315147366E-4</v>
      </c>
    </row>
    <row r="66" spans="1:13" x14ac:dyDescent="0.25">
      <c r="A66">
        <v>55</v>
      </c>
      <c r="B66" s="8" t="n">
        <v>15.418345414175791</v>
      </c>
      <c r="C66" s="8" t="n">
        <v>0.0</v>
      </c>
      <c r="D66" s="8" t="n">
        <v>0.0</v>
      </c>
      <c r="E66" s="8">
        <f t="shared" si="0"/>
        <v>15.418345414175791</v>
      </c>
      <c r="F66" s="21">
        <f t="shared" si="1"/>
        <v>1.8918163680307923E-4</v>
      </c>
      <c r="H66" s="438">
        <v>55</v>
      </c>
      <c r="I66" s="528" t="n">
        <v>13.0</v>
      </c>
      <c r="J66" s="618" t="n">
        <v>0.0</v>
      </c>
      <c r="K66" s="708" t="n">
        <v>0.0</v>
      </c>
      <c r="L66">
        <f t="shared" si="2"/>
        <v>33</v>
      </c>
      <c r="M66" s="21">
        <f t="shared" si="3"/>
        <v>3.5850470944822867E-4</v>
      </c>
    </row>
    <row r="67" spans="1:13" x14ac:dyDescent="0.25">
      <c r="A67">
        <v>56</v>
      </c>
      <c r="B67" s="8" t="n">
        <v>11.857888049075402</v>
      </c>
      <c r="C67" s="8" t="n">
        <v>0.0</v>
      </c>
      <c r="D67" s="8" t="n">
        <v>0.0</v>
      </c>
      <c r="E67" s="8">
        <f t="shared" si="0"/>
        <v>11.857888049075402</v>
      </c>
      <c r="F67" s="21">
        <f t="shared" si="1"/>
        <v>1.4549516241147689E-4</v>
      </c>
      <c r="H67" s="439">
        <v>56</v>
      </c>
      <c r="I67" s="529" t="n">
        <v>12.0</v>
      </c>
      <c r="J67" s="619" t="n">
        <v>0.0</v>
      </c>
      <c r="K67" s="709" t="n">
        <v>1.0</v>
      </c>
      <c r="L67">
        <f t="shared" si="2"/>
        <v>30</v>
      </c>
      <c r="M67" s="21">
        <f t="shared" si="3"/>
        <v>3.259133722256624E-4</v>
      </c>
    </row>
    <row r="68" spans="1:13" x14ac:dyDescent="0.25">
      <c r="A68">
        <v>57</v>
      </c>
      <c r="B68" s="8" t="n">
        <v>8.161525812048419</v>
      </c>
      <c r="C68" s="8" t="n">
        <v>0.0</v>
      </c>
      <c r="D68" s="8" t="n">
        <v>0.0</v>
      </c>
      <c r="E68" s="8">
        <f t="shared" si="0"/>
        <v>8.1615258120484189</v>
      </c>
      <c r="F68" s="21">
        <f t="shared" si="1"/>
        <v>1.001411481230872E-4</v>
      </c>
      <c r="H68" s="440">
        <v>57</v>
      </c>
      <c r="I68" s="530" t="n">
        <v>8.0</v>
      </c>
      <c r="J68" s="620" t="n">
        <v>0.0</v>
      </c>
      <c r="K68" s="710" t="n">
        <v>0.0</v>
      </c>
      <c r="L68">
        <f t="shared" si="2"/>
        <v>24</v>
      </c>
      <c r="M68" s="21">
        <f t="shared" si="3"/>
        <v>2.6073069778052995E-4</v>
      </c>
    </row>
    <row r="69" spans="1:13" x14ac:dyDescent="0.25">
      <c r="A69">
        <v>58</v>
      </c>
      <c r="B69" s="8" t="n">
        <v>5.005007557712817</v>
      </c>
      <c r="C69" s="8" t="n">
        <v>0.0</v>
      </c>
      <c r="D69" s="8" t="n">
        <v>0.0</v>
      </c>
      <c r="E69" s="8">
        <f t="shared" si="0"/>
        <v>5.0050075577128172</v>
      </c>
      <c r="F69" s="21">
        <f t="shared" si="1"/>
        <v>6.1410968333174302E-5</v>
      </c>
      <c r="H69" s="441">
        <v>58</v>
      </c>
      <c r="I69" s="531" t="n">
        <v>12.0</v>
      </c>
      <c r="J69" s="621" t="n">
        <v>0.0</v>
      </c>
      <c r="K69" s="711" t="n">
        <v>0.0</v>
      </c>
      <c r="L69">
        <f t="shared" si="2"/>
        <v>17</v>
      </c>
      <c r="M69" s="21">
        <f t="shared" si="3"/>
        <v>1.8468424426120871E-4</v>
      </c>
    </row>
    <row r="70" spans="1:13" x14ac:dyDescent="0.25">
      <c r="A70">
        <v>59</v>
      </c>
      <c r="B70" s="8" t="n">
        <v>2.6939609630959165</v>
      </c>
      <c r="C70" s="8" t="n">
        <v>0.0</v>
      </c>
      <c r="D70" s="8" t="n">
        <v>0.0</v>
      </c>
      <c r="E70" s="8">
        <f t="shared" si="0"/>
        <v>2.6939609630959165</v>
      </c>
      <c r="F70" s="21">
        <f t="shared" si="1"/>
        <v>3.305464566992444E-5</v>
      </c>
      <c r="H70" s="442">
        <v>59</v>
      </c>
      <c r="I70" s="532" t="n">
        <v>9.0</v>
      </c>
      <c r="J70" s="622" t="n">
        <v>3.0</v>
      </c>
      <c r="K70" s="712" t="n">
        <v>0.0</v>
      </c>
      <c r="L70">
        <f t="shared" si="2"/>
        <v>15</v>
      </c>
      <c r="M70" s="21">
        <f t="shared" si="3"/>
        <v>1.629566861128312E-4</v>
      </c>
    </row>
    <row r="71" spans="1:13" x14ac:dyDescent="0.25">
      <c r="A71">
        <v>60</v>
      </c>
      <c r="B71" s="8" t="n">
        <v>1.241560251705951</v>
      </c>
      <c r="C71" s="8" t="n">
        <v>0.0</v>
      </c>
      <c r="D71" s="8" t="n">
        <v>0.0</v>
      </c>
      <c r="E71" s="8">
        <f t="shared" si="0"/>
        <v>1.241560251705951</v>
      </c>
      <c r="F71" s="21">
        <f t="shared" si="1"/>
        <v>1.523382660706403E-5</v>
      </c>
      <c r="H71" s="443">
        <v>60</v>
      </c>
      <c r="I71" s="533" t="n">
        <v>13.0</v>
      </c>
      <c r="J71" s="623" t="n">
        <v>2.0</v>
      </c>
      <c r="K71" s="713" t="n">
        <v>0.0</v>
      </c>
      <c r="L71">
        <f t="shared" si="2"/>
        <v>17</v>
      </c>
      <c r="M71" s="21">
        <f t="shared" si="3"/>
        <v>1.8468424426120871E-4</v>
      </c>
    </row>
    <row r="72" spans="1:13" x14ac:dyDescent="0.25">
      <c r="A72">
        <v>61</v>
      </c>
      <c r="B72" s="8" t="n">
        <v>0.47479869892073623</v>
      </c>
      <c r="C72" s="8" t="n">
        <v>0.0</v>
      </c>
      <c r="D72" s="8" t="n">
        <v>0.0</v>
      </c>
      <c r="E72" s="8">
        <f t="shared" si="0"/>
        <v>0.47479869892073623</v>
      </c>
      <c r="F72" s="21">
        <f t="shared" si="1"/>
        <v>5.8257350319323424E-6</v>
      </c>
      <c r="H72" s="444">
        <v>61</v>
      </c>
      <c r="I72" s="534" t="n">
        <v>11.0</v>
      </c>
      <c r="J72" s="624" t="n">
        <v>0.0</v>
      </c>
      <c r="K72" s="714" t="n">
        <v>0.0</v>
      </c>
      <c r="L72">
        <f t="shared" si="2"/>
        <v>19</v>
      </c>
      <c r="M72" s="21">
        <f t="shared" si="3"/>
        <v>2.0641180240958619E-4</v>
      </c>
    </row>
    <row r="73" spans="1:13" x14ac:dyDescent="0.25">
      <c r="A73">
        <v>62</v>
      </c>
      <c r="B73" s="8" t="n">
        <v>0.14591634874796858</v>
      </c>
      <c r="C73" s="8" t="n">
        <v>0.0</v>
      </c>
      <c r="D73" s="8" t="n">
        <v>0.0</v>
      </c>
      <c r="E73" s="8">
        <f t="shared" si="0"/>
        <v>0.14591634874796858</v>
      </c>
      <c r="F73" s="21">
        <f t="shared" si="1"/>
        <v>1.7903797684471113E-6</v>
      </c>
      <c r="H73" s="445">
        <v>62</v>
      </c>
      <c r="I73" s="535" t="n">
        <v>4.0</v>
      </c>
      <c r="J73" s="625" t="n">
        <v>0.0</v>
      </c>
      <c r="K73" s="715" t="n">
        <v>0.0</v>
      </c>
      <c r="L73">
        <f t="shared" si="2"/>
        <v>17</v>
      </c>
      <c r="M73" s="21">
        <f t="shared" si="3"/>
        <v>1.8468424426120871E-4</v>
      </c>
    </row>
    <row r="74" spans="1:13" x14ac:dyDescent="0.25">
      <c r="A74">
        <v>63</v>
      </c>
      <c r="B74" s="8" t="n">
        <v>0.041354204214774565</v>
      </c>
      <c r="C74" s="8" t="n">
        <v>0.0</v>
      </c>
      <c r="D74" s="8" t="n">
        <v>0.0</v>
      </c>
      <c r="E74" s="8">
        <f t="shared" si="0"/>
        <v>4.1354204214774565E-2</v>
      </c>
      <c r="F74" s="21">
        <f t="shared" si="1"/>
        <v>5.0741216595438842E-7</v>
      </c>
      <c r="H74" s="446">
        <v>63</v>
      </c>
      <c r="I74" s="536" t="n">
        <v>3.0</v>
      </c>
      <c r="J74" s="626" t="n">
        <v>0.0</v>
      </c>
      <c r="K74" s="716" t="n">
        <v>0.0</v>
      </c>
      <c r="L74">
        <f t="shared" si="2"/>
        <v>13</v>
      </c>
      <c r="M74" s="21">
        <f t="shared" si="3"/>
        <v>1.4122912796445372E-4</v>
      </c>
    </row>
    <row r="75" spans="1:13" x14ac:dyDescent="0.25">
      <c r="A75">
        <v>64</v>
      </c>
      <c r="B75" s="8" t="n">
        <v>0.05069640218318781</v>
      </c>
      <c r="C75" s="8" t="n">
        <v>0.0</v>
      </c>
      <c r="D75" s="8" t="n">
        <v>0.0</v>
      </c>
      <c r="E75" s="8">
        <f t="shared" si="0"/>
        <v>5.0696402183187807E-2</v>
      </c>
      <c r="F75" s="21">
        <f t="shared" si="1"/>
        <v>6.2204004952598602E-7</v>
      </c>
      <c r="H75" s="447">
        <v>64</v>
      </c>
      <c r="I75" s="537" t="n">
        <v>5.0</v>
      </c>
      <c r="J75" s="627" t="n">
        <v>0.0</v>
      </c>
      <c r="K75" s="717" t="n">
        <v>0.0</v>
      </c>
      <c r="L75">
        <f t="shared" si="2"/>
        <v>15</v>
      </c>
      <c r="M75" s="21">
        <f t="shared" si="3"/>
        <v>1.629566861128312E-4</v>
      </c>
    </row>
    <row r="76" spans="1:13" x14ac:dyDescent="0.25">
      <c r="A76">
        <v>65</v>
      </c>
      <c r="B76" s="8" t="n">
        <v>0.1921383847860551</v>
      </c>
      <c r="C76" s="8" t="n">
        <v>0.0</v>
      </c>
      <c r="D76" s="8" t="n">
        <v>0.0</v>
      </c>
      <c r="E76" s="8">
        <f t="shared" ref="E76:E101" si="4">SUM(B76:D76)</f>
        <v>0.19213838478605511</v>
      </c>
      <c r="F76" s="21">
        <f t="shared" ref="F76:F102" si="5">E76/$E$102</f>
        <v>2.3575197694757864E-6</v>
      </c>
      <c r="H76" s="448">
        <v>65</v>
      </c>
      <c r="I76" s="538" t="n">
        <v>10.0</v>
      </c>
      <c r="J76" s="628" t="n">
        <v>0.0</v>
      </c>
      <c r="K76" s="718" t="n">
        <v>0.0</v>
      </c>
      <c r="L76">
        <f t="shared" ref="L76:L101" si="6">SUM(I76:K76)</f>
        <v>8</v>
      </c>
      <c r="M76" s="21">
        <f t="shared" ref="M76:M102" si="7">L76/$L$102</f>
        <v>8.6910232593509983E-5</v>
      </c>
    </row>
    <row r="77" spans="1:13" x14ac:dyDescent="0.25">
      <c r="A77">
        <v>66</v>
      </c>
      <c r="B77" s="8" t="n">
        <v>0.6129771253559768</v>
      </c>
      <c r="C77" s="8" t="n">
        <v>0.0</v>
      </c>
      <c r="D77" s="8" t="n">
        <v>0.0</v>
      </c>
      <c r="E77" s="8">
        <f t="shared" si="4"/>
        <v>0.61297712535597682</v>
      </c>
      <c r="F77" s="21">
        <f t="shared" si="5"/>
        <v>7.5211712270417435E-6</v>
      </c>
      <c r="H77" s="449">
        <v>66</v>
      </c>
      <c r="I77" s="539" t="n">
        <v>7.0</v>
      </c>
      <c r="J77" s="629" t="n">
        <v>0.0</v>
      </c>
      <c r="K77" s="719" t="n">
        <v>0.0</v>
      </c>
      <c r="L77">
        <f t="shared" si="6"/>
        <v>7</v>
      </c>
      <c r="M77" s="21">
        <f t="shared" si="7"/>
        <v>7.6046453519321229E-5</v>
      </c>
    </row>
    <row r="78" spans="1:13" x14ac:dyDescent="0.25">
      <c r="A78">
        <v>67</v>
      </c>
      <c r="B78" s="8" t="n">
        <v>1.5323687774391725</v>
      </c>
      <c r="C78" s="8" t="n">
        <v>0.0</v>
      </c>
      <c r="D78" s="8" t="n">
        <v>0.0</v>
      </c>
      <c r="E78" s="8">
        <f t="shared" si="4"/>
        <v>1.5323687774391725</v>
      </c>
      <c r="F78" s="21">
        <f t="shared" si="5"/>
        <v>1.8802019653505918E-5</v>
      </c>
      <c r="H78" s="450">
        <v>67</v>
      </c>
      <c r="I78" s="540" t="n">
        <v>6.0</v>
      </c>
      <c r="J78" s="630" t="n">
        <v>0.0</v>
      </c>
      <c r="K78" s="720" t="n">
        <v>0.0</v>
      </c>
      <c r="L78">
        <f t="shared" si="6"/>
        <v>7</v>
      </c>
      <c r="M78" s="21">
        <f t="shared" si="7"/>
        <v>7.6046453519321229E-5</v>
      </c>
    </row>
    <row r="79" spans="1:13" x14ac:dyDescent="0.25">
      <c r="A79">
        <v>68</v>
      </c>
      <c r="B79" s="8" t="n">
        <v>3.064737554878345</v>
      </c>
      <c r="C79" s="8" t="n">
        <v>0.0</v>
      </c>
      <c r="D79" s="8" t="n">
        <v>0.0</v>
      </c>
      <c r="E79" s="8">
        <f t="shared" si="4"/>
        <v>3.0647375548783451</v>
      </c>
      <c r="F79" s="21">
        <f t="shared" si="5"/>
        <v>3.7604039307011836E-5</v>
      </c>
      <c r="H79" s="451">
        <v>68</v>
      </c>
      <c r="I79" s="541" t="n">
        <v>3.0</v>
      </c>
      <c r="J79" s="631" t="n">
        <v>1.0</v>
      </c>
      <c r="K79" s="721" t="n">
        <v>0.0</v>
      </c>
      <c r="L79">
        <f t="shared" si="6"/>
        <v>8</v>
      </c>
      <c r="M79" s="21">
        <f t="shared" si="7"/>
        <v>8.6910232593509983E-5</v>
      </c>
    </row>
    <row r="80" spans="1:13" x14ac:dyDescent="0.25">
      <c r="A80">
        <v>69</v>
      </c>
      <c r="B80" s="8" t="n">
        <v>4.98019852667731</v>
      </c>
      <c r="C80" s="8" t="n">
        <v>0.0</v>
      </c>
      <c r="D80" s="8" t="n">
        <v>0.0</v>
      </c>
      <c r="E80" s="8">
        <f t="shared" si="4"/>
        <v>4.9801985266773103</v>
      </c>
      <c r="F80" s="21">
        <f t="shared" si="5"/>
        <v>6.1106563873894226E-5</v>
      </c>
      <c r="H80" s="452">
        <v>69</v>
      </c>
      <c r="I80" s="542" t="n">
        <v>1.0</v>
      </c>
      <c r="J80" s="632" t="n">
        <v>0.0</v>
      </c>
      <c r="K80" s="722" t="n">
        <v>0.0</v>
      </c>
      <c r="L80">
        <f t="shared" si="6"/>
        <v>1</v>
      </c>
      <c r="M80" s="21">
        <f t="shared" si="7"/>
        <v>1.0863779074188748E-5</v>
      </c>
    </row>
    <row r="81" spans="1:13" x14ac:dyDescent="0.25">
      <c r="A81">
        <v>70</v>
      </c>
      <c r="B81" s="8" t="n">
        <v>6.640264702236413</v>
      </c>
      <c r="C81" s="8" t="n">
        <v>0.0</v>
      </c>
      <c r="D81" s="8" t="n">
        <v>0.0</v>
      </c>
      <c r="E81" s="8">
        <f t="shared" si="4"/>
        <v>6.6402647022364132</v>
      </c>
      <c r="F81" s="21">
        <f t="shared" si="5"/>
        <v>8.1475418498525631E-5</v>
      </c>
      <c r="H81" s="453">
        <v>70</v>
      </c>
      <c r="I81" s="543" t="n">
        <v>3.0</v>
      </c>
      <c r="J81" s="633" t="n">
        <v>0.0</v>
      </c>
      <c r="K81" s="723" t="n">
        <v>0.0</v>
      </c>
      <c r="L81">
        <f t="shared" si="6"/>
        <v>5</v>
      </c>
      <c r="M81" s="21">
        <f t="shared" si="7"/>
        <v>5.431889537094374E-5</v>
      </c>
    </row>
    <row r="82" spans="1:13" x14ac:dyDescent="0.25">
      <c r="A82">
        <v>71</v>
      </c>
      <c r="B82" s="8" t="n">
        <v>7.304291172460054</v>
      </c>
      <c r="C82" s="8" t="n">
        <v>0.0</v>
      </c>
      <c r="D82" s="8" t="n">
        <v>0.0</v>
      </c>
      <c r="E82" s="8">
        <f t="shared" si="4"/>
        <v>7.3042911724600543</v>
      </c>
      <c r="F82" s="21">
        <f t="shared" si="5"/>
        <v>8.962296034837819E-5</v>
      </c>
      <c r="H82" s="454">
        <v>71</v>
      </c>
      <c r="I82" s="544" t="n">
        <v>3.0</v>
      </c>
      <c r="J82" s="634" t="n">
        <v>0.0</v>
      </c>
      <c r="K82" s="724" t="n">
        <v>0.0</v>
      </c>
      <c r="L82">
        <f t="shared" si="6"/>
        <v>3</v>
      </c>
      <c r="M82" s="21">
        <f t="shared" si="7"/>
        <v>3.2591337222566244E-5</v>
      </c>
    </row>
    <row r="83" spans="1:13" x14ac:dyDescent="0.25">
      <c r="A83">
        <v>72</v>
      </c>
      <c r="B83" s="8" t="n">
        <v>6.640264702236413</v>
      </c>
      <c r="C83" s="8" t="n">
        <v>0.0</v>
      </c>
      <c r="D83" s="8" t="n">
        <v>0.0</v>
      </c>
      <c r="E83" s="8">
        <f t="shared" si="4"/>
        <v>6.6402647022364132</v>
      </c>
      <c r="F83" s="21">
        <f t="shared" si="5"/>
        <v>8.1475418498525631E-5</v>
      </c>
      <c r="H83" s="455">
        <v>72</v>
      </c>
      <c r="I83" s="545" t="n">
        <v>2.0</v>
      </c>
      <c r="J83" s="635" t="n">
        <v>0.0</v>
      </c>
      <c r="K83" s="725" t="n">
        <v>0.0</v>
      </c>
      <c r="L83">
        <f t="shared" si="6"/>
        <v>3</v>
      </c>
      <c r="M83" s="21">
        <f t="shared" si="7"/>
        <v>3.2591337222566244E-5</v>
      </c>
    </row>
    <row r="84" spans="1:13" x14ac:dyDescent="0.25">
      <c r="A84">
        <v>73</v>
      </c>
      <c r="B84" s="8" t="n">
        <v>4.9801985266773094</v>
      </c>
      <c r="C84" s="8" t="n">
        <v>0.0</v>
      </c>
      <c r="D84" s="8" t="n">
        <v>0.0</v>
      </c>
      <c r="E84" s="8">
        <f t="shared" si="4"/>
        <v>4.9801985266773094</v>
      </c>
      <c r="F84" s="21">
        <f t="shared" si="5"/>
        <v>6.1106563873894213E-5</v>
      </c>
      <c r="H84" s="456">
        <v>73</v>
      </c>
      <c r="I84" s="546" t="n">
        <v>0.0</v>
      </c>
      <c r="J84" s="636" t="n">
        <v>0.0</v>
      </c>
      <c r="K84" s="726" t="n">
        <v>0.0</v>
      </c>
      <c r="L84">
        <f t="shared" si="6"/>
        <v>1</v>
      </c>
      <c r="M84" s="21">
        <f t="shared" si="7"/>
        <v>1.0863779074188748E-5</v>
      </c>
    </row>
    <row r="85" spans="1:13" x14ac:dyDescent="0.25">
      <c r="A85">
        <v>74</v>
      </c>
      <c r="B85" s="8" t="n">
        <v>3.064737554878344</v>
      </c>
      <c r="C85" s="8" t="n">
        <v>0.0</v>
      </c>
      <c r="D85" s="8" t="n">
        <v>0.0</v>
      </c>
      <c r="E85" s="8">
        <f t="shared" si="4"/>
        <v>3.0647375548783442</v>
      </c>
      <c r="F85" s="21">
        <f t="shared" si="5"/>
        <v>3.7604039307011829E-5</v>
      </c>
      <c r="H85" s="457">
        <v>74</v>
      </c>
      <c r="I85" s="547" t="n">
        <v>3.0</v>
      </c>
      <c r="J85" s="637" t="n">
        <v>0.0</v>
      </c>
      <c r="K85" s="727" t="n">
        <v>0.0</v>
      </c>
      <c r="L85">
        <f t="shared" si="6"/>
        <v>2</v>
      </c>
      <c r="M85" s="21">
        <f t="shared" si="7"/>
        <v>2.1727558148377496E-5</v>
      </c>
    </row>
    <row r="86" spans="1:13" x14ac:dyDescent="0.25">
      <c r="A86">
        <v>75</v>
      </c>
      <c r="B86" s="8" t="n">
        <v>1.5323687774391723</v>
      </c>
      <c r="C86" s="8" t="n">
        <v>0.0</v>
      </c>
      <c r="D86" s="8" t="n">
        <v>0.0</v>
      </c>
      <c r="E86" s="8">
        <f t="shared" si="4"/>
        <v>1.5323687774391723</v>
      </c>
      <c r="F86" s="21">
        <f t="shared" si="5"/>
        <v>1.8802019653505915E-5</v>
      </c>
      <c r="H86" s="458">
        <v>75</v>
      </c>
      <c r="I86" s="548" t="n">
        <v>2.0</v>
      </c>
      <c r="J86" s="638" t="n">
        <v>0.0</v>
      </c>
      <c r="K86" s="728" t="n">
        <v>0.0</v>
      </c>
      <c r="L86">
        <f t="shared" si="6"/>
        <v>1</v>
      </c>
      <c r="M86" s="21">
        <f t="shared" si="7"/>
        <v>1.0863779074188748E-5</v>
      </c>
    </row>
    <row r="87" spans="1:13" x14ac:dyDescent="0.25">
      <c r="A87">
        <v>76</v>
      </c>
      <c r="B87" s="8" t="n">
        <v>0.612947510975669</v>
      </c>
      <c r="C87" s="8" t="n">
        <v>0.0</v>
      </c>
      <c r="D87" s="8" t="n">
        <v>0.0</v>
      </c>
      <c r="E87" s="8">
        <f t="shared" si="4"/>
        <v>0.61294751097566902</v>
      </c>
      <c r="F87" s="21">
        <f t="shared" si="5"/>
        <v>7.5208078614023674E-6</v>
      </c>
      <c r="H87" s="459">
        <v>76</v>
      </c>
      <c r="I87" s="549" t="n">
        <v>3.0</v>
      </c>
      <c r="J87" s="639" t="n">
        <v>0.0</v>
      </c>
      <c r="K87" s="729" t="n">
        <v>0.0</v>
      </c>
      <c r="L87">
        <f t="shared" si="6"/>
        <v>1</v>
      </c>
      <c r="M87" s="21">
        <f t="shared" si="7"/>
        <v>1.0863779074188748E-5</v>
      </c>
    </row>
    <row r="88" spans="1:13" x14ac:dyDescent="0.25">
      <c r="A88">
        <v>77</v>
      </c>
      <c r="B88" s="8" t="n">
        <v>0.19154609717989654</v>
      </c>
      <c r="C88" s="8" t="n">
        <v>0.0</v>
      </c>
      <c r="D88" s="8" t="n">
        <v>0.0</v>
      </c>
      <c r="E88" s="8">
        <f t="shared" si="4"/>
        <v>0.19154609717989654</v>
      </c>
      <c r="F88" s="21">
        <f t="shared" si="5"/>
        <v>2.3502524566882393E-6</v>
      </c>
      <c r="H88" s="460">
        <v>77</v>
      </c>
      <c r="I88" s="550" t="n">
        <v>0.0</v>
      </c>
      <c r="J88" s="640" t="n">
        <v>1.0</v>
      </c>
      <c r="K88" s="730" t="n">
        <v>0.0</v>
      </c>
      <c r="L88">
        <f t="shared" si="6"/>
        <v>0</v>
      </c>
      <c r="M88" s="21">
        <f t="shared" si="7"/>
        <v>0</v>
      </c>
    </row>
    <row r="89" spans="1:13" x14ac:dyDescent="0.25">
      <c r="A89">
        <v>78</v>
      </c>
      <c r="B89" s="8" t="n">
        <v>0.04506966992468154</v>
      </c>
      <c r="C89" s="8" t="n">
        <v>0.0</v>
      </c>
      <c r="D89" s="8" t="n">
        <v>0.0</v>
      </c>
      <c r="E89" s="8">
        <f t="shared" si="4"/>
        <v>4.5069669924681539E-2</v>
      </c>
      <c r="F89" s="21">
        <f t="shared" si="5"/>
        <v>5.5300057804429169E-7</v>
      </c>
      <c r="H89" s="461">
        <v>78</v>
      </c>
      <c r="I89" s="551" t="n">
        <v>0.0</v>
      </c>
      <c r="J89" s="641" t="n">
        <v>0.0</v>
      </c>
      <c r="K89" s="731" t="n">
        <v>0.0</v>
      </c>
      <c r="L89">
        <f t="shared" si="6"/>
        <v>2</v>
      </c>
      <c r="M89" s="21">
        <f t="shared" si="7"/>
        <v>2.1727558148377496E-5</v>
      </c>
    </row>
    <row r="90" spans="1:13" x14ac:dyDescent="0.25">
      <c r="A90">
        <v>79</v>
      </c>
      <c r="B90" s="8" t="n">
        <v>0.00751161165411359</v>
      </c>
      <c r="C90" s="8" t="n">
        <v>0.0</v>
      </c>
      <c r="D90" s="8" t="n">
        <v>0.0</v>
      </c>
      <c r="E90" s="8">
        <f t="shared" si="4"/>
        <v>7.5116116541135902E-3</v>
      </c>
      <c r="F90" s="21">
        <f t="shared" si="5"/>
        <v>9.216676300738194E-8</v>
      </c>
      <c r="H90" s="462">
        <v>79</v>
      </c>
      <c r="I90" s="552" t="n">
        <v>1.0</v>
      </c>
      <c r="J90" s="642" t="n">
        <v>1.0</v>
      </c>
      <c r="K90" s="732" t="n">
        <v>0.0</v>
      </c>
      <c r="L90">
        <f t="shared" si="6"/>
        <v>1</v>
      </c>
      <c r="M90" s="21">
        <f t="shared" si="7"/>
        <v>1.0863779074188748E-5</v>
      </c>
    </row>
    <row r="91" spans="1:13" x14ac:dyDescent="0.25">
      <c r="A91">
        <v>80</v>
      </c>
      <c r="B91" s="8" t="n">
        <v>7.906959635909043E-4</v>
      </c>
      <c r="C91" s="8" t="n">
        <v>0.0</v>
      </c>
      <c r="D91" s="8" t="n">
        <v>0.0</v>
      </c>
      <c r="E91" s="8">
        <f t="shared" si="4"/>
        <v>7.9069596359090434E-4</v>
      </c>
      <c r="F91" s="21">
        <f t="shared" si="5"/>
        <v>9.7017645270928377E-9</v>
      </c>
      <c r="H91" s="463">
        <v>80</v>
      </c>
      <c r="I91" s="553" t="n">
        <v>0.0</v>
      </c>
      <c r="J91" s="643" t="n">
        <v>0.0</v>
      </c>
      <c r="K91" s="733" t="n">
        <v>0.0</v>
      </c>
      <c r="L91">
        <f t="shared" si="6"/>
        <v>1</v>
      </c>
      <c r="M91" s="21">
        <f t="shared" si="7"/>
        <v>1.0863779074188748E-5</v>
      </c>
    </row>
    <row r="92" spans="1:13" x14ac:dyDescent="0.25">
      <c r="A92">
        <v>81</v>
      </c>
      <c r="B92" s="8" t="n">
        <v>3.953479817954521E-5</v>
      </c>
      <c r="C92" s="8" t="n">
        <v>0.0</v>
      </c>
      <c r="D92" s="8" t="n">
        <v>0.0</v>
      </c>
      <c r="E92" s="8">
        <f t="shared" si="4"/>
        <v>3.9534798179545209E-5</v>
      </c>
      <c r="F92" s="21">
        <f t="shared" si="5"/>
        <v>4.8508822635464182E-10</v>
      </c>
      <c r="H92" s="464">
        <v>81</v>
      </c>
      <c r="I92" s="554" t="n">
        <v>2.0</v>
      </c>
      <c r="J92" s="644" t="n">
        <v>0.0</v>
      </c>
      <c r="K92" s="734" t="n">
        <v>0.0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465">
        <v>82</v>
      </c>
      <c r="I93" s="555" t="n">
        <v>2.0</v>
      </c>
      <c r="J93" s="645" t="n">
        <v>1.0</v>
      </c>
      <c r="K93" s="735" t="n">
        <v>0.0</v>
      </c>
      <c r="L93">
        <f t="shared" si="6"/>
        <v>1</v>
      </c>
      <c r="M93" s="21">
        <f t="shared" si="7"/>
        <v>1.0863779074188748E-5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466">
        <v>83</v>
      </c>
      <c r="I94" s="556" t="n">
        <v>0.0</v>
      </c>
      <c r="J94" s="646" t="n">
        <v>0.0</v>
      </c>
      <c r="K94" s="736" t="n">
        <v>0.0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467">
        <v>84</v>
      </c>
      <c r="I95" s="557" t="n">
        <v>0.0</v>
      </c>
      <c r="J95" s="647" t="n">
        <v>0.0</v>
      </c>
      <c r="K95" s="737" t="n">
        <v>0.0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468">
        <v>85</v>
      </c>
      <c r="I96" s="558" t="n">
        <v>0.0</v>
      </c>
      <c r="J96" s="648" t="n">
        <v>0.0</v>
      </c>
      <c r="K96" s="738" t="n">
        <v>0.0</v>
      </c>
      <c r="L96">
        <f t="shared" si="6"/>
        <v>1</v>
      </c>
      <c r="M96" s="21">
        <f t="shared" si="7"/>
        <v>1.0863779074188748E-5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469">
        <v>86</v>
      </c>
      <c r="I97" s="559" t="n">
        <v>1.0</v>
      </c>
      <c r="J97" s="649" t="n">
        <v>0.0</v>
      </c>
      <c r="K97" s="739" t="n">
        <v>0.0</v>
      </c>
      <c r="L97">
        <f t="shared" si="6"/>
        <v>1</v>
      </c>
      <c r="M97" s="21">
        <f t="shared" si="7"/>
        <v>1.0863779074188748E-5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470">
        <v>87</v>
      </c>
      <c r="I98" s="560" t="n">
        <v>0.0</v>
      </c>
      <c r="J98" s="650" t="n">
        <v>0.0</v>
      </c>
      <c r="K98" s="74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471">
        <v>88</v>
      </c>
      <c r="I99" s="561" t="n">
        <v>0.0</v>
      </c>
      <c r="J99" s="651" t="n">
        <v>0.0</v>
      </c>
      <c r="K99" s="74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472">
        <v>89</v>
      </c>
      <c r="I100" s="562" t="n">
        <v>0.0</v>
      </c>
      <c r="J100" s="652" t="n">
        <v>0.0</v>
      </c>
      <c r="K100" s="742" t="n">
        <v>0.0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5">
        <v>90</v>
      </c>
      <c r="I101" s="745" t="n">
        <v>6.0</v>
      </c>
      <c r="J101" s="745" t="n">
        <v>0.0</v>
      </c>
      <c r="K101" s="745" t="n">
        <v>0.0</v>
      </c>
      <c r="L101" s="1">
        <f t="shared" si="6"/>
        <v>2</v>
      </c>
      <c r="M101" s="21">
        <f t="shared" si="7"/>
        <v>2.1727558148377496E-5</v>
      </c>
    </row>
    <row r="102" spans="1:13" x14ac:dyDescent="0.25">
      <c r="E102" s="8">
        <f>SUM(E11:E101)</f>
        <v>81500.222086696915</v>
      </c>
      <c r="F102" s="21">
        <f t="shared" si="5"/>
        <v>1</v>
      </c>
      <c r="L102" s="22">
        <f>SUM(L11:L101)</f>
        <v>92049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4" workbookViewId="0">
      <selection activeCell="AC11" sqref="AC1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55</v>
      </c>
    </row>
    <row r="3" spans="1:21" x14ac:dyDescent="0.25">
      <c r="A3" t="s">
        <v>21</v>
      </c>
    </row>
    <row r="5" spans="1:21" ht="15.75" thickBot="1" x14ac:dyDescent="0.3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41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19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20</v>
      </c>
      <c r="J6" s="3" t="s">
        <v>4</v>
      </c>
      <c r="L6" s="2" t="s">
        <v>19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20</v>
      </c>
      <c r="U6" s="3" t="s">
        <v>4</v>
      </c>
    </row>
    <row r="7" spans="1:21" x14ac:dyDescent="0.25">
      <c r="A7" s="747" t="s">
        <v>43</v>
      </c>
      <c r="B7" s="13" t="n">
        <v>13726.396922037966</v>
      </c>
      <c r="C7" s="13" t="n">
        <v>0.0</v>
      </c>
      <c r="D7" s="13" t="n">
        <v>0.0</v>
      </c>
      <c r="E7" s="13" t="n">
        <v>0.0</v>
      </c>
      <c r="F7" s="13" t="n">
        <v>1314.4469612338692</v>
      </c>
      <c r="G7" s="13" t="n">
        <v>0.0</v>
      </c>
      <c r="H7" s="13" t="n">
        <v>115.5110484707071</v>
      </c>
      <c r="I7" s="13"/>
      <c r="J7" s="13">
        <f>SUM(B7:I7)</f>
        <v>15156.354931742542</v>
      </c>
      <c r="K7" s="13"/>
      <c r="L7" t="str">
        <f>$A$7</f>
        <v>Williamson</v>
      </c>
      <c r="M7" s="743" t="n">
        <v>9400.0</v>
      </c>
      <c r="N7" s="743" t="n">
        <v>79.0</v>
      </c>
      <c r="O7" s="743" t="n">
        <v>4.0</v>
      </c>
      <c r="P7" s="743" t="n">
        <v>3.0</v>
      </c>
      <c r="Q7" s="743" t="n">
        <v>1853.0</v>
      </c>
      <c r="R7" s="743" t="n">
        <v>112.0</v>
      </c>
      <c r="S7" s="743" t="n">
        <v>5.0</v>
      </c>
      <c r="T7" s="743"/>
      <c r="U7" s="13">
        <f>SUM(M7:T7)</f>
        <v>11706</v>
      </c>
    </row>
    <row r="8" spans="1:21" x14ac:dyDescent="0.25">
      <c r="A8" t="s">
        <v>44</v>
      </c>
      <c r="B8" s="13" t="n">
        <v>0.0</v>
      </c>
      <c r="C8" s="13" t="n">
        <v>8427.685630649494</v>
      </c>
      <c r="D8" s="13" t="n">
        <v>0.0</v>
      </c>
      <c r="E8" s="13" t="n">
        <v>0.0</v>
      </c>
      <c r="F8" s="13" t="n">
        <v>339.8137649937415</v>
      </c>
      <c r="G8" s="13" t="n">
        <v>0.0</v>
      </c>
      <c r="H8" s="13" t="n">
        <v>91.7969322337547</v>
      </c>
      <c r="I8" s="13"/>
      <c r="J8" s="13">
        <f t="shared" ref="J8:J14" si="0">SUM(B8:I8)</f>
        <v>8859.2963278769894</v>
      </c>
      <c r="K8" s="13"/>
      <c r="L8" t="str">
        <f>$A$8</f>
        <v>Rutherford</v>
      </c>
      <c r="M8" s="743" t="n">
        <v>125.0</v>
      </c>
      <c r="N8" s="743" t="n">
        <v>11378.0</v>
      </c>
      <c r="O8" s="743" t="n">
        <v>6.0</v>
      </c>
      <c r="P8" s="743" t="n">
        <v>3.0</v>
      </c>
      <c r="Q8" s="743" t="n">
        <v>711.0</v>
      </c>
      <c r="R8" s="743" t="n">
        <v>3.0</v>
      </c>
      <c r="S8" s="743" t="n">
        <v>59.0</v>
      </c>
      <c r="T8" s="743"/>
      <c r="U8" s="13">
        <f t="shared" ref="U8:U14" si="1">SUM(M8:T8)</f>
        <v>12486</v>
      </c>
    </row>
    <row r="9" spans="1:21" x14ac:dyDescent="0.25">
      <c r="A9" t="s">
        <v>45</v>
      </c>
      <c r="B9" s="13" t="n">
        <v>0.0</v>
      </c>
      <c r="C9" s="13" t="n">
        <v>0.0</v>
      </c>
      <c r="D9" s="13" t="n">
        <v>1817.6465585037295</v>
      </c>
      <c r="E9" s="13" t="n">
        <v>292.347737661138</v>
      </c>
      <c r="F9" s="13" t="n">
        <v>363.8811596540503</v>
      </c>
      <c r="G9" s="13" t="n">
        <v>0.0</v>
      </c>
      <c r="H9" s="13" t="n">
        <v>0.0</v>
      </c>
      <c r="I9" s="13"/>
      <c r="J9" s="13">
        <f t="shared" si="0"/>
        <v>2473.875455818918</v>
      </c>
      <c r="K9" s="14"/>
      <c r="L9" t="str">
        <f>$A$9</f>
        <v>Sumner</v>
      </c>
      <c r="M9" s="743" t="n">
        <v>4.0</v>
      </c>
      <c r="N9" s="743" t="n">
        <v>6.0</v>
      </c>
      <c r="O9" s="743" t="n">
        <v>4229.0</v>
      </c>
      <c r="P9" s="743" t="n">
        <v>127.0</v>
      </c>
      <c r="Q9" s="743" t="n">
        <v>607.0</v>
      </c>
      <c r="R9" s="743" t="n">
        <v>1.0</v>
      </c>
      <c r="S9" s="743" t="n">
        <v>31.0</v>
      </c>
      <c r="T9" s="743"/>
      <c r="U9" s="13">
        <f t="shared" si="1"/>
        <v>5100</v>
      </c>
    </row>
    <row r="10" spans="1:21" x14ac:dyDescent="0.25">
      <c r="A10" t="s">
        <v>46</v>
      </c>
      <c r="B10" s="13" t="n">
        <v>0.0</v>
      </c>
      <c r="C10" s="13" t="n">
        <v>0.0</v>
      </c>
      <c r="D10" s="13" t="n">
        <v>277.661560995634</v>
      </c>
      <c r="E10" s="13" t="n">
        <v>1724.3629797628084</v>
      </c>
      <c r="F10" s="13" t="n">
        <v>74.2865140305439</v>
      </c>
      <c r="G10" s="13" t="n">
        <v>0.0</v>
      </c>
      <c r="H10" s="13" t="n">
        <v>0.0</v>
      </c>
      <c r="I10" s="13"/>
      <c r="J10" s="13">
        <f t="shared" si="0"/>
        <v>2076.3110547889864</v>
      </c>
      <c r="K10" s="14"/>
      <c r="L10" t="str">
        <f>$A$10</f>
        <v>Roberston</v>
      </c>
      <c r="M10" s="743" t="n">
        <v>4.0</v>
      </c>
      <c r="N10" s="743" t="n">
        <v>3.0</v>
      </c>
      <c r="O10" s="743" t="n">
        <v>146.0</v>
      </c>
      <c r="P10" s="743" t="n">
        <v>2243.0</v>
      </c>
      <c r="Q10" s="743" t="n">
        <v>183.0</v>
      </c>
      <c r="R10" s="743" t="n">
        <v>0.0</v>
      </c>
      <c r="S10" s="743" t="n">
        <v>4.0</v>
      </c>
      <c r="T10" s="743"/>
      <c r="U10" s="13">
        <f t="shared" si="1"/>
        <v>2522</v>
      </c>
    </row>
    <row r="11" spans="1:21" x14ac:dyDescent="0.25">
      <c r="A11" t="s">
        <v>47</v>
      </c>
      <c r="B11" s="13" t="n">
        <v>1677.7763523533376</v>
      </c>
      <c r="C11" s="13" t="n">
        <v>847.5241780256633</v>
      </c>
      <c r="D11" s="13" t="n">
        <v>933.3872089427377</v>
      </c>
      <c r="E11" s="13" t="n">
        <v>390.2975412689153</v>
      </c>
      <c r="F11" s="13" t="n">
        <v>47809.002593559446</v>
      </c>
      <c r="G11" s="13" t="n">
        <v>0.0</v>
      </c>
      <c r="H11" s="13" t="n">
        <v>361.648190077666</v>
      </c>
      <c r="I11" s="13"/>
      <c r="J11" s="13">
        <f t="shared" si="0"/>
        <v>52019.636064227765</v>
      </c>
      <c r="K11" s="14"/>
      <c r="L11" t="str">
        <f>$A$11</f>
        <v>Davidson</v>
      </c>
      <c r="M11" s="743" t="n">
        <v>1206.0</v>
      </c>
      <c r="N11" s="743" t="n">
        <v>431.0</v>
      </c>
      <c r="O11" s="743" t="n">
        <v>435.0</v>
      </c>
      <c r="P11" s="743" t="n">
        <v>52.0</v>
      </c>
      <c r="Q11" s="743" t="n">
        <v>48772.0</v>
      </c>
      <c r="R11" s="743" t="n">
        <v>11.0</v>
      </c>
      <c r="S11" s="743" t="n">
        <v>304.0</v>
      </c>
      <c r="T11" s="743"/>
      <c r="U11" s="13">
        <f t="shared" si="1"/>
        <v>52034</v>
      </c>
    </row>
    <row r="12" spans="1:21" x14ac:dyDescent="0.25">
      <c r="A12" t="s">
        <v>48</v>
      </c>
      <c r="B12" s="13" t="n">
        <v>133.725294944298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2132.334755180514</v>
      </c>
      <c r="H12" s="13" t="n">
        <v>0.0</v>
      </c>
      <c r="I12" s="13"/>
      <c r="J12" s="13">
        <f t="shared" si="0"/>
        <v>2266.0600501248123</v>
      </c>
      <c r="K12" s="14"/>
      <c r="L12" t="str">
        <f>$A$12</f>
        <v>Maury</v>
      </c>
      <c r="M12" s="743" t="n">
        <v>181.0</v>
      </c>
      <c r="N12" s="743" t="n">
        <v>9.0</v>
      </c>
      <c r="O12" s="743" t="n">
        <v>1.0</v>
      </c>
      <c r="P12" s="743" t="n">
        <v>0.0</v>
      </c>
      <c r="Q12" s="743" t="n">
        <v>20.0</v>
      </c>
      <c r="R12" s="743" t="n">
        <v>3452.0</v>
      </c>
      <c r="S12" s="743" t="n">
        <v>0.0</v>
      </c>
      <c r="T12" s="743"/>
      <c r="U12" s="13">
        <f t="shared" si="1"/>
        <v>3647</v>
      </c>
    </row>
    <row r="13" spans="1:21" x14ac:dyDescent="0.25">
      <c r="A13" t="s">
        <v>49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1411.8552647958256</v>
      </c>
      <c r="I13" s="13"/>
      <c r="J13" s="13">
        <f t="shared" si="0"/>
        <v>1411.8552647958256</v>
      </c>
      <c r="K13" s="14"/>
      <c r="L13" t="str">
        <f>$A$13</f>
        <v>Wilson</v>
      </c>
      <c r="M13" s="743" t="n">
        <v>13.0</v>
      </c>
      <c r="N13" s="743" t="n">
        <v>70.0</v>
      </c>
      <c r="O13" s="743" t="n">
        <v>53.0</v>
      </c>
      <c r="P13" s="743" t="n">
        <v>3.0</v>
      </c>
      <c r="Q13" s="743" t="n">
        <v>523.0</v>
      </c>
      <c r="R13" s="743" t="n">
        <v>1.0</v>
      </c>
      <c r="S13" s="743" t="n">
        <v>3864.0</v>
      </c>
      <c r="T13" s="743"/>
      <c r="U13" s="13">
        <f t="shared" si="1"/>
        <v>4554</v>
      </c>
    </row>
    <row r="14" spans="1:21" x14ac:dyDescent="0.25">
      <c r="A14" t="s">
        <v>20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746" t="s">
        <v>20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15537.898569335601</v>
      </c>
      <c r="C15" s="16">
        <f t="shared" si="2"/>
        <v>9275.2098086751575</v>
      </c>
      <c r="D15" s="16">
        <f t="shared" si="2"/>
        <v>3028.6953284421011</v>
      </c>
      <c r="E15" s="16">
        <f t="shared" si="2"/>
        <v>2407.0082586928615</v>
      </c>
      <c r="F15" s="16">
        <f t="shared" si="2"/>
        <v>49901.430993471651</v>
      </c>
      <c r="G15" s="16">
        <f t="shared" si="2"/>
        <v>2132.3347551805141</v>
      </c>
      <c r="H15" s="16">
        <f t="shared" si="2"/>
        <v>1980.8114355779535</v>
      </c>
      <c r="I15" s="16">
        <f t="shared" si="2"/>
        <v>0</v>
      </c>
      <c r="J15" s="16">
        <f t="shared" si="2"/>
        <v>84263.389149375842</v>
      </c>
      <c r="K15" s="13"/>
      <c r="L15" s="16" t="s">
        <v>4</v>
      </c>
      <c r="M15" s="16">
        <f t="shared" ref="M15:U15" si="3">SUM(M7:M14)</f>
        <v>10471</v>
      </c>
      <c r="N15" s="16">
        <f t="shared" si="3"/>
        <v>11740</v>
      </c>
      <c r="O15" s="16">
        <f t="shared" si="3"/>
        <v>4688</v>
      </c>
      <c r="P15" s="16">
        <f t="shared" si="3"/>
        <v>2243</v>
      </c>
      <c r="Q15" s="16">
        <f t="shared" si="3"/>
        <v>55250</v>
      </c>
      <c r="R15" s="16">
        <f t="shared" si="3"/>
        <v>3541</v>
      </c>
      <c r="S15" s="16">
        <f t="shared" si="3"/>
        <v>4116</v>
      </c>
      <c r="T15" s="16">
        <f t="shared" si="3"/>
        <v>0</v>
      </c>
      <c r="U15" s="16">
        <f t="shared" si="3"/>
        <v>92049</v>
      </c>
    </row>
    <row r="18" spans="1:32" ht="15.75" thickBot="1" x14ac:dyDescent="0.3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42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19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20</v>
      </c>
      <c r="J19" s="3" t="s">
        <v>4</v>
      </c>
      <c r="L19" s="2" t="s">
        <v>19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20</v>
      </c>
      <c r="U19" s="3" t="s">
        <v>4</v>
      </c>
    </row>
    <row r="20" spans="1:32" x14ac:dyDescent="0.25">
      <c r="A20" t="str">
        <f>$A$7</f>
        <v>Williamson</v>
      </c>
      <c r="B20" s="13">
        <f t="shared" ref="B20:H20" si="4">($U7/$J7)*B7</f>
        <v>10601.572943693443</v>
      </c>
      <c r="C20" s="13">
        <f t="shared" si="4"/>
        <v>0</v>
      </c>
      <c r="D20" s="13">
        <f t="shared" si="4"/>
        <v>0</v>
      </c>
      <c r="E20" s="13">
        <f t="shared" si="4"/>
        <v>0</v>
      </c>
      <c r="F20" s="13">
        <f t="shared" si="4"/>
        <v>1015.2121798083691</v>
      </c>
      <c r="G20" s="13">
        <f t="shared" si="4"/>
        <v>0</v>
      </c>
      <c r="H20" s="13">
        <f t="shared" si="4"/>
        <v>89.214876498186925</v>
      </c>
      <c r="I20" s="13"/>
      <c r="J20" s="13">
        <f>SUM(B20:I20)</f>
        <v>11706</v>
      </c>
      <c r="K20" s="13"/>
      <c r="L20" t="str">
        <f>$A$7</f>
        <v>Williamson</v>
      </c>
      <c r="M20" s="13">
        <f t="shared" ref="M20:M26" si="5">M7</f>
        <v>8749</v>
      </c>
      <c r="N20" s="13">
        <f t="shared" ref="N20:U20" si="6">N7</f>
        <v>127</v>
      </c>
      <c r="O20" s="13">
        <f t="shared" si="6"/>
        <v>11</v>
      </c>
      <c r="P20" s="13">
        <f t="shared" si="6"/>
        <v>0</v>
      </c>
      <c r="Q20" s="13">
        <f t="shared" si="6"/>
        <v>2690</v>
      </c>
      <c r="R20" s="13">
        <f t="shared" si="6"/>
        <v>114</v>
      </c>
      <c r="S20" s="13">
        <f t="shared" si="6"/>
        <v>15</v>
      </c>
      <c r="T20" s="13"/>
      <c r="U20" s="13">
        <f t="shared" si="6"/>
        <v>11706</v>
      </c>
    </row>
    <row r="21" spans="1:32" x14ac:dyDescent="0.25">
      <c r="A21" t="str">
        <f>$A$8</f>
        <v>Rutherford</v>
      </c>
      <c r="B21" s="13">
        <f t="shared" ref="B21:G25" si="7">($U8/$J8)*B8</f>
        <v>0</v>
      </c>
      <c r="C21" s="13">
        <f t="shared" si="7"/>
        <v>11877.702121011012</v>
      </c>
      <c r="D21" s="13">
        <f t="shared" si="7"/>
        <v>0</v>
      </c>
      <c r="E21" s="13">
        <f t="shared" si="7"/>
        <v>0</v>
      </c>
      <c r="F21" s="13">
        <f t="shared" si="7"/>
        <v>478.92231083420745</v>
      </c>
      <c r="G21" s="13">
        <f t="shared" si="7"/>
        <v>0</v>
      </c>
      <c r="H21" s="13">
        <f t="shared" ref="H21:H26" si="8">($U8/$J8)*H8</f>
        <v>129.37556815478223</v>
      </c>
      <c r="I21" s="13"/>
      <c r="J21" s="13">
        <f t="shared" ref="J21:J27" si="9">SUM(B21:I21)</f>
        <v>12486.000000000002</v>
      </c>
      <c r="K21" s="13"/>
      <c r="L21" t="str">
        <f>$A$8</f>
        <v>Rutherford</v>
      </c>
      <c r="M21" s="13">
        <f t="shared" si="5"/>
        <v>207</v>
      </c>
      <c r="N21" s="13">
        <f t="shared" ref="N21:S25" si="10">N8</f>
        <v>11018</v>
      </c>
      <c r="O21" s="13">
        <f t="shared" si="10"/>
        <v>6</v>
      </c>
      <c r="P21" s="13">
        <f t="shared" si="10"/>
        <v>3</v>
      </c>
      <c r="Q21" s="13">
        <f t="shared" si="10"/>
        <v>1152</v>
      </c>
      <c r="R21" s="13">
        <f t="shared" si="10"/>
        <v>2</v>
      </c>
      <c r="S21" s="13">
        <f t="shared" si="10"/>
        <v>98</v>
      </c>
      <c r="T21" s="13"/>
      <c r="U21" s="13">
        <f t="shared" ref="U21:U26" si="11">U8</f>
        <v>12486</v>
      </c>
    </row>
    <row r="22" spans="1:32" x14ac:dyDescent="0.25">
      <c r="A22" t="str">
        <f>$A$9</f>
        <v>Sumner</v>
      </c>
      <c r="B22" s="13">
        <f t="shared" si="7"/>
        <v>0</v>
      </c>
      <c r="C22" s="13">
        <f t="shared" si="7"/>
        <v>0</v>
      </c>
      <c r="D22" s="13">
        <f t="shared" si="7"/>
        <v>3747.1560771439104</v>
      </c>
      <c r="E22" s="13">
        <f t="shared" si="7"/>
        <v>602.68735783154136</v>
      </c>
      <c r="F22" s="13">
        <f t="shared" si="7"/>
        <v>750.1565650245476</v>
      </c>
      <c r="G22" s="13">
        <f t="shared" si="7"/>
        <v>0</v>
      </c>
      <c r="H22" s="13">
        <f t="shared" si="8"/>
        <v>0</v>
      </c>
      <c r="I22" s="13"/>
      <c r="J22" s="13">
        <f t="shared" si="9"/>
        <v>5099.9999999999991</v>
      </c>
      <c r="K22" s="14"/>
      <c r="L22" t="str">
        <f>$A$9</f>
        <v>Sumner</v>
      </c>
      <c r="M22" s="13">
        <f t="shared" si="5"/>
        <v>19</v>
      </c>
      <c r="N22" s="13">
        <f t="shared" si="10"/>
        <v>12</v>
      </c>
      <c r="O22" s="13">
        <f t="shared" si="10"/>
        <v>3959</v>
      </c>
      <c r="P22" s="13">
        <f t="shared" si="10"/>
        <v>136</v>
      </c>
      <c r="Q22" s="13">
        <f t="shared" si="10"/>
        <v>911</v>
      </c>
      <c r="R22" s="13">
        <f t="shared" si="10"/>
        <v>0</v>
      </c>
      <c r="S22" s="13">
        <f t="shared" si="10"/>
        <v>63</v>
      </c>
      <c r="T22" s="13"/>
      <c r="U22" s="13">
        <f t="shared" si="11"/>
        <v>5100</v>
      </c>
    </row>
    <row r="23" spans="1:32" x14ac:dyDescent="0.25">
      <c r="A23" t="str">
        <f>$A$10</f>
        <v>Roberston</v>
      </c>
      <c r="B23" s="13">
        <f t="shared" si="7"/>
        <v>0</v>
      </c>
      <c r="C23" s="13">
        <f t="shared" si="7"/>
        <v>0</v>
      </c>
      <c r="D23" s="13">
        <f t="shared" si="7"/>
        <v>337.26278883688548</v>
      </c>
      <c r="E23" s="13">
        <f t="shared" si="7"/>
        <v>2094.504782860568</v>
      </c>
      <c r="F23" s="13">
        <f t="shared" si="7"/>
        <v>90.23242830254641</v>
      </c>
      <c r="G23" s="13">
        <f t="shared" si="7"/>
        <v>0</v>
      </c>
      <c r="H23" s="13">
        <f t="shared" si="8"/>
        <v>0</v>
      </c>
      <c r="I23" s="13"/>
      <c r="J23" s="13">
        <f>SUM(B23:I23)</f>
        <v>2522</v>
      </c>
      <c r="K23" s="14"/>
      <c r="L23" t="str">
        <f>$A$10</f>
        <v>Roberston</v>
      </c>
      <c r="M23" s="13">
        <f t="shared" si="5"/>
        <v>7</v>
      </c>
      <c r="N23" s="13">
        <f t="shared" si="10"/>
        <v>0</v>
      </c>
      <c r="O23" s="13">
        <f t="shared" si="10"/>
        <v>189</v>
      </c>
      <c r="P23" s="13">
        <f t="shared" si="10"/>
        <v>2026</v>
      </c>
      <c r="Q23" s="13">
        <f t="shared" si="10"/>
        <v>290</v>
      </c>
      <c r="R23" s="13">
        <f t="shared" si="10"/>
        <v>1</v>
      </c>
      <c r="S23" s="13">
        <f t="shared" si="10"/>
        <v>9</v>
      </c>
      <c r="T23" s="13"/>
      <c r="U23" s="13">
        <f t="shared" si="11"/>
        <v>2522</v>
      </c>
    </row>
    <row r="24" spans="1:32" x14ac:dyDescent="0.25">
      <c r="A24" t="str">
        <f>$A$11</f>
        <v>Davidson</v>
      </c>
      <c r="B24" s="13">
        <f t="shared" si="7"/>
        <v>1678.2396287925581</v>
      </c>
      <c r="C24" s="13">
        <f t="shared" si="7"/>
        <v>847.75820086356919</v>
      </c>
      <c r="D24" s="13">
        <f t="shared" si="7"/>
        <v>933.64494073277422</v>
      </c>
      <c r="E24" s="13">
        <f t="shared" si="7"/>
        <v>390.40531228076799</v>
      </c>
      <c r="F24" s="13">
        <f t="shared" si="7"/>
        <v>47822.203867050492</v>
      </c>
      <c r="G24" s="13">
        <f t="shared" si="7"/>
        <v>0</v>
      </c>
      <c r="H24" s="13">
        <f t="shared" si="8"/>
        <v>361.74805027984058</v>
      </c>
      <c r="I24" s="13"/>
      <c r="J24" s="13">
        <f t="shared" si="9"/>
        <v>52034</v>
      </c>
      <c r="K24" s="14"/>
      <c r="L24" t="str">
        <f>$A$11</f>
        <v>Davidson</v>
      </c>
      <c r="M24" s="13">
        <f t="shared" si="5"/>
        <v>1285</v>
      </c>
      <c r="N24" s="13">
        <f t="shared" si="10"/>
        <v>453</v>
      </c>
      <c r="O24" s="13">
        <f t="shared" si="10"/>
        <v>447</v>
      </c>
      <c r="P24" s="13">
        <f t="shared" si="10"/>
        <v>74</v>
      </c>
      <c r="Q24" s="13">
        <f t="shared" si="10"/>
        <v>49414</v>
      </c>
      <c r="R24" s="13">
        <f t="shared" si="10"/>
        <v>16</v>
      </c>
      <c r="S24" s="13">
        <f t="shared" si="10"/>
        <v>345</v>
      </c>
      <c r="T24" s="13"/>
      <c r="U24" s="13">
        <f t="shared" si="11"/>
        <v>52034</v>
      </c>
    </row>
    <row r="25" spans="1:32" x14ac:dyDescent="0.25">
      <c r="A25" t="str">
        <f>$A$12</f>
        <v>Maury</v>
      </c>
      <c r="B25" s="13">
        <f t="shared" si="7"/>
        <v>215.21766408396505</v>
      </c>
      <c r="C25" s="13">
        <f t="shared" si="7"/>
        <v>0</v>
      </c>
      <c r="D25" s="13">
        <f t="shared" si="7"/>
        <v>0</v>
      </c>
      <c r="E25" s="13">
        <f t="shared" si="7"/>
        <v>0</v>
      </c>
      <c r="F25" s="13">
        <f t="shared" si="7"/>
        <v>0</v>
      </c>
      <c r="G25" s="13">
        <f t="shared" si="7"/>
        <v>3431.7823359160343</v>
      </c>
      <c r="H25" s="13">
        <f t="shared" si="8"/>
        <v>0</v>
      </c>
      <c r="I25" s="13"/>
      <c r="J25" s="13">
        <f t="shared" si="9"/>
        <v>3646.9999999999995</v>
      </c>
      <c r="K25" s="14"/>
      <c r="L25" t="str">
        <f>$A$12</f>
        <v>Maury</v>
      </c>
      <c r="M25" s="13">
        <f t="shared" si="5"/>
        <v>181</v>
      </c>
      <c r="N25" s="13">
        <f t="shared" si="10"/>
        <v>14</v>
      </c>
      <c r="O25" s="13">
        <f t="shared" si="10"/>
        <v>0</v>
      </c>
      <c r="P25" s="13">
        <f t="shared" si="10"/>
        <v>0</v>
      </c>
      <c r="Q25" s="13">
        <f t="shared" si="10"/>
        <v>43</v>
      </c>
      <c r="R25" s="13">
        <f t="shared" si="10"/>
        <v>3408</v>
      </c>
      <c r="S25" s="13">
        <f t="shared" si="10"/>
        <v>1</v>
      </c>
      <c r="T25" s="13"/>
      <c r="U25" s="13">
        <f t="shared" si="11"/>
        <v>3647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t="shared" ref="C26:G26" si="12">($U13/$J13)*C13</f>
        <v>0</v>
      </c>
      <c r="D26" s="13">
        <f t="shared" si="12"/>
        <v>0</v>
      </c>
      <c r="E26" s="13">
        <f t="shared" si="12"/>
        <v>0</v>
      </c>
      <c r="F26" s="13">
        <f t="shared" si="12"/>
        <v>0</v>
      </c>
      <c r="G26" s="13">
        <f t="shared" si="12"/>
        <v>0</v>
      </c>
      <c r="H26" s="13">
        <f t="shared" si="8"/>
        <v>4554</v>
      </c>
      <c r="I26" s="13"/>
      <c r="J26" s="13">
        <f t="shared" si="9"/>
        <v>4554</v>
      </c>
      <c r="K26" s="14"/>
      <c r="L26" t="str">
        <f>$A$13</f>
        <v>Wilson</v>
      </c>
      <c r="M26" s="13">
        <f t="shared" si="5"/>
        <v>23</v>
      </c>
      <c r="N26" s="13">
        <f t="shared" ref="N26:S26" si="13">N13</f>
        <v>116</v>
      </c>
      <c r="O26" s="13">
        <f t="shared" si="13"/>
        <v>76</v>
      </c>
      <c r="P26" s="13">
        <f t="shared" si="13"/>
        <v>4</v>
      </c>
      <c r="Q26" s="13">
        <f t="shared" si="13"/>
        <v>750</v>
      </c>
      <c r="R26" s="13">
        <f t="shared" si="13"/>
        <v>0</v>
      </c>
      <c r="S26" s="13">
        <f t="shared" si="13"/>
        <v>3585</v>
      </c>
      <c r="T26" s="13"/>
      <c r="U26" s="13">
        <f t="shared" si="11"/>
        <v>4554</v>
      </c>
    </row>
    <row r="27" spans="1:32" x14ac:dyDescent="0.25">
      <c r="A27" s="7" t="s">
        <v>20</v>
      </c>
      <c r="B27" s="15"/>
      <c r="C27" s="15"/>
      <c r="D27" s="15"/>
      <c r="E27" s="15"/>
      <c r="F27" s="15"/>
      <c r="G27" s="15"/>
      <c r="H27" s="15"/>
      <c r="I27" s="15"/>
      <c r="J27" s="15">
        <f t="shared" si="9"/>
        <v>0</v>
      </c>
      <c r="K27" s="13"/>
      <c r="L27" s="746" t="s">
        <v>20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14">SUM(B20:B27)</f>
        <v>12495.030236569966</v>
      </c>
      <c r="C28" s="16">
        <f t="shared" si="14"/>
        <v>12725.460321874581</v>
      </c>
      <c r="D28" s="16">
        <f t="shared" si="14"/>
        <v>5018.0638067135706</v>
      </c>
      <c r="E28" s="16">
        <f t="shared" si="14"/>
        <v>3087.5974529728774</v>
      </c>
      <c r="F28" s="16">
        <f t="shared" si="14"/>
        <v>50156.727351020163</v>
      </c>
      <c r="G28" s="16">
        <f t="shared" si="14"/>
        <v>3431.7823359160343</v>
      </c>
      <c r="H28" s="16">
        <f t="shared" si="14"/>
        <v>5134.3384949328101</v>
      </c>
      <c r="I28" s="16">
        <f t="shared" si="14"/>
        <v>0</v>
      </c>
      <c r="J28" s="16">
        <f t="shared" si="14"/>
        <v>92049</v>
      </c>
      <c r="K28" s="13"/>
      <c r="L28" s="16" t="s">
        <v>4</v>
      </c>
      <c r="M28" s="16">
        <f t="shared" ref="M28:U28" si="15">M15</f>
        <v>10471</v>
      </c>
      <c r="N28" s="16">
        <f t="shared" si="15"/>
        <v>11740</v>
      </c>
      <c r="O28" s="16">
        <f t="shared" si="15"/>
        <v>4688</v>
      </c>
      <c r="P28" s="16">
        <f t="shared" si="15"/>
        <v>2243</v>
      </c>
      <c r="Q28" s="16">
        <f t="shared" si="15"/>
        <v>55250</v>
      </c>
      <c r="R28" s="16">
        <f t="shared" si="15"/>
        <v>3541</v>
      </c>
      <c r="S28" s="16">
        <f t="shared" si="15"/>
        <v>4116</v>
      </c>
      <c r="T28" s="16"/>
      <c r="U28" s="16">
        <f t="shared" si="15"/>
        <v>92049</v>
      </c>
    </row>
    <row r="31" spans="1:32" ht="15.75" thickBot="1" x14ac:dyDescent="0.3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19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20</v>
      </c>
      <c r="J32" s="3" t="s">
        <v>4</v>
      </c>
      <c r="L32" s="2" t="s">
        <v>19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20</v>
      </c>
      <c r="U32" s="3" t="s">
        <v>4</v>
      </c>
      <c r="W32" s="2" t="s">
        <v>19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20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16">B20/$J$28</f>
        <v>0.11517314629918243</v>
      </c>
      <c r="C33" s="17">
        <f t="shared" si="16"/>
        <v>0</v>
      </c>
      <c r="D33" s="17">
        <f t="shared" si="16"/>
        <v>0</v>
      </c>
      <c r="E33" s="17">
        <f t="shared" si="16"/>
        <v>0</v>
      </c>
      <c r="F33" s="17">
        <f t="shared" si="16"/>
        <v>1.1029040834863705E-2</v>
      </c>
      <c r="G33" s="17">
        <f t="shared" si="16"/>
        <v>0</v>
      </c>
      <c r="H33" s="17">
        <f t="shared" si="16"/>
        <v>9.6921070840733656E-4</v>
      </c>
      <c r="I33" s="13"/>
      <c r="J33" s="17">
        <f t="shared" ref="J33:J39" si="17">J20/$J$28</f>
        <v>0.12717139784245349</v>
      </c>
      <c r="K33" s="13"/>
      <c r="L33" t="str">
        <f>$A$7</f>
        <v>Williamson</v>
      </c>
      <c r="M33" s="17">
        <f t="shared" ref="M33:S33" si="18">M20/$U$28</f>
        <v>9.5047203120077348E-2</v>
      </c>
      <c r="N33" s="17">
        <f t="shared" si="18"/>
        <v>1.3796999424219708E-3</v>
      </c>
      <c r="O33" s="17">
        <f t="shared" si="18"/>
        <v>1.1950156981607622E-4</v>
      </c>
      <c r="P33" s="17">
        <f t="shared" si="18"/>
        <v>0</v>
      </c>
      <c r="Q33" s="17">
        <f t="shared" si="18"/>
        <v>2.9223565709567731E-2</v>
      </c>
      <c r="R33" s="17">
        <f t="shared" si="18"/>
        <v>1.2384708144575172E-3</v>
      </c>
      <c r="S33" s="17">
        <f t="shared" si="18"/>
        <v>1.629566861128312E-4</v>
      </c>
      <c r="T33" s="17"/>
      <c r="U33" s="17">
        <f t="shared" ref="U33:U39" si="19">U20/$U$28</f>
        <v>0.12717139784245349</v>
      </c>
      <c r="W33" t="str">
        <f>$A$7</f>
        <v>Williamson</v>
      </c>
      <c r="X33" s="17">
        <f t="shared" ref="X33:AD39" si="20">M33-B33</f>
        <v>-2.0125943179105085E-2</v>
      </c>
      <c r="Y33" s="17">
        <f t="shared" si="20"/>
        <v>1.3796999424219708E-3</v>
      </c>
      <c r="Z33" s="17">
        <f t="shared" si="20"/>
        <v>1.1950156981607622E-4</v>
      </c>
      <c r="AA33" s="17">
        <f t="shared" si="20"/>
        <v>0</v>
      </c>
      <c r="AB33" s="17">
        <f t="shared" si="20"/>
        <v>1.8194524874704028E-2</v>
      </c>
      <c r="AC33" s="17">
        <f t="shared" si="20"/>
        <v>1.2384708144575172E-3</v>
      </c>
      <c r="AD33" s="17">
        <f t="shared" si="20"/>
        <v>-8.0625402229450539E-4</v>
      </c>
      <c r="AE33" s="17"/>
      <c r="AF33" s="17">
        <f t="shared" ref="AF33:AF39" si="21">U33-J33</f>
        <v>0</v>
      </c>
    </row>
    <row r="34" spans="1:32" x14ac:dyDescent="0.25">
      <c r="A34" t="str">
        <f>$A$8</f>
        <v>Rutherford</v>
      </c>
      <c r="B34" s="17">
        <f t="shared" ref="B34:G38" si="22">B21/$J$28</f>
        <v>0</v>
      </c>
      <c r="C34" s="17">
        <f t="shared" si="22"/>
        <v>0.12903673175168673</v>
      </c>
      <c r="D34" s="17">
        <f t="shared" si="22"/>
        <v>0</v>
      </c>
      <c r="E34" s="17">
        <f t="shared" si="22"/>
        <v>0</v>
      </c>
      <c r="F34" s="17">
        <f t="shared" si="22"/>
        <v>5.2029061786027821E-3</v>
      </c>
      <c r="G34" s="17">
        <f t="shared" si="22"/>
        <v>0</v>
      </c>
      <c r="H34" s="17">
        <f t="shared" ref="H34:H39" si="23">H21/$J$28</f>
        <v>1.4055075900312032E-3</v>
      </c>
      <c r="I34" s="13"/>
      <c r="J34" s="17">
        <f t="shared" si="17"/>
        <v>0.13564514552032073</v>
      </c>
      <c r="K34" s="13"/>
      <c r="L34" t="str">
        <f>$A$8</f>
        <v>Rutherford</v>
      </c>
      <c r="M34" s="17">
        <f t="shared" ref="M34:R38" si="24">M21/$U$28</f>
        <v>2.2488022683570708E-3</v>
      </c>
      <c r="N34" s="17">
        <f t="shared" si="24"/>
        <v>0.11969711783941162</v>
      </c>
      <c r="O34" s="17">
        <f t="shared" si="24"/>
        <v>6.5182674445132488E-5</v>
      </c>
      <c r="P34" s="17">
        <f t="shared" si="24"/>
        <v>3.2591337222566244E-5</v>
      </c>
      <c r="Q34" s="17">
        <f t="shared" si="24"/>
        <v>1.2515073493465437E-2</v>
      </c>
      <c r="R34" s="17">
        <f t="shared" si="24"/>
        <v>2.1727558148377496E-5</v>
      </c>
      <c r="S34" s="17">
        <f t="shared" ref="S34:S39" si="25">S21/$U$28</f>
        <v>1.0646503492704972E-3</v>
      </c>
      <c r="T34" s="17"/>
      <c r="U34" s="17">
        <f t="shared" si="19"/>
        <v>0.1356451455203207</v>
      </c>
      <c r="W34" t="str">
        <f>$A$8</f>
        <v>Rutherford</v>
      </c>
      <c r="X34" s="17">
        <f t="shared" ref="X34:X39" si="26">M34-B34</f>
        <v>2.2488022683570708E-3</v>
      </c>
      <c r="Y34" s="17">
        <f t="shared" ref="Y34:AC39" si="27">N34-C34</f>
        <v>-9.3396139122751132E-3</v>
      </c>
      <c r="Z34" s="17">
        <f t="shared" si="27"/>
        <v>6.5182674445132488E-5</v>
      </c>
      <c r="AA34" s="17">
        <f t="shared" si="27"/>
        <v>3.2591337222566244E-5</v>
      </c>
      <c r="AB34" s="17">
        <f t="shared" si="27"/>
        <v>7.3121673148626547E-3</v>
      </c>
      <c r="AC34" s="17">
        <f t="shared" si="27"/>
        <v>2.1727558148377496E-5</v>
      </c>
      <c r="AD34" s="17">
        <f t="shared" si="20"/>
        <v>-3.4085724076070604E-4</v>
      </c>
      <c r="AE34" s="17"/>
      <c r="AF34" s="17">
        <f t="shared" si="21"/>
        <v>0</v>
      </c>
    </row>
    <row r="35" spans="1:32" x14ac:dyDescent="0.25">
      <c r="A35" t="str">
        <f>$A$9</f>
        <v>Sumner</v>
      </c>
      <c r="B35" s="17">
        <f t="shared" si="22"/>
        <v>0</v>
      </c>
      <c r="C35" s="17">
        <f t="shared" si="22"/>
        <v>0</v>
      </c>
      <c r="D35" s="17">
        <f t="shared" si="22"/>
        <v>4.0708275778595211E-2</v>
      </c>
      <c r="E35" s="17">
        <f t="shared" si="22"/>
        <v>6.5474623062884048E-3</v>
      </c>
      <c r="F35" s="17">
        <f t="shared" si="22"/>
        <v>8.1495351934789909E-3</v>
      </c>
      <c r="G35" s="17">
        <f t="shared" si="22"/>
        <v>0</v>
      </c>
      <c r="H35" s="17">
        <f t="shared" si="23"/>
        <v>0</v>
      </c>
      <c r="I35" s="13"/>
      <c r="J35" s="17">
        <f t="shared" si="17"/>
        <v>5.5405273278362602E-2</v>
      </c>
      <c r="K35" s="14"/>
      <c r="L35" t="str">
        <f>$A$9</f>
        <v>Sumner</v>
      </c>
      <c r="M35" s="17">
        <f t="shared" si="24"/>
        <v>2.0641180240958619E-4</v>
      </c>
      <c r="N35" s="17">
        <f t="shared" si="24"/>
        <v>1.3036534889026498E-4</v>
      </c>
      <c r="O35" s="17">
        <f t="shared" si="24"/>
        <v>4.3009701354713249E-2</v>
      </c>
      <c r="P35" s="17">
        <f t="shared" si="24"/>
        <v>1.4774739540896697E-3</v>
      </c>
      <c r="Q35" s="17">
        <f t="shared" si="24"/>
        <v>9.8969027365859493E-3</v>
      </c>
      <c r="R35" s="17">
        <f t="shared" si="24"/>
        <v>0</v>
      </c>
      <c r="S35" s="17">
        <f t="shared" si="25"/>
        <v>6.8441808167389107E-4</v>
      </c>
      <c r="T35" s="17"/>
      <c r="U35" s="17">
        <f t="shared" si="19"/>
        <v>5.5405273278362609E-2</v>
      </c>
      <c r="W35" t="str">
        <f>$A$9</f>
        <v>Sumner</v>
      </c>
      <c r="X35" s="17">
        <f t="shared" si="26"/>
        <v>2.0641180240958619E-4</v>
      </c>
      <c r="Y35" s="17">
        <f t="shared" si="27"/>
        <v>1.3036534889026498E-4</v>
      </c>
      <c r="Z35" s="17">
        <f t="shared" si="27"/>
        <v>2.301425576118038E-3</v>
      </c>
      <c r="AA35" s="17">
        <f t="shared" si="27"/>
        <v>-5.0699883521987347E-3</v>
      </c>
      <c r="AB35" s="17">
        <f t="shared" si="27"/>
        <v>1.7473675431069584E-3</v>
      </c>
      <c r="AC35" s="17">
        <f t="shared" si="27"/>
        <v>0</v>
      </c>
      <c r="AD35" s="17">
        <f t="shared" si="20"/>
        <v>6.8441808167389107E-4</v>
      </c>
      <c r="AE35" s="17"/>
      <c r="AF35" s="17">
        <f t="shared" si="21"/>
        <v>0</v>
      </c>
    </row>
    <row r="36" spans="1:32" x14ac:dyDescent="0.25">
      <c r="A36" t="str">
        <f>$A$10</f>
        <v>Roberston</v>
      </c>
      <c r="B36" s="17">
        <f t="shared" si="22"/>
        <v>0</v>
      </c>
      <c r="C36" s="17">
        <f t="shared" si="22"/>
        <v>0</v>
      </c>
      <c r="D36" s="17">
        <f t="shared" si="22"/>
        <v>3.6639484278686947E-3</v>
      </c>
      <c r="E36" s="17">
        <f t="shared" si="22"/>
        <v>2.2754237230828884E-2</v>
      </c>
      <c r="F36" s="17">
        <f t="shared" si="22"/>
        <v>9.8026516640644019E-4</v>
      </c>
      <c r="G36" s="17">
        <f t="shared" si="22"/>
        <v>0</v>
      </c>
      <c r="H36" s="17">
        <f t="shared" si="23"/>
        <v>0</v>
      </c>
      <c r="I36" s="13"/>
      <c r="J36" s="17">
        <f t="shared" si="17"/>
        <v>2.7398450825104021E-2</v>
      </c>
      <c r="K36" s="14"/>
      <c r="L36" t="str">
        <f>$A$10</f>
        <v>Roberston</v>
      </c>
      <c r="M36" s="17">
        <f t="shared" si="24"/>
        <v>7.6046453519321229E-5</v>
      </c>
      <c r="N36" s="17">
        <f t="shared" si="24"/>
        <v>0</v>
      </c>
      <c r="O36" s="17">
        <f t="shared" si="24"/>
        <v>2.0532542450216731E-3</v>
      </c>
      <c r="P36" s="17">
        <f t="shared" si="24"/>
        <v>2.2010016404306401E-2</v>
      </c>
      <c r="Q36" s="17">
        <f t="shared" si="24"/>
        <v>3.1504959315147366E-3</v>
      </c>
      <c r="R36" s="17">
        <f t="shared" si="24"/>
        <v>1.0863779074188748E-5</v>
      </c>
      <c r="S36" s="17">
        <f t="shared" si="25"/>
        <v>9.7774011667698725E-5</v>
      </c>
      <c r="T36" s="17"/>
      <c r="U36" s="17">
        <f t="shared" si="19"/>
        <v>2.7398450825104021E-2</v>
      </c>
      <c r="W36" t="str">
        <f>$A$10</f>
        <v>Roberston</v>
      </c>
      <c r="X36" s="17">
        <f t="shared" si="26"/>
        <v>7.6046453519321229E-5</v>
      </c>
      <c r="Y36" s="17">
        <f t="shared" si="27"/>
        <v>0</v>
      </c>
      <c r="Z36" s="17">
        <f t="shared" si="27"/>
        <v>-1.6106941828470216E-3</v>
      </c>
      <c r="AA36" s="17">
        <f t="shared" si="27"/>
        <v>-7.442208265224827E-4</v>
      </c>
      <c r="AB36" s="17">
        <f t="shared" si="27"/>
        <v>2.1702307651082966E-3</v>
      </c>
      <c r="AC36" s="17">
        <f t="shared" si="27"/>
        <v>1.0863779074188748E-5</v>
      </c>
      <c r="AD36" s="17">
        <f t="shared" si="20"/>
        <v>9.7774011667698725E-5</v>
      </c>
      <c r="AE36" s="17"/>
      <c r="AF36" s="17">
        <f t="shared" si="21"/>
        <v>0</v>
      </c>
    </row>
    <row r="37" spans="1:32" x14ac:dyDescent="0.25">
      <c r="A37" t="str">
        <f>$A$11</f>
        <v>Davidson</v>
      </c>
      <c r="B37" s="17">
        <f t="shared" si="22"/>
        <v>1.8232024560750883E-2</v>
      </c>
      <c r="C37" s="17">
        <f t="shared" si="22"/>
        <v>9.2098578025135436E-3</v>
      </c>
      <c r="D37" s="17">
        <f t="shared" si="22"/>
        <v>1.0142912369854906E-2</v>
      </c>
      <c r="E37" s="17">
        <f t="shared" si="22"/>
        <v>4.2412770620079308E-3</v>
      </c>
      <c r="F37" s="17">
        <f t="shared" si="22"/>
        <v>0.5195298576524513</v>
      </c>
      <c r="G37" s="17">
        <f t="shared" si="22"/>
        <v>0</v>
      </c>
      <c r="H37" s="17">
        <f t="shared" si="23"/>
        <v>3.9299508987587113E-3</v>
      </c>
      <c r="I37" s="13"/>
      <c r="J37" s="17">
        <f t="shared" si="17"/>
        <v>0.56528588034633731</v>
      </c>
      <c r="K37" s="14"/>
      <c r="L37" t="str">
        <f>$A$11</f>
        <v>Davidson</v>
      </c>
      <c r="M37" s="17">
        <f t="shared" si="24"/>
        <v>1.3959956110332541E-2</v>
      </c>
      <c r="N37" s="17">
        <f t="shared" si="24"/>
        <v>4.9212919206075029E-3</v>
      </c>
      <c r="O37" s="17">
        <f t="shared" si="24"/>
        <v>4.8561092461623699E-3</v>
      </c>
      <c r="P37" s="17">
        <f t="shared" si="24"/>
        <v>8.0391965148996728E-4</v>
      </c>
      <c r="Q37" s="17">
        <f t="shared" si="24"/>
        <v>0.53682277917196275</v>
      </c>
      <c r="R37" s="17">
        <f t="shared" si="24"/>
        <v>1.7382046518701997E-4</v>
      </c>
      <c r="S37" s="17">
        <f t="shared" si="25"/>
        <v>3.7480037805951178E-3</v>
      </c>
      <c r="T37" s="17"/>
      <c r="U37" s="17">
        <f t="shared" si="19"/>
        <v>0.56528588034633731</v>
      </c>
      <c r="W37" t="str">
        <f>$A$11</f>
        <v>Davidson</v>
      </c>
      <c r="X37" s="17">
        <f t="shared" si="26"/>
        <v>-4.2720684504183419E-3</v>
      </c>
      <c r="Y37" s="17">
        <f t="shared" si="27"/>
        <v>-4.2885658819060406E-3</v>
      </c>
      <c r="Z37" s="17">
        <f t="shared" si="27"/>
        <v>-5.2868031236925359E-3</v>
      </c>
      <c r="AA37" s="17">
        <f t="shared" si="27"/>
        <v>-3.4373574105179636E-3</v>
      </c>
      <c r="AB37" s="17">
        <f t="shared" si="27"/>
        <v>1.7292921519511451E-2</v>
      </c>
      <c r="AC37" s="17">
        <f t="shared" si="27"/>
        <v>1.7382046518701997E-4</v>
      </c>
      <c r="AD37" s="17">
        <f t="shared" si="20"/>
        <v>-1.819471181635935E-4</v>
      </c>
      <c r="AE37" s="17"/>
      <c r="AF37" s="17">
        <f t="shared" si="21"/>
        <v>0</v>
      </c>
    </row>
    <row r="38" spans="1:32" x14ac:dyDescent="0.25">
      <c r="A38" t="str">
        <f>$A$12</f>
        <v>Maury</v>
      </c>
      <c r="B38" s="17">
        <f t="shared" si="22"/>
        <v>2.3380771554711625E-3</v>
      </c>
      <c r="C38" s="17">
        <f t="shared" si="22"/>
        <v>0</v>
      </c>
      <c r="D38" s="17">
        <f t="shared" si="22"/>
        <v>0</v>
      </c>
      <c r="E38" s="17">
        <f t="shared" si="22"/>
        <v>0</v>
      </c>
      <c r="F38" s="17">
        <f t="shared" si="22"/>
        <v>0</v>
      </c>
      <c r="G38" s="17">
        <f t="shared" si="22"/>
        <v>3.7282125128095193E-2</v>
      </c>
      <c r="H38" s="17">
        <f t="shared" si="23"/>
        <v>0</v>
      </c>
      <c r="I38" s="13"/>
      <c r="J38" s="17">
        <f t="shared" si="17"/>
        <v>3.9620202283566358E-2</v>
      </c>
      <c r="K38" s="14"/>
      <c r="L38" t="str">
        <f>$A$12</f>
        <v>Maury</v>
      </c>
      <c r="M38" s="17">
        <f t="shared" si="24"/>
        <v>1.9663440124281632E-3</v>
      </c>
      <c r="N38" s="17">
        <f t="shared" si="24"/>
        <v>1.5209290703864246E-4</v>
      </c>
      <c r="O38" s="17">
        <f t="shared" si="24"/>
        <v>0</v>
      </c>
      <c r="P38" s="17">
        <f t="shared" si="24"/>
        <v>0</v>
      </c>
      <c r="Q38" s="17">
        <f t="shared" si="24"/>
        <v>4.6714250019011614E-4</v>
      </c>
      <c r="R38" s="17">
        <f t="shared" si="24"/>
        <v>3.7023759084835253E-2</v>
      </c>
      <c r="S38" s="17">
        <f t="shared" si="25"/>
        <v>1.0863779074188748E-5</v>
      </c>
      <c r="T38" s="17"/>
      <c r="U38" s="17">
        <f t="shared" si="19"/>
        <v>3.9620202283566358E-2</v>
      </c>
      <c r="W38" t="str">
        <f>$A$12</f>
        <v>Maury</v>
      </c>
      <c r="X38" s="17">
        <f t="shared" si="26"/>
        <v>-3.7173314304299928E-4</v>
      </c>
      <c r="Y38" s="17">
        <f t="shared" si="27"/>
        <v>1.5209290703864246E-4</v>
      </c>
      <c r="Z38" s="17">
        <f t="shared" si="27"/>
        <v>0</v>
      </c>
      <c r="AA38" s="17">
        <f t="shared" si="27"/>
        <v>0</v>
      </c>
      <c r="AB38" s="17">
        <f t="shared" si="27"/>
        <v>4.6714250019011614E-4</v>
      </c>
      <c r="AC38" s="17">
        <f t="shared" si="27"/>
        <v>-2.5836604325994023E-4</v>
      </c>
      <c r="AD38" s="17">
        <f t="shared" si="20"/>
        <v>1.0863779074188748E-5</v>
      </c>
      <c r="AE38" s="17"/>
      <c r="AF38" s="17">
        <f t="shared" si="21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t="shared" ref="C39:G39" si="28">C26/$J$28</f>
        <v>0</v>
      </c>
      <c r="D39" s="17">
        <f t="shared" si="28"/>
        <v>0</v>
      </c>
      <c r="E39" s="17">
        <f t="shared" si="28"/>
        <v>0</v>
      </c>
      <c r="F39" s="17">
        <f t="shared" si="28"/>
        <v>0</v>
      </c>
      <c r="G39" s="17">
        <f t="shared" si="28"/>
        <v>0</v>
      </c>
      <c r="H39" s="17">
        <f t="shared" si="23"/>
        <v>4.9473649903855554E-2</v>
      </c>
      <c r="I39" s="13"/>
      <c r="J39" s="17">
        <f t="shared" si="17"/>
        <v>4.9473649903855554E-2</v>
      </c>
      <c r="K39" s="14"/>
      <c r="L39" t="str">
        <f>$A$13</f>
        <v>Wilson</v>
      </c>
      <c r="M39" s="17">
        <f>M26/$U$28</f>
        <v>2.4986691870634121E-4</v>
      </c>
      <c r="N39" s="17">
        <f t="shared" ref="N39:R39" si="29">N26/$U$28</f>
        <v>1.2601983726058946E-3</v>
      </c>
      <c r="O39" s="17">
        <f t="shared" si="29"/>
        <v>8.2564720963834476E-4</v>
      </c>
      <c r="P39" s="17">
        <f t="shared" si="29"/>
        <v>4.3455116296754992E-5</v>
      </c>
      <c r="Q39" s="17">
        <f t="shared" si="29"/>
        <v>8.1478343056415603E-3</v>
      </c>
      <c r="R39" s="17">
        <f t="shared" si="29"/>
        <v>0</v>
      </c>
      <c r="S39" s="17">
        <f t="shared" si="25"/>
        <v>3.8946647980966656E-2</v>
      </c>
      <c r="T39" s="17"/>
      <c r="U39" s="17">
        <f t="shared" si="19"/>
        <v>4.9473649903855554E-2</v>
      </c>
      <c r="W39" t="str">
        <f>$A$13</f>
        <v>Wilson</v>
      </c>
      <c r="X39" s="17">
        <f t="shared" si="26"/>
        <v>2.4986691870634121E-4</v>
      </c>
      <c r="Y39" s="17">
        <f t="shared" si="27"/>
        <v>1.2601983726058946E-3</v>
      </c>
      <c r="Z39" s="17">
        <f t="shared" si="27"/>
        <v>8.2564720963834476E-4</v>
      </c>
      <c r="AA39" s="17">
        <f t="shared" si="27"/>
        <v>4.3455116296754992E-5</v>
      </c>
      <c r="AB39" s="17">
        <f t="shared" si="27"/>
        <v>8.1478343056415603E-3</v>
      </c>
      <c r="AC39" s="17">
        <f t="shared" si="27"/>
        <v>0</v>
      </c>
      <c r="AD39" s="17">
        <f t="shared" si="20"/>
        <v>-1.0527001922888898E-2</v>
      </c>
      <c r="AE39" s="17"/>
      <c r="AF39" s="17">
        <f t="shared" si="21"/>
        <v>0</v>
      </c>
    </row>
    <row r="40" spans="1:32" x14ac:dyDescent="0.25">
      <c r="A40" s="7" t="s">
        <v>20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20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20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30">B28/$J$28</f>
        <v>0.13574324801540447</v>
      </c>
      <c r="C41" s="19">
        <f t="shared" si="30"/>
        <v>0.13824658955420027</v>
      </c>
      <c r="D41" s="19">
        <f t="shared" si="30"/>
        <v>5.4515136576318818E-2</v>
      </c>
      <c r="E41" s="19">
        <f t="shared" si="30"/>
        <v>3.3542976599125217E-2</v>
      </c>
      <c r="F41" s="19">
        <f t="shared" si="30"/>
        <v>0.54489160502580325</v>
      </c>
      <c r="G41" s="19">
        <f t="shared" si="30"/>
        <v>3.7282125128095193E-2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0.11375463068583037</v>
      </c>
      <c r="N41" s="19">
        <f>N28/$U$28</f>
        <v>0.12754076633097589</v>
      </c>
      <c r="O41" s="19">
        <f>O28/$U$28</f>
        <v>5.0929396299796849E-2</v>
      </c>
      <c r="P41" s="19">
        <f>P28/$U$28</f>
        <v>2.4367456463405362E-2</v>
      </c>
      <c r="Q41" s="19">
        <f t="shared" ref="Q41:S41" si="31">Q28/$U$28</f>
        <v>0.60022379384892832</v>
      </c>
      <c r="R41" s="19">
        <f t="shared" si="31"/>
        <v>3.8468641701702354E-2</v>
      </c>
      <c r="S41" s="19">
        <f t="shared" si="31"/>
        <v>4.4715314669360885E-2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32">M41-B41</f>
        <v>-2.1988617329574092E-2</v>
      </c>
      <c r="Y41" s="19">
        <f t="shared" si="32"/>
        <v>-1.0705823223224387E-2</v>
      </c>
      <c r="Z41" s="19">
        <f t="shared" si="32"/>
        <v>-3.585740276521969E-3</v>
      </c>
      <c r="AA41" s="19">
        <f t="shared" si="32"/>
        <v>-9.175520135719855E-3</v>
      </c>
      <c r="AB41" s="19">
        <f t="shared" si="32"/>
        <v>5.5332188823125072E-2</v>
      </c>
      <c r="AC41" s="19">
        <f t="shared" si="32"/>
        <v>1.1865165736071603E-3</v>
      </c>
      <c r="AD41" s="19">
        <f t="shared" si="32"/>
        <v>4.4715314669360885E-2</v>
      </c>
      <c r="AE41" s="19"/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26</v>
      </c>
    </row>
    <row r="2" spans="1:3" x14ac:dyDescent="0.25">
      <c r="A2">
        <v>1</v>
      </c>
      <c r="B2" t="s">
        <v>27</v>
      </c>
    </row>
    <row r="3" spans="1:3" x14ac:dyDescent="0.25">
      <c r="B3" t="s">
        <v>28</v>
      </c>
      <c r="C3" t="s">
        <v>29</v>
      </c>
    </row>
    <row r="4" spans="1:3" x14ac:dyDescent="0.25">
      <c r="B4" t="s">
        <v>30</v>
      </c>
      <c r="C4" t="s">
        <v>31</v>
      </c>
    </row>
    <row r="5" spans="1:3" x14ac:dyDescent="0.25">
      <c r="B5" t="s">
        <v>32</v>
      </c>
      <c r="C5" t="s">
        <v>33</v>
      </c>
    </row>
    <row r="6" spans="1:3" x14ac:dyDescent="0.25">
      <c r="B6" t="s">
        <v>34</v>
      </c>
      <c r="C6" t="s">
        <v>35</v>
      </c>
    </row>
    <row r="8" spans="1:3" x14ac:dyDescent="0.25">
      <c r="A8">
        <v>2</v>
      </c>
      <c r="B8" t="s">
        <v>36</v>
      </c>
    </row>
    <row r="10" spans="1:3" x14ac:dyDescent="0.25">
      <c r="A10">
        <v>3</v>
      </c>
      <c r="B10" t="s">
        <v>37</v>
      </c>
    </row>
    <row r="12" spans="1:3" x14ac:dyDescent="0.25">
      <c r="A12">
        <v>4</v>
      </c>
      <c r="B12" t="s">
        <v>38</v>
      </c>
    </row>
    <row r="14" spans="1:3" x14ac:dyDescent="0.25">
      <c r="A14">
        <v>5</v>
      </c>
      <c r="B14" t="s">
        <v>39</v>
      </c>
    </row>
    <row r="15" spans="1:3" x14ac:dyDescent="0.25">
      <c r="B1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2015-04-23T04:55:26Z</dcterms:modified>
</cp:coreProperties>
</file>