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</definedNames>
  <calcPr calcId="145621"/>
</workbook>
</file>

<file path=xl/calcChain.xml><?xml version="1.0" encoding="utf-8"?>
<calcChain xmlns="http://schemas.openxmlformats.org/spreadsheetml/2006/main">
  <c r="J13" i="1" l="1"/>
  <c r="H15" i="1"/>
  <c r="U13" i="1"/>
  <c r="S15" i="1"/>
  <c r="U26" i="1" l="1"/>
  <c r="S28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C26" i="1"/>
  <c r="D26" i="1"/>
  <c r="E26" i="1"/>
  <c r="F26" i="1"/>
  <c r="G26" i="1"/>
  <c r="H26" i="1"/>
  <c r="I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J10" i="1"/>
  <c r="G23" i="1" s="1"/>
  <c r="J11" i="1"/>
  <c r="J12" i="1"/>
  <c r="F15" i="1"/>
  <c r="G15" i="1"/>
  <c r="G25" i="1" l="1"/>
  <c r="H25" i="1"/>
  <c r="G24" i="1"/>
  <c r="H24" i="1"/>
  <c r="H23" i="1"/>
  <c r="I25" i="1"/>
  <c r="I24" i="1"/>
  <c r="I23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1" i="1" l="1"/>
  <c r="H20" i="1"/>
  <c r="H22" i="1"/>
  <c r="J25" i="1"/>
  <c r="J24" i="1"/>
  <c r="U20" i="1"/>
  <c r="I20" i="1"/>
  <c r="U21" i="1"/>
  <c r="G21" i="1"/>
  <c r="I21" i="1"/>
  <c r="J27" i="1"/>
  <c r="I22" i="1"/>
  <c r="G22" i="1"/>
  <c r="F21" i="1"/>
  <c r="G20" i="1"/>
  <c r="G28" i="1" s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J20" i="1" l="1"/>
  <c r="H28" i="1"/>
  <c r="I28" i="1"/>
  <c r="R39" i="1"/>
  <c r="O39" i="1"/>
  <c r="Q39" i="1"/>
  <c r="N39" i="1"/>
  <c r="M39" i="1"/>
  <c r="S36" i="1"/>
  <c r="S38" i="1"/>
  <c r="S39" i="1"/>
  <c r="S41" i="1"/>
  <c r="S35" i="1"/>
  <c r="S33" i="1"/>
  <c r="P39" i="1"/>
  <c r="S34" i="1"/>
  <c r="S37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40" i="1" s="1"/>
  <c r="G35" i="1"/>
  <c r="AC35" i="1" s="1"/>
  <c r="D35" i="1"/>
  <c r="Z35" i="1" s="1"/>
  <c r="G41" i="1"/>
  <c r="AC41" i="1" s="1"/>
  <c r="G40" i="1"/>
  <c r="I34" i="1"/>
  <c r="F40" i="1"/>
  <c r="E35" i="1"/>
  <c r="AA35" i="1" s="1"/>
  <c r="I37" i="1"/>
  <c r="G36" i="1"/>
  <c r="AC36" i="1" s="1"/>
  <c r="G38" i="1"/>
  <c r="AC38" i="1" s="1"/>
  <c r="I38" i="1"/>
  <c r="C35" i="1"/>
  <c r="Y35" i="1" s="1"/>
  <c r="D34" i="1"/>
  <c r="Z34" i="1" s="1"/>
  <c r="J37" i="1"/>
  <c r="AF37" i="1" s="1"/>
  <c r="I41" i="1"/>
  <c r="AE41" i="1" s="1"/>
  <c r="E33" i="1"/>
  <c r="AA33" i="1" s="1"/>
  <c r="C33" i="1"/>
  <c r="Y33" i="1" s="1"/>
  <c r="E38" i="1"/>
  <c r="AA38" i="1" s="1"/>
  <c r="F33" i="1"/>
  <c r="AB33" i="1" s="1"/>
  <c r="C34" i="1"/>
  <c r="Y34" i="1" s="1"/>
  <c r="D33" i="1"/>
  <c r="Z33" i="1" s="1"/>
  <c r="G33" i="1"/>
  <c r="AC33" i="1" s="1"/>
  <c r="B33" i="1"/>
  <c r="X33" i="1" s="1"/>
  <c r="E41" i="1"/>
  <c r="AA41" i="1" s="1"/>
  <c r="F41" i="1" l="1"/>
  <c r="AB41" i="1" s="1"/>
  <c r="B41" i="1"/>
  <c r="X41" i="1" s="1"/>
  <c r="J34" i="1"/>
  <c r="AF34" i="1" s="1"/>
  <c r="F35" i="1"/>
  <c r="AB35" i="1" s="1"/>
  <c r="I35" i="1"/>
  <c r="C37" i="1"/>
  <c r="Y37" i="1" s="1"/>
  <c r="B37" i="1"/>
  <c r="X37" i="1" s="1"/>
  <c r="D41" i="1"/>
  <c r="Z41" i="1" s="1"/>
  <c r="B35" i="1"/>
  <c r="X35" i="1" s="1"/>
  <c r="B36" i="1"/>
  <c r="X36" i="1" s="1"/>
  <c r="I33" i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F39" i="1"/>
  <c r="AB39" i="1" s="1"/>
  <c r="G39" i="1"/>
  <c r="AC39" i="1" s="1"/>
  <c r="B39" i="1"/>
  <c r="X39" i="1" s="1"/>
  <c r="H39" i="1"/>
  <c r="AD39" i="1" s="1"/>
  <c r="I39" i="1"/>
  <c r="C39" i="1"/>
  <c r="Y39" i="1" s="1"/>
  <c r="E39" i="1"/>
  <c r="AA39" i="1" s="1"/>
  <c r="D39" i="1"/>
  <c r="Z39" i="1" s="1"/>
  <c r="J39" i="1"/>
  <c r="AF39" i="1" s="1"/>
  <c r="H36" i="1"/>
  <c r="AD36" i="1" s="1"/>
  <c r="H37" i="1"/>
  <c r="AD37" i="1" s="1"/>
  <c r="H38" i="1"/>
  <c r="AD38" i="1" s="1"/>
  <c r="H40" i="1"/>
  <c r="H35" i="1"/>
  <c r="AD35" i="1" s="1"/>
  <c r="H33" i="1"/>
  <c r="AD33" i="1" s="1"/>
  <c r="H34" i="1"/>
  <c r="AD34" i="1" s="1"/>
  <c r="E37" i="1"/>
  <c r="AA37" i="1" s="1"/>
  <c r="E40" i="1"/>
  <c r="B40" i="1"/>
  <c r="D40" i="1"/>
  <c r="J38" i="1"/>
  <c r="AF38" i="1" s="1"/>
  <c r="I36" i="1"/>
  <c r="D36" i="1"/>
  <c r="Z36" i="1" s="1"/>
  <c r="H41" i="1"/>
  <c r="AD41" i="1" s="1"/>
  <c r="B34" i="1"/>
  <c r="X34" i="1" s="1"/>
  <c r="D38" i="1"/>
  <c r="Z38" i="1" s="1"/>
  <c r="J36" i="1"/>
  <c r="AF36" i="1" s="1"/>
  <c r="I40" i="1"/>
  <c r="E34" i="1"/>
  <c r="AA34" i="1" s="1"/>
  <c r="G37" i="1"/>
  <c r="AC37" i="1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<sst xmlns="http://schemas.openxmlformats.org/spreadsheetml/2006/main" count="103" uniqueCount="55">
  <si>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</si>
  <si>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</si>
  <si>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</si>
  <si>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</si>
  <si>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</si>
  <si>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</si>
  <si>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</si>
  <si>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</si>
  <si>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</si>
  <si>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</si>
  <si>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</si>
  <si>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</si>
  <si>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</si>
  <si>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</si>
  <si>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</si>
  <si>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</si>
  <si>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</si>
  <si>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</si>
  <si>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</si>
  <si>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</si>
  <si>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</si>
  <si>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</si>
  <si>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</si>
  <si>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</si>
  <si>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</si>
  <si>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</si>
  <si>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</si>
  <si>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</si>
  <si>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</si>
  <si>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</si>
  <si>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</si>
  <si>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</si>
  <si>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</si>
  <si>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</si>
  <si>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</si>
  <si>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One of 5 time periods was first assigned to each tour half based on arrival time at and departure time from the primary tour destination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</si>
  <si>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</si>
  <si>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</si>
  <si>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</si>
  <si>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</si>
  <si>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</si>
  <si>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</si>
  <si>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</si>
  <si>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</si>
  <si>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</si>
  <si>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</si>
  <si>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</si>
  <si>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</si>
  <si>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</si>
  <si>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</si>
  <si>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</si>
  <si>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</si>
  <si>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Escort Tour Flows by County: Survey</t>
  </si>
  <si>
    <t>Table X. Adjusted Observed Escort Tour Flows by County: Survey</t>
  </si>
  <si>
    <t>Table X. Escort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</si>
</sst>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6.0220944417806788E-2</c:v>
                </c:pt>
                <c:pt idx="1">
                  <c:v>0.18880769497861005</c:v>
                </c:pt>
                <c:pt idx="2">
                  <c:v>0.14407528962710331</c:v>
                </c:pt>
                <c:pt idx="3">
                  <c:v>0.15062143770932823</c:v>
                </c:pt>
                <c:pt idx="4">
                  <c:v>9.6486877588530737E-2</c:v>
                </c:pt>
                <c:pt idx="5">
                  <c:v>7.1893197620965577E-2</c:v>
                </c:pt>
                <c:pt idx="6">
                  <c:v>5.816796300693939E-2</c:v>
                </c:pt>
                <c:pt idx="7">
                  <c:v>3.8355999065471831E-2</c:v>
                </c:pt>
                <c:pt idx="8">
                  <c:v>3.7482839877798248E-2</c:v>
                </c:pt>
                <c:pt idx="9">
                  <c:v>3.0881315922855146E-2</c:v>
                </c:pt>
                <c:pt idx="10">
                  <c:v>1.2630127296646934E-2</c:v>
                </c:pt>
                <c:pt idx="11">
                  <c:v>2.6431140455127237E-2</c:v>
                </c:pt>
                <c:pt idx="12">
                  <c:v>1.6537371647906446E-2</c:v>
                </c:pt>
                <c:pt idx="13">
                  <c:v>1.3296969363643286E-2</c:v>
                </c:pt>
                <c:pt idx="14">
                  <c:v>9.3574417884225609E-3</c:v>
                </c:pt>
                <c:pt idx="15">
                  <c:v>1.4166039127596309E-2</c:v>
                </c:pt>
                <c:pt idx="16">
                  <c:v>6.1255790881803943E-3</c:v>
                </c:pt>
                <c:pt idx="17">
                  <c:v>2.9609479348880648E-3</c:v>
                </c:pt>
                <c:pt idx="18">
                  <c:v>6.8599678347235906E-4</c:v>
                </c:pt>
                <c:pt idx="19">
                  <c:v>1.2800639465491259E-3</c:v>
                </c:pt>
                <c:pt idx="20">
                  <c:v>2.0612098384595531E-3</c:v>
                </c:pt>
                <c:pt idx="21">
                  <c:v>1.3499789021851646E-3</c:v>
                </c:pt>
                <c:pt idx="22">
                  <c:v>3.080871372984031E-3</c:v>
                </c:pt>
                <c:pt idx="23">
                  <c:v>1.6748309047622176E-3</c:v>
                </c:pt>
                <c:pt idx="24">
                  <c:v>1.5067224968972352E-3</c:v>
                </c:pt>
                <c:pt idx="25">
                  <c:v>3.5735025725845975E-4</c:v>
                </c:pt>
                <c:pt idx="26">
                  <c:v>1.4485619111229513E-3</c:v>
                </c:pt>
                <c:pt idx="27">
                  <c:v>0</c:v>
                </c:pt>
                <c:pt idx="28">
                  <c:v>2.5485999095753106E-4</c:v>
                </c:pt>
                <c:pt idx="29">
                  <c:v>6.681635104654756E-4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1.5506555872649437E-3</c:v>
                </c:pt>
                <c:pt idx="34">
                  <c:v>7.5368724602437878E-4</c:v>
                </c:pt>
                <c:pt idx="35">
                  <c:v>0</c:v>
                </c:pt>
                <c:pt idx="36">
                  <c:v>6.8579053322050706E-4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2.526762805397792E-4</c:v>
                </c:pt>
                <c:pt idx="44">
                  <c:v>0</c:v>
                </c:pt>
                <c:pt idx="45">
                  <c:v>0</c:v>
                </c:pt>
                <c:pt idx="46">
                  <c:v>3.7711489467408643E-3</c:v>
                </c:pt>
                <c:pt idx="47">
                  <c:v>1.1825497327465421E-4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9.9694322400463206E-2</c:v>
                </c:pt>
                <c:pt idx="1">
                  <c:v>0.12163243758727564</c:v>
                </c:pt>
                <c:pt idx="2">
                  <c:v>0.11419059296345492</c:v>
                </c:pt>
                <c:pt idx="3">
                  <c:v>0.10289159088586901</c:v>
                </c:pt>
                <c:pt idx="4">
                  <c:v>8.7650284390858618E-2</c:v>
                </c:pt>
                <c:pt idx="5">
                  <c:v>7.0863560505432382E-2</c:v>
                </c:pt>
                <c:pt idx="6">
                  <c:v>5.6235312148768778E-2</c:v>
                </c:pt>
                <c:pt idx="7">
                  <c:v>4.1926364905827455E-2</c:v>
                </c:pt>
                <c:pt idx="8">
                  <c:v>3.3071080685262766E-2</c:v>
                </c:pt>
                <c:pt idx="9">
                  <c:v>2.553131705323388E-2</c:v>
                </c:pt>
                <c:pt idx="10">
                  <c:v>2.089932223016927E-2</c:v>
                </c:pt>
                <c:pt idx="11">
                  <c:v>2.0575763768264022E-2</c:v>
                </c:pt>
                <c:pt idx="12">
                  <c:v>1.9877558666257962E-2</c:v>
                </c:pt>
                <c:pt idx="13">
                  <c:v>1.8259766356731717E-2</c:v>
                </c:pt>
                <c:pt idx="14">
                  <c:v>1.6629202002656586E-2</c:v>
                </c:pt>
                <c:pt idx="15">
                  <c:v>1.4623991008480637E-2</c:v>
                </c:pt>
                <c:pt idx="16">
                  <c:v>1.3934300602840503E-2</c:v>
                </c:pt>
                <c:pt idx="17">
                  <c:v>1.2278192159667587E-2</c:v>
                </c:pt>
                <c:pt idx="18">
                  <c:v>1.1277715336671094E-2</c:v>
                </c:pt>
                <c:pt idx="19">
                  <c:v>1.0238922380027929E-2</c:v>
                </c:pt>
                <c:pt idx="20">
                  <c:v>9.0638942815299203E-3</c:v>
                </c:pt>
                <c:pt idx="21">
                  <c:v>8.3231156976942208E-3</c:v>
                </c:pt>
                <c:pt idx="22">
                  <c:v>7.3524403119784752E-3</c:v>
                </c:pt>
                <c:pt idx="23">
                  <c:v>6.6584925581553763E-3</c:v>
                </c:pt>
                <c:pt idx="24">
                  <c:v>6.0411770716256256E-3</c:v>
                </c:pt>
                <c:pt idx="25">
                  <c:v>5.7814788324648345E-3</c:v>
                </c:pt>
                <c:pt idx="26">
                  <c:v>5.2067368277647222E-3</c:v>
                </c:pt>
                <c:pt idx="27">
                  <c:v>4.7852593576513062E-3</c:v>
                </c:pt>
                <c:pt idx="28">
                  <c:v>4.0529954701815337E-3</c:v>
                </c:pt>
                <c:pt idx="29">
                  <c:v>3.8401280610333437E-3</c:v>
                </c:pt>
                <c:pt idx="30">
                  <c:v>3.6315180000681176E-3</c:v>
                </c:pt>
                <c:pt idx="31">
                  <c:v>3.3164742345287968E-3</c:v>
                </c:pt>
                <c:pt idx="32">
                  <c:v>2.7928204080242499E-3</c:v>
                </c:pt>
                <c:pt idx="33">
                  <c:v>2.4735192943019652E-3</c:v>
                </c:pt>
                <c:pt idx="34">
                  <c:v>2.230850447873029E-3</c:v>
                </c:pt>
                <c:pt idx="35">
                  <c:v>2.0052109941759476E-3</c:v>
                </c:pt>
                <c:pt idx="36">
                  <c:v>1.3453220258165593E-3</c:v>
                </c:pt>
                <c:pt idx="37">
                  <c:v>1.2388883212424645E-3</c:v>
                </c:pt>
                <c:pt idx="38">
                  <c:v>1.0728517421068765E-3</c:v>
                </c:pt>
                <c:pt idx="39">
                  <c:v>9.9621947481352813E-4</c:v>
                </c:pt>
                <c:pt idx="40">
                  <c:v>7.1523449473791766E-4</c:v>
                </c:pt>
                <c:pt idx="41">
                  <c:v>6.4285957562753313E-4</c:v>
                </c:pt>
                <c:pt idx="42">
                  <c:v>6.2157283471271413E-4</c:v>
                </c:pt>
                <c:pt idx="43">
                  <c:v>4.4276421102823471E-4</c:v>
                </c:pt>
                <c:pt idx="44">
                  <c:v>4.8108034467490889E-4</c:v>
                </c:pt>
                <c:pt idx="45">
                  <c:v>3.3633050645413983E-4</c:v>
                </c:pt>
                <c:pt idx="46">
                  <c:v>3.0227172099042948E-4</c:v>
                </c:pt>
                <c:pt idx="47">
                  <c:v>2.2563945369708115E-4</c:v>
                </c:pt>
                <c:pt idx="48">
                  <c:v>3.2781581008821224E-4</c:v>
                </c:pt>
                <c:pt idx="49">
                  <c:v>1.6603657913558803E-4</c:v>
                </c:pt>
                <c:pt idx="50">
                  <c:v>1.87323320050407E-4</c:v>
                </c:pt>
                <c:pt idx="51">
                  <c:v>1.1920574912298628E-4</c:v>
                </c:pt>
                <c:pt idx="52">
                  <c:v>1.3197779367187765E-4</c:v>
                </c:pt>
                <c:pt idx="53">
                  <c:v>1.3623514185484144E-4</c:v>
                </c:pt>
                <c:pt idx="54">
                  <c:v>1.1069105275705868E-4</c:v>
                </c:pt>
                <c:pt idx="55">
                  <c:v>8.5146963659275913E-5</c:v>
                </c:pt>
                <c:pt idx="56">
                  <c:v>7.6632267293348324E-5</c:v>
                </c:pt>
                <c:pt idx="57">
                  <c:v>6.8117570927420722E-5</c:v>
                </c:pt>
                <c:pt idx="58">
                  <c:v>4.6830830012601751E-5</c:v>
                </c:pt>
                <c:pt idx="59">
                  <c:v>6.3860222744456928E-5</c:v>
                </c:pt>
                <c:pt idx="60">
                  <c:v>2.5544089097782772E-5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5.3196317470309562E-3</c:v>
                </c:pt>
                <c:pt idx="3">
                  <c:v>5.9110330984574952E-2</c:v>
                </c:pt>
                <c:pt idx="4">
                  <c:v>5.8897301277297774E-2</c:v>
                </c:pt>
                <c:pt idx="5">
                  <c:v>0.10545082547647744</c:v>
                </c:pt>
                <c:pt idx="6">
                  <c:v>8.1722016460753333E-2</c:v>
                </c:pt>
                <c:pt idx="7">
                  <c:v>8.6836889507923981E-2</c:v>
                </c:pt>
                <c:pt idx="8">
                  <c:v>0.10910230877137818</c:v>
                </c:pt>
                <c:pt idx="9">
                  <c:v>7.1133401085544695E-2</c:v>
                </c:pt>
                <c:pt idx="10">
                  <c:v>6.5010714995658969E-2</c:v>
                </c:pt>
                <c:pt idx="11">
                  <c:v>4.7747378063008966E-2</c:v>
                </c:pt>
                <c:pt idx="12">
                  <c:v>5.0294113920045742E-2</c:v>
                </c:pt>
                <c:pt idx="13">
                  <c:v>3.5454770493953881E-2</c:v>
                </c:pt>
                <c:pt idx="14">
                  <c:v>1.5944046484352891E-2</c:v>
                </c:pt>
                <c:pt idx="15">
                  <c:v>1.0914920489305783E-2</c:v>
                </c:pt>
                <c:pt idx="16">
                  <c:v>1.8034077102755949E-2</c:v>
                </c:pt>
                <c:pt idx="17">
                  <c:v>3.6548011966942434E-2</c:v>
                </c:pt>
                <c:pt idx="18">
                  <c:v>1.5793445276992574E-2</c:v>
                </c:pt>
                <c:pt idx="19">
                  <c:v>2.0339251846103884E-2</c:v>
                </c:pt>
                <c:pt idx="20">
                  <c:v>8.2783523914928634E-3</c:v>
                </c:pt>
                <c:pt idx="21">
                  <c:v>3.480249754667084E-3</c:v>
                </c:pt>
                <c:pt idx="22">
                  <c:v>1.1130611838442014E-2</c:v>
                </c:pt>
                <c:pt idx="23">
                  <c:v>2.4789281792499191E-2</c:v>
                </c:pt>
                <c:pt idx="24">
                  <c:v>4.7637265722600165E-3</c:v>
                </c:pt>
                <c:pt idx="25">
                  <c:v>4.8070056274197356E-3</c:v>
                </c:pt>
                <c:pt idx="26">
                  <c:v>2.3962182846234735E-3</c:v>
                </c:pt>
                <c:pt idx="27">
                  <c:v>4.1436751057916119E-3</c:v>
                </c:pt>
                <c:pt idx="28">
                  <c:v>7.3296430854655602E-3</c:v>
                </c:pt>
                <c:pt idx="29">
                  <c:v>8.9426705640290489E-3</c:v>
                </c:pt>
                <c:pt idx="30">
                  <c:v>9.6952498031312737E-4</c:v>
                </c:pt>
                <c:pt idx="31">
                  <c:v>1.3105552112808118E-3</c:v>
                </c:pt>
                <c:pt idx="32">
                  <c:v>9.4906645824952799E-4</c:v>
                </c:pt>
                <c:pt idx="33">
                  <c:v>3.958993151827522E-3</c:v>
                </c:pt>
                <c:pt idx="34">
                  <c:v>4.7240546368662785E-4</c:v>
                </c:pt>
                <c:pt idx="35">
                  <c:v>1.0231197059666791E-3</c:v>
                </c:pt>
                <c:pt idx="36">
                  <c:v>2.1796139221641011E-3</c:v>
                </c:pt>
                <c:pt idx="37">
                  <c:v>1.2872356377297781E-4</c:v>
                </c:pt>
                <c:pt idx="38">
                  <c:v>2.0892343179976895E-3</c:v>
                </c:pt>
                <c:pt idx="39">
                  <c:v>2.9994795254821387E-4</c:v>
                </c:pt>
                <c:pt idx="40">
                  <c:v>9.7202326368430641E-4</c:v>
                </c:pt>
                <c:pt idx="41">
                  <c:v>4.1776837515833712E-4</c:v>
                </c:pt>
                <c:pt idx="42">
                  <c:v>7.7240263131106511E-4</c:v>
                </c:pt>
                <c:pt idx="43">
                  <c:v>0</c:v>
                </c:pt>
                <c:pt idx="44">
                  <c:v>1.6409882215074609E-3</c:v>
                </c:pt>
                <c:pt idx="45">
                  <c:v>3.1413209147809084E-4</c:v>
                </c:pt>
                <c:pt idx="46">
                  <c:v>1.006036073848316E-3</c:v>
                </c:pt>
                <c:pt idx="47">
                  <c:v>0</c:v>
                </c:pt>
                <c:pt idx="48">
                  <c:v>0</c:v>
                </c:pt>
                <c:pt idx="49">
                  <c:v>1.4892364793988747E-3</c:v>
                </c:pt>
                <c:pt idx="50">
                  <c:v>4.4006318664869051E-4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2.2658196063374332E-4</c:v>
                </c:pt>
                <c:pt idx="56">
                  <c:v>0</c:v>
                </c:pt>
                <c:pt idx="57">
                  <c:v>3.9826989062624208E-3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7.3638600146279836E-3</c:v>
                </c:pt>
                <c:pt idx="1">
                  <c:v>1.4572574746780736E-2</c:v>
                </c:pt>
                <c:pt idx="2">
                  <c:v>1.633458188346373E-2</c:v>
                </c:pt>
                <c:pt idx="3">
                  <c:v>2.4729049845962896E-2</c:v>
                </c:pt>
                <c:pt idx="4">
                  <c:v>3.7184999667545821E-2</c:v>
                </c:pt>
                <c:pt idx="5">
                  <c:v>5.3104013830093749E-2</c:v>
                </c:pt>
                <c:pt idx="6">
                  <c:v>6.6535162570092427E-2</c:v>
                </c:pt>
                <c:pt idx="7">
                  <c:v>7.5827256809769719E-2</c:v>
                </c:pt>
                <c:pt idx="8">
                  <c:v>7.9816706930561407E-2</c:v>
                </c:pt>
                <c:pt idx="9">
                  <c:v>7.5910370353952886E-2</c:v>
                </c:pt>
                <c:pt idx="10">
                  <c:v>7.1715906824176071E-2</c:v>
                </c:pt>
                <c:pt idx="11">
                  <c:v>6.3570779494226376E-2</c:v>
                </c:pt>
                <c:pt idx="12">
                  <c:v>5.53259159112569E-2</c:v>
                </c:pt>
                <c:pt idx="13">
                  <c:v>4.77459606817527E-2</c:v>
                </c:pt>
                <c:pt idx="14">
                  <c:v>4.0359937055342542E-2</c:v>
                </c:pt>
                <c:pt idx="15">
                  <c:v>3.4985261198164856E-2</c:v>
                </c:pt>
                <c:pt idx="16">
                  <c:v>3.0807420377224674E-2</c:v>
                </c:pt>
                <c:pt idx="17">
                  <c:v>2.6064407455839003E-2</c:v>
                </c:pt>
                <c:pt idx="18">
                  <c:v>2.2385247899997785E-2</c:v>
                </c:pt>
                <c:pt idx="19">
                  <c:v>1.9271260444602051E-2</c:v>
                </c:pt>
                <c:pt idx="20">
                  <c:v>1.6949622110419112E-2</c:v>
                </c:pt>
                <c:pt idx="21">
                  <c:v>1.4533788426161928E-2</c:v>
                </c:pt>
                <c:pt idx="22">
                  <c:v>1.340344422527095E-2</c:v>
                </c:pt>
                <c:pt idx="23">
                  <c:v>1.1026396861632572E-2</c:v>
                </c:pt>
                <c:pt idx="24">
                  <c:v>1.0195261419800971E-2</c:v>
                </c:pt>
                <c:pt idx="25">
                  <c:v>8.7657084598506164E-3</c:v>
                </c:pt>
                <c:pt idx="26">
                  <c:v>8.1340455240585998E-3</c:v>
                </c:pt>
                <c:pt idx="27">
                  <c:v>6.8153106230191274E-3</c:v>
                </c:pt>
                <c:pt idx="28">
                  <c:v>6.2889248431924468E-3</c:v>
                </c:pt>
                <c:pt idx="29">
                  <c:v>5.2638577982668053E-3</c:v>
                </c:pt>
                <c:pt idx="30">
                  <c:v>4.6543584742569652E-3</c:v>
                </c:pt>
                <c:pt idx="31">
                  <c:v>4.1113499855936521E-3</c:v>
                </c:pt>
                <c:pt idx="32">
                  <c:v>3.5738823998758837E-3</c:v>
                </c:pt>
                <c:pt idx="33">
                  <c:v>3.1915600966333476E-3</c:v>
                </c:pt>
                <c:pt idx="34">
                  <c:v>2.7926150845541788E-3</c:v>
                </c:pt>
                <c:pt idx="35">
                  <c:v>2.3050156253463065E-3</c:v>
                </c:pt>
                <c:pt idx="36">
                  <c:v>2.1221658281433543E-3</c:v>
                </c:pt>
                <c:pt idx="37">
                  <c:v>1.6955163013364658E-3</c:v>
                </c:pt>
                <c:pt idx="38">
                  <c:v>1.4794210864602496E-3</c:v>
                </c:pt>
                <c:pt idx="39">
                  <c:v>1.3907666393315455E-3</c:v>
                </c:pt>
                <c:pt idx="40">
                  <c:v>9.8628072430683301E-4</c:v>
                </c:pt>
                <c:pt idx="41">
                  <c:v>9.7519891841574508E-4</c:v>
                </c:pt>
                <c:pt idx="42">
                  <c:v>7.8680821826724884E-4</c:v>
                </c:pt>
                <c:pt idx="43">
                  <c:v>6.5936745051973665E-4</c:v>
                </c:pt>
                <c:pt idx="44">
                  <c:v>7.2031738292072079E-4</c:v>
                </c:pt>
                <c:pt idx="45">
                  <c:v>5.2084487688113651E-4</c:v>
                </c:pt>
                <c:pt idx="46">
                  <c:v>4.8759945920787254E-4</c:v>
                </c:pt>
                <c:pt idx="47">
                  <c:v>3.9894501207916845E-4</c:v>
                </c:pt>
                <c:pt idx="48">
                  <c:v>3.878632061880804E-4</c:v>
                </c:pt>
                <c:pt idx="49">
                  <c:v>2.9366785611383228E-4</c:v>
                </c:pt>
                <c:pt idx="50">
                  <c:v>2.3271792371284825E-4</c:v>
                </c:pt>
                <c:pt idx="51">
                  <c:v>1.8284979720295218E-4</c:v>
                </c:pt>
                <c:pt idx="52">
                  <c:v>1.3852257363860013E-4</c:v>
                </c:pt>
                <c:pt idx="53">
                  <c:v>1.2744076774751214E-4</c:v>
                </c:pt>
                <c:pt idx="54">
                  <c:v>8.8654447128704093E-5</c:v>
                </c:pt>
                <c:pt idx="55">
                  <c:v>1.7730889425740819E-4</c:v>
                </c:pt>
                <c:pt idx="56">
                  <c:v>6.649083534652807E-5</c:v>
                </c:pt>
                <c:pt idx="57">
                  <c:v>4.4327223564352046E-5</c:v>
                </c:pt>
                <c:pt idx="58">
                  <c:v>9.4195350074248102E-5</c:v>
                </c:pt>
                <c:pt idx="59">
                  <c:v>3.3245417673264035E-5</c:v>
                </c:pt>
                <c:pt idx="60">
                  <c:v>2.2163611782176023E-5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H30" sqref="H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10380.808950181608</v>
      </c>
      <c r="C11" s="11">
        <f>B11/B$102</f>
        <v>5.795106258222503E-2</v>
      </c>
      <c r="E11" s="19">
        <v>0</v>
      </c>
      <c r="F11" s="109" t="n">
        <v>7653.0</v>
      </c>
      <c r="G11" s="11">
        <f>F11/F$102</f>
        <v>7.512910303863117E-2</v>
      </c>
      <c r="K11" s="8" t="n">
        <v>5.314744263834067</v>
      </c>
      <c r="L11" s="8" t="n">
        <v>8.4783839062977</v>
      </c>
    </row>
    <row r="12" spans="1:12" x14ac:dyDescent="0.25">
      <c r="A12">
        <v>1</v>
      </c>
      <c r="B12" s="8" t="n">
        <v>34292.638529360185</v>
      </c>
      <c r="C12" s="11">
        <f>B12/B$102</f>
        <v>0.19143930411028384</v>
      </c>
      <c r="E12" s="20">
        <v>1</v>
      </c>
      <c r="F12" s="110" t="n">
        <v>13940.0</v>
      </c>
      <c r="G12" s="11">
        <f>F12/F$102</f>
        <v>9.9625434960881221E-2</v>
      </c>
      <c r="K12" s="8"/>
      <c r="L12" s="379"/>
    </row>
    <row r="13" spans="1:12" x14ac:dyDescent="0.25">
      <c r="A13">
        <v>2</v>
      </c>
      <c r="B13" s="8" t="n">
        <v>25488.772621552245</v>
      </c>
      <c r="C13" s="11">
        <f t="shared" ref="C13:C76" si="0">B13/B$102</f>
        <v>0.14229155593021839</v>
      </c>
      <c r="E13" s="21">
        <v>2</v>
      </c>
      <c r="F13" s="111" t="n">
        <v>20348.0</v>
      </c>
      <c r="G13" s="11">
        <f t="shared" ref="G13:G76" si="1">F13/F$102</f>
        <v>0.12052017996852767</v>
      </c>
    </row>
    <row r="14" spans="1:12" x14ac:dyDescent="0.25">
      <c r="A14">
        <v>3</v>
      </c>
      <c r="B14" s="8" t="n">
        <v>27253.216656402994</v>
      </c>
      <c r="C14" s="11">
        <f t="shared" si="0"/>
        <v>0.15214159817424608</v>
      </c>
      <c r="E14" s="22">
        <v>3</v>
      </c>
      <c r="F14" s="112" t="n">
        <v>20514.0</v>
      </c>
      <c r="G14" s="11">
        <f t="shared" si="1"/>
        <v>0.13454420532369954</v>
      </c>
    </row>
    <row r="15" spans="1:12" x14ac:dyDescent="0.25">
      <c r="A15">
        <v>4</v>
      </c>
      <c r="B15" s="8" t="n">
        <v>17120.0993696071</v>
      </c>
      <c r="C15" s="11">
        <f t="shared" si="0"/>
        <v>9.5573278994278699E-2</v>
      </c>
      <c r="E15" s="23">
        <v>4</v>
      </c>
      <c r="F15" s="113" t="n">
        <v>17224.0</v>
      </c>
      <c r="G15" s="11">
        <f t="shared" si="1"/>
        <v>0.11680777499501319</v>
      </c>
    </row>
    <row r="16" spans="1:12" x14ac:dyDescent="0.25">
      <c r="A16">
        <v>5</v>
      </c>
      <c r="B16" s="8" t="n">
        <v>12657.775942541757</v>
      </c>
      <c r="C16" s="11">
        <f t="shared" si="0"/>
        <v>7.0662273943996129E-2</v>
      </c>
      <c r="E16" s="24">
        <v>5</v>
      </c>
      <c r="F16" s="114" t="n">
        <v>12764.0</v>
      </c>
      <c r="G16" s="11">
        <f t="shared" si="1"/>
        <v>9.5447594139941042E-2</v>
      </c>
    </row>
    <row r="17" spans="1:7" x14ac:dyDescent="0.25">
      <c r="A17">
        <v>6</v>
      </c>
      <c r="B17" s="8" t="n">
        <v>10452.03643916594</v>
      </c>
      <c r="C17" s="11">
        <f t="shared" si="0"/>
        <v>5.8348691388565167E-2</v>
      </c>
      <c r="E17" s="25">
        <v>6</v>
      </c>
      <c r="F17" s="115" t="n">
        <v>9644.0</v>
      </c>
      <c r="G17" s="11">
        <f t="shared" si="1"/>
        <v>7.4032004255413467E-2</v>
      </c>
    </row>
    <row r="18" spans="1:7" x14ac:dyDescent="0.25">
      <c r="A18">
        <v>7</v>
      </c>
      <c r="B18" s="8" t="n">
        <v>6888.490889734687</v>
      </c>
      <c r="C18" s="11">
        <f t="shared" si="0"/>
        <v>3.8455130863488056E-2</v>
      </c>
      <c r="E18" s="26">
        <v>7</v>
      </c>
      <c r="F18" s="116" t="n">
        <v>6652.0</v>
      </c>
      <c r="G18" s="11">
        <f t="shared" si="1"/>
        <v>5.5708238214499432E-2</v>
      </c>
    </row>
    <row r="19" spans="1:7" x14ac:dyDescent="0.25">
      <c r="A19">
        <v>8</v>
      </c>
      <c r="B19" s="8" t="n">
        <v>6960.466444294138</v>
      </c>
      <c r="C19" s="11">
        <f t="shared" si="0"/>
        <v>3.8856935760070044E-2</v>
      </c>
      <c r="E19" s="27">
        <v>8</v>
      </c>
      <c r="F19" s="117" t="n">
        <v>5047.0</v>
      </c>
      <c r="G19" s="11">
        <f t="shared" si="1"/>
        <v>4.2797934351381899E-2</v>
      </c>
    </row>
    <row r="20" spans="1:7" x14ac:dyDescent="0.25">
      <c r="A20">
        <v>9</v>
      </c>
      <c r="B20" s="8" t="n">
        <v>5053.708175357762</v>
      </c>
      <c r="C20" s="11">
        <f t="shared" si="0"/>
        <v>2.8212421608754906E-2</v>
      </c>
      <c r="E20" s="28">
        <v>9</v>
      </c>
      <c r="F20" s="118" t="n">
        <v>3722.0</v>
      </c>
      <c r="G20" s="11">
        <f t="shared" si="1"/>
        <v>3.4131962144551074E-2</v>
      </c>
    </row>
    <row r="21" spans="1:7" x14ac:dyDescent="0.25">
      <c r="A21">
        <v>10</v>
      </c>
      <c r="B21" s="8" t="n">
        <v>2446.4046680951988</v>
      </c>
      <c r="C21" s="11">
        <f t="shared" si="0"/>
        <v>1.3657100395798351E-2</v>
      </c>
      <c r="E21" s="29">
        <v>10</v>
      </c>
      <c r="F21" s="119" t="n">
        <v>3052.0</v>
      </c>
      <c r="G21" s="11">
        <f t="shared" si="1"/>
        <v>2.6701611294576565E-2</v>
      </c>
    </row>
    <row r="22" spans="1:7" x14ac:dyDescent="0.25">
      <c r="A22">
        <v>11</v>
      </c>
      <c r="B22" s="8" t="n">
        <v>4859.059412087496</v>
      </c>
      <c r="C22" s="11">
        <f t="shared" si="0"/>
        <v>2.7125791201051411E-2</v>
      </c>
      <c r="E22" s="30">
        <v>11</v>
      </c>
      <c r="F22" s="120" t="n">
        <v>2953.0</v>
      </c>
      <c r="G22" s="11">
        <f t="shared" si="1"/>
        <v>2.2634588532547264E-2</v>
      </c>
    </row>
    <row r="23" spans="1:7" x14ac:dyDescent="0.25">
      <c r="A23">
        <v>12</v>
      </c>
      <c r="B23" s="8" t="n">
        <v>3030.689764722213</v>
      </c>
      <c r="C23" s="11">
        <f t="shared" si="0"/>
        <v>1.6918883014377526E-2</v>
      </c>
      <c r="E23" s="31">
        <v>12</v>
      </c>
      <c r="F23" s="121" t="n">
        <v>2845.0</v>
      </c>
      <c r="G23" s="11">
        <f t="shared" si="1"/>
        <v>1.9033001617943659E-2</v>
      </c>
    </row>
    <row r="24" spans="1:7" x14ac:dyDescent="0.25">
      <c r="A24">
        <v>13</v>
      </c>
      <c r="B24" s="8" t="n">
        <v>2579.7797432548364</v>
      </c>
      <c r="C24" s="11">
        <f t="shared" si="0"/>
        <v>1.4401669279069235E-2</v>
      </c>
      <c r="E24" s="32">
        <v>13</v>
      </c>
      <c r="F24" s="122" t="n">
        <v>2561.0</v>
      </c>
      <c r="G24" s="11">
        <f t="shared" si="1"/>
        <v>1.6179436600988497E-2</v>
      </c>
    </row>
    <row r="25" spans="1:7" x14ac:dyDescent="0.25">
      <c r="A25">
        <v>14</v>
      </c>
      <c r="B25" s="8" t="n">
        <v>1566.4469607618844</v>
      </c>
      <c r="C25" s="11">
        <f t="shared" si="0"/>
        <v>8.7447198277606324E-3</v>
      </c>
      <c r="E25" s="33">
        <v>14</v>
      </c>
      <c r="F25" s="123" t="n">
        <v>2426.0</v>
      </c>
      <c r="G25" s="11">
        <f t="shared" si="1"/>
        <v>1.3575212216582814E-2</v>
      </c>
    </row>
    <row r="26" spans="1:7" x14ac:dyDescent="0.25">
      <c r="A26">
        <v>15</v>
      </c>
      <c r="B26" s="8" t="n">
        <v>2581.753717102227</v>
      </c>
      <c r="C26" s="11">
        <f t="shared" si="0"/>
        <v>1.4412689025460368E-2</v>
      </c>
      <c r="E26" s="34">
        <v>15</v>
      </c>
      <c r="F26" s="124" t="n">
        <v>2210.0</v>
      </c>
      <c r="G26" s="11">
        <f t="shared" si="1"/>
        <v>1.0605288237771227E-2</v>
      </c>
    </row>
    <row r="27" spans="1:7" x14ac:dyDescent="0.25">
      <c r="A27">
        <v>16</v>
      </c>
      <c r="B27" s="8" t="n">
        <v>1005.5907238420015</v>
      </c>
      <c r="C27" s="11">
        <f t="shared" si="0"/>
        <v>5.6137292622511171E-3</v>
      </c>
      <c r="E27" s="35">
        <v>16</v>
      </c>
      <c r="F27" s="125" t="n">
        <v>2095.0</v>
      </c>
      <c r="G27" s="11">
        <f t="shared" si="1"/>
        <v>8.4277133801724333E-3</v>
      </c>
    </row>
    <row r="28" spans="1:7" x14ac:dyDescent="0.25">
      <c r="A28">
        <v>17</v>
      </c>
      <c r="B28" s="8" t="n">
        <v>511.9452806437472</v>
      </c>
      <c r="C28" s="11">
        <f t="shared" si="0"/>
        <v>2.8579442256994356E-3</v>
      </c>
      <c r="E28" s="36">
        <v>17</v>
      </c>
      <c r="F28" s="126" t="n">
        <v>1885.0</v>
      </c>
      <c r="G28" s="11">
        <f t="shared" si="1"/>
        <v>6.5382654757419273E-3</v>
      </c>
    </row>
    <row r="29" spans="1:7" x14ac:dyDescent="0.25">
      <c r="A29">
        <v>18</v>
      </c>
      <c r="B29" s="8" t="n">
        <v>128.9147409791786</v>
      </c>
      <c r="C29" s="11">
        <f t="shared" si="0"/>
        <v>7.1966898322745932E-4</v>
      </c>
      <c r="E29" s="37">
        <v>18</v>
      </c>
      <c r="F29" s="127" t="n">
        <v>1723.0</v>
      </c>
      <c r="G29" s="11">
        <f t="shared" si="1"/>
        <v>5.2749396041578932E-3</v>
      </c>
    </row>
    <row r="30" spans="1:7" x14ac:dyDescent="0.25">
      <c r="A30">
        <v>19</v>
      </c>
      <c r="B30" s="8" t="n">
        <v>174.41945147431147</v>
      </c>
      <c r="C30" s="11">
        <f t="shared" si="0"/>
        <v>9.7369989144905256E-4</v>
      </c>
      <c r="E30" s="38">
        <v>19</v>
      </c>
      <c r="F30" s="128" t="n">
        <v>1542.0</v>
      </c>
      <c r="G30" s="11">
        <f t="shared" si="1"/>
        <v>4.4493450652718369E-3</v>
      </c>
    </row>
    <row r="31" spans="1:7" x14ac:dyDescent="0.25">
      <c r="A31">
        <v>20</v>
      </c>
      <c r="B31" s="8" t="n">
        <v>422.44300234514026</v>
      </c>
      <c r="C31" s="11">
        <f t="shared" si="0"/>
        <v>2.3582960618784886E-3</v>
      </c>
      <c r="E31" s="39">
        <v>20</v>
      </c>
      <c r="F31" s="129" t="n">
        <v>1488.0</v>
      </c>
      <c r="G31" s="11">
        <f t="shared" si="1"/>
        <v>3.8121412265342759E-3</v>
      </c>
    </row>
    <row r="32" spans="1:7" x14ac:dyDescent="0.25">
      <c r="A32">
        <v>21</v>
      </c>
      <c r="B32" s="8" t="n">
        <v>238.6644344931013</v>
      </c>
      <c r="C32" s="11">
        <f t="shared" si="0"/>
        <v>1.3323487259843168E-3</v>
      </c>
      <c r="E32" s="40">
        <v>21</v>
      </c>
      <c r="F32" s="130" t="n">
        <v>1338.0</v>
      </c>
      <c r="G32" s="11">
        <f t="shared" si="1"/>
        <v>2.6263879961878588E-3</v>
      </c>
    </row>
    <row r="33" spans="1:7" x14ac:dyDescent="0.25">
      <c r="A33">
        <v>22</v>
      </c>
      <c r="B33" s="8" t="n">
        <v>440.3224002701489</v>
      </c>
      <c r="C33" s="11">
        <f t="shared" si="0"/>
        <v>2.4581081394398001E-3</v>
      </c>
      <c r="E33" s="41">
        <v>22</v>
      </c>
      <c r="F33" s="131" t="n">
        <v>1237.0</v>
      </c>
      <c r="G33" s="11">
        <f t="shared" si="1"/>
        <v>2.4546200048759944E-3</v>
      </c>
    </row>
    <row r="34" spans="1:7" x14ac:dyDescent="0.25">
      <c r="A34">
        <v>23</v>
      </c>
      <c r="B34" s="8" t="n">
        <v>296.72670011347634</v>
      </c>
      <c r="C34" s="11">
        <f t="shared" si="0"/>
        <v>1.6564824235390976E-3</v>
      </c>
      <c r="E34" s="42">
        <v>23</v>
      </c>
      <c r="F34" s="132" t="n">
        <v>1214.0</v>
      </c>
      <c r="G34" s="11">
        <f t="shared" si="1"/>
        <v>1.7176799131186418E-3</v>
      </c>
    </row>
    <row r="35" spans="1:7" x14ac:dyDescent="0.25">
      <c r="A35">
        <v>24</v>
      </c>
      <c r="B35" s="8" t="n">
        <v>354.627437072653</v>
      </c>
      <c r="C35" s="11">
        <f t="shared" si="0"/>
        <v>1.9797143842833027E-3</v>
      </c>
      <c r="E35" s="43">
        <v>24</v>
      </c>
      <c r="F35" s="133" t="n">
        <v>1033.0</v>
      </c>
      <c r="G35" s="11">
        <f t="shared" si="1"/>
        <v>1.4295529599503535E-3</v>
      </c>
    </row>
    <row r="36" spans="1:7" x14ac:dyDescent="0.25">
      <c r="A36">
        <v>25</v>
      </c>
      <c r="B36" s="8" t="n">
        <v>58.933876126676395</v>
      </c>
      <c r="C36" s="11">
        <f t="shared" si="0"/>
        <v>3.2899947971495728E-4</v>
      </c>
      <c r="E36" s="44">
        <v>25</v>
      </c>
      <c r="F36" s="134" t="n">
        <v>945.0</v>
      </c>
      <c r="G36" s="11">
        <f t="shared" si="1"/>
        <v>1.1691305215097852E-3</v>
      </c>
    </row>
    <row r="37" spans="1:7" x14ac:dyDescent="0.25">
      <c r="A37">
        <v>26</v>
      </c>
      <c r="B37" s="8" t="n">
        <v>262.114283157928</v>
      </c>
      <c r="C37" s="11">
        <f t="shared" si="0"/>
        <v>1.4632579503078512E-3</v>
      </c>
      <c r="E37" s="45">
        <v>26</v>
      </c>
      <c r="F37" s="135" t="n">
        <v>915.0</v>
      </c>
      <c r="G37" s="11">
        <f t="shared" si="1"/>
        <v>8.8654447128704093E-4</v>
      </c>
    </row>
    <row r="38" spans="1:7" x14ac:dyDescent="0.25">
      <c r="A38">
        <v>27</v>
      </c>
      <c r="B38" s="8" t="n">
        <v>0.0</v>
      </c>
      <c r="C38" s="11">
        <f t="shared" si="0"/>
        <v>0</v>
      </c>
      <c r="E38" s="46">
        <v>27</v>
      </c>
      <c r="F38" s="136" t="n">
        <v>953.0</v>
      </c>
      <c r="G38" s="11">
        <f t="shared" si="1"/>
        <v>7.6464460648507275E-4</v>
      </c>
    </row>
    <row r="39" spans="1:7" x14ac:dyDescent="0.25">
      <c r="A39">
        <v>28</v>
      </c>
      <c r="B39" s="8" t="n">
        <v>56.2706718643541</v>
      </c>
      <c r="C39" s="11">
        <f t="shared" si="0"/>
        <v>3.141320914780909E-4</v>
      </c>
      <c r="E39" s="47">
        <v>28</v>
      </c>
      <c r="F39" s="137" t="n">
        <v>864.0</v>
      </c>
      <c r="G39" s="11">
        <f t="shared" si="1"/>
        <v>5.7071300339103261E-4</v>
      </c>
    </row>
    <row r="40" spans="1:7" x14ac:dyDescent="0.25">
      <c r="A40">
        <v>29</v>
      </c>
      <c r="B40" s="8" t="n">
        <v>139.1158040054559</v>
      </c>
      <c r="C40" s="11">
        <f t="shared" si="0"/>
        <v>7.7661661078500888E-4</v>
      </c>
      <c r="E40" s="48">
        <v>29</v>
      </c>
      <c r="F40" s="138" t="n">
        <v>761.0</v>
      </c>
      <c r="G40" s="11">
        <f t="shared" si="1"/>
        <v>5.5963119749994456E-4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703.0</v>
      </c>
      <c r="G41" s="11">
        <f t="shared" si="1"/>
        <v>3.6569959440590436E-4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50">
        <v>31</v>
      </c>
      <c r="F42" s="140" t="n">
        <v>753.0</v>
      </c>
      <c r="G42" s="11">
        <f t="shared" si="1"/>
        <v>2.6596334138611228E-4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1">
        <v>32</v>
      </c>
      <c r="F43" s="141" t="n">
        <v>641.0</v>
      </c>
      <c r="G43" s="11">
        <f t="shared" si="1"/>
        <v>2.4934063254948026E-4</v>
      </c>
    </row>
    <row r="44" spans="1:7" x14ac:dyDescent="0.25">
      <c r="A44">
        <v>33</v>
      </c>
      <c r="B44" s="8" t="n">
        <v>341.98190499353376</v>
      </c>
      <c r="C44" s="11">
        <f t="shared" si="0"/>
        <v>1.9091204619387679E-3</v>
      </c>
      <c r="E44" s="52">
        <v>33</v>
      </c>
      <c r="F44" s="142" t="n">
        <v>569.0</v>
      </c>
      <c r="G44" s="11">
        <f t="shared" si="1"/>
        <v>1.883907001484962E-4</v>
      </c>
    </row>
    <row r="45" spans="1:7" x14ac:dyDescent="0.25">
      <c r="A45">
        <v>34</v>
      </c>
      <c r="B45" s="8" t="n">
        <v>138.022728563645</v>
      </c>
      <c r="C45" s="11">
        <f t="shared" si="0"/>
        <v>7.7051449642769087E-4</v>
      </c>
      <c r="E45" s="53">
        <v>34</v>
      </c>
      <c r="F45" s="143" t="n">
        <v>518.0</v>
      </c>
      <c r="G45" s="11">
        <f t="shared" si="1"/>
        <v>1.4960437952968815E-4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445.0</v>
      </c>
      <c r="G46" s="11">
        <f t="shared" si="1"/>
        <v>1.883907001484962E-4</v>
      </c>
    </row>
    <row r="47" spans="1:7" x14ac:dyDescent="0.25">
      <c r="A47">
        <v>36</v>
      </c>
      <c r="B47" s="8" t="n">
        <v>80.9315997067191</v>
      </c>
      <c r="C47" s="11">
        <f t="shared" si="0"/>
        <v>4.5180218824869252E-4</v>
      </c>
      <c r="E47" s="55">
        <v>36</v>
      </c>
      <c r="F47" s="145" t="n">
        <v>347.0</v>
      </c>
      <c r="G47" s="11">
        <f t="shared" si="1"/>
        <v>9.9736253019792111E-5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325.0</v>
      </c>
      <c r="G48" s="11">
        <f t="shared" si="1"/>
        <v>4.9868126509896056E-5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297.0</v>
      </c>
      <c r="G49" s="11">
        <f t="shared" si="1"/>
        <v>3.8786320618808044E-5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268.0</v>
      </c>
      <c r="G50" s="11">
        <f t="shared" si="1"/>
        <v>5.5409029455440058E-5</v>
      </c>
    </row>
    <row r="51" spans="1:7" x14ac:dyDescent="0.25">
      <c r="A51">
        <v>40</v>
      </c>
      <c r="B51" s="8" t="n">
        <v>0.0</v>
      </c>
      <c r="C51" s="11">
        <f t="shared" si="0"/>
        <v>0</v>
      </c>
      <c r="E51" s="59">
        <v>40</v>
      </c>
      <c r="F51" s="149" t="n">
        <v>210.0</v>
      </c>
      <c r="G51" s="11">
        <f t="shared" si="1"/>
        <v>3.3245417673264035E-5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0">
        <v>41</v>
      </c>
      <c r="F52" s="150" t="n">
        <v>185.0</v>
      </c>
      <c r="G52" s="11">
        <f t="shared" si="1"/>
        <v>1.6622708836632017E-5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1">
        <v>42</v>
      </c>
      <c r="F53" s="151" t="n">
        <v>185.0</v>
      </c>
      <c r="G53" s="11">
        <f t="shared" si="1"/>
        <v>4.4327223564352046E-5</v>
      </c>
    </row>
    <row r="54" spans="1:7" x14ac:dyDescent="0.25">
      <c r="A54">
        <v>43</v>
      </c>
      <c r="B54" s="8" t="n">
        <v>50.6759931180555</v>
      </c>
      <c r="C54" s="11">
        <f t="shared" si="0"/>
        <v>2.828996914107992E-4</v>
      </c>
      <c r="E54" s="62">
        <v>43</v>
      </c>
      <c r="F54" s="152" t="n">
        <v>165.0</v>
      </c>
      <c r="G54" s="11">
        <f t="shared" si="1"/>
        <v>1.6622708836632017E-5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146.0</v>
      </c>
      <c r="G55" s="11">
        <f t="shared" si="1"/>
        <v>0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123.0</v>
      </c>
      <c r="G56" s="11">
        <f t="shared" si="1"/>
        <v>2.2163611782176023E-5</v>
      </c>
    </row>
    <row r="57" spans="1:7" x14ac:dyDescent="0.25">
      <c r="A57">
        <v>46</v>
      </c>
      <c r="B57" s="8" t="n">
        <v>788.095398256095</v>
      </c>
      <c r="C57" s="11">
        <f t="shared" si="0"/>
        <v>4.3995574876949757E-3</v>
      </c>
      <c r="E57" s="65">
        <v>46</v>
      </c>
      <c r="F57" s="155" t="n">
        <v>129.0</v>
      </c>
      <c r="G57" s="11">
        <f t="shared" si="1"/>
        <v>3.3245417673264035E-5</v>
      </c>
    </row>
    <row r="58" spans="1:7" x14ac:dyDescent="0.25">
      <c r="A58">
        <v>47</v>
      </c>
      <c r="B58" s="8" t="n">
        <v>28.6611377950859</v>
      </c>
      <c r="C58" s="11">
        <f t="shared" si="0"/>
        <v>1.6000134459769058E-4</v>
      </c>
      <c r="E58" s="66">
        <v>47</v>
      </c>
      <c r="F58" s="156" t="n">
        <v>97.0</v>
      </c>
      <c r="G58" s="11">
        <f t="shared" si="1"/>
        <v>0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71.0</v>
      </c>
      <c r="G59" s="11">
        <f t="shared" si="1"/>
        <v>5.5409029455440058E-6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102.0</v>
      </c>
      <c r="G60" s="11">
        <f t="shared" si="1"/>
        <v>0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62.0</v>
      </c>
      <c r="G61" s="11">
        <f t="shared" si="1"/>
        <v>1.6622708836632017E-5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69.0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64.0</v>
      </c>
      <c r="G63" s="11">
        <f t="shared" si="1"/>
        <v>5.5409029455440058E-6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48.0</v>
      </c>
      <c r="G64" s="11">
        <f t="shared" si="1"/>
        <v>0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39.0</v>
      </c>
      <c r="G65" s="11">
        <f t="shared" si="1"/>
        <v>0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34.0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39.0</v>
      </c>
      <c r="G67" s="11">
        <f t="shared" si="1"/>
        <v>0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34.0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26.0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25.0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17.0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16.0</v>
      </c>
      <c r="G72" s="11">
        <f t="shared" si="1"/>
        <v>0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17.0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7.0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7.0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14.0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4.0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5.0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7.0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2.0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1.0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5.0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6.0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2.0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3.0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4.0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1.0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2.0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2.0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1.0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1.0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1">
        <v>90</v>
      </c>
      <c r="F101" s="381" t="n">
        <v>0.0</v>
      </c>
      <c r="G101" s="11">
        <f t="shared" si="3"/>
        <v>0</v>
      </c>
    </row>
    <row r="102" spans="1:7" x14ac:dyDescent="0.25">
      <c r="B102" s="8">
        <f>SUM(B11:B101)</f>
        <v>179130.6058530435</v>
      </c>
      <c r="C102" s="11">
        <f t="shared" si="2"/>
        <v>1</v>
      </c>
      <c r="F102" s="8">
        <f>SUM(F11:F101)</f>
        <v>180476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J32" sqref="J32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749.0</v>
      </c>
      <c r="G11" s="11">
        <f>F11/F$102</f>
        <v>7.3638600146279836E-3</v>
      </c>
      <c r="K11" s="8" t="n">
        <v>11.318627697551301</v>
      </c>
      <c r="L11" s="8" t="n">
        <v>17.146929836270033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1259.0</v>
      </c>
      <c r="G12" s="11">
        <f>F12/F$102</f>
        <v>1.4572574746780736E-2</v>
      </c>
      <c r="K12" s="8"/>
      <c r="L12" s="380"/>
    </row>
    <row r="13" spans="1:12" x14ac:dyDescent="0.25">
      <c r="A13">
        <v>2</v>
      </c>
      <c r="B13" s="8" t="n">
        <v>952.9088577607396</v>
      </c>
      <c r="C13" s="11">
        <f t="shared" ref="C13:C76" si="0">B13/B$102</f>
        <v>5.3196317470309562E-3</v>
      </c>
      <c r="E13" s="201">
        <v>2</v>
      </c>
      <c r="F13" s="291" t="n">
        <v>1752.0</v>
      </c>
      <c r="G13" s="11">
        <f t="shared" ref="G13:G76" si="1">F13/F$102</f>
        <v>1.633458188346373E-2</v>
      </c>
    </row>
    <row r="14" spans="1:12" x14ac:dyDescent="0.25">
      <c r="A14">
        <v>3</v>
      </c>
      <c r="B14" s="8" t="n">
        <v>10588.469401440841</v>
      </c>
      <c r="C14" s="11">
        <f t="shared" si="0"/>
        <v>5.9110330984574952E-2</v>
      </c>
      <c r="E14" s="202">
        <v>3</v>
      </c>
      <c r="F14" s="292" t="n">
        <v>2427.0</v>
      </c>
      <c r="G14" s="11">
        <f t="shared" si="1"/>
        <v>2.4729049845962896E-2</v>
      </c>
    </row>
    <row r="15" spans="1:12" x14ac:dyDescent="0.25">
      <c r="A15">
        <v>4</v>
      </c>
      <c r="B15" s="8" t="n">
        <v>10550.309260911585</v>
      </c>
      <c r="C15" s="11">
        <f t="shared" si="0"/>
        <v>5.8897301277297774E-2</v>
      </c>
      <c r="E15" s="203">
        <v>4</v>
      </c>
      <c r="F15" s="293" t="n">
        <v>4004.0</v>
      </c>
      <c r="G15" s="11">
        <f t="shared" si="1"/>
        <v>3.7184999667545821E-2</v>
      </c>
    </row>
    <row r="16" spans="1:12" x14ac:dyDescent="0.25">
      <c r="A16">
        <v>5</v>
      </c>
      <c r="B16" s="8" t="n">
        <v>18889.47025530496</v>
      </c>
      <c r="C16" s="11">
        <f t="shared" si="0"/>
        <v>0.10545082547647744</v>
      </c>
      <c r="E16" s="204">
        <v>5</v>
      </c>
      <c r="F16" s="294" t="n">
        <v>5681.0</v>
      </c>
      <c r="G16" s="11">
        <f t="shared" si="1"/>
        <v>5.3104013830093749E-2</v>
      </c>
    </row>
    <row r="17" spans="1:7" x14ac:dyDescent="0.25">
      <c r="A17">
        <v>6</v>
      </c>
      <c r="B17" s="8" t="n">
        <v>14638.914320147142</v>
      </c>
      <c r="C17" s="11">
        <f t="shared" si="0"/>
        <v>8.1722016460753333E-2</v>
      </c>
      <c r="E17" s="205">
        <v>6</v>
      </c>
      <c r="F17" s="295" t="n">
        <v>7997.0</v>
      </c>
      <c r="G17" s="11">
        <f t="shared" si="1"/>
        <v>6.6535162570092427E-2</v>
      </c>
    </row>
    <row r="18" spans="1:7" x14ac:dyDescent="0.25">
      <c r="A18">
        <v>7</v>
      </c>
      <c r="B18" s="8" t="n">
        <v>15555.144627948222</v>
      </c>
      <c r="C18" s="11">
        <f t="shared" si="0"/>
        <v>8.6836889507923981E-2</v>
      </c>
      <c r="E18" s="206">
        <v>7</v>
      </c>
      <c r="F18" s="296" t="n">
        <v>10310.0</v>
      </c>
      <c r="G18" s="11">
        <f t="shared" si="1"/>
        <v>7.5827256809769719E-2</v>
      </c>
    </row>
    <row r="19" spans="1:7" x14ac:dyDescent="0.25">
      <c r="A19">
        <v>8</v>
      </c>
      <c r="B19" s="8" t="n">
        <v>19543.562670182797</v>
      </c>
      <c r="C19" s="11">
        <f t="shared" si="0"/>
        <v>0.10910230877137818</v>
      </c>
      <c r="E19" s="207">
        <v>8</v>
      </c>
      <c r="F19" s="297" t="n">
        <v>11210.0</v>
      </c>
      <c r="G19" s="11">
        <f t="shared" si="1"/>
        <v>7.9816706930561407E-2</v>
      </c>
    </row>
    <row r="20" spans="1:7" x14ac:dyDescent="0.25">
      <c r="A20">
        <v>9</v>
      </c>
      <c r="B20" s="8" t="n">
        <v>12742.169232841165</v>
      </c>
      <c r="C20" s="11">
        <f t="shared" si="0"/>
        <v>7.1133401085544695E-2</v>
      </c>
      <c r="E20" s="208">
        <v>9</v>
      </c>
      <c r="F20" s="298" t="n">
        <v>10772.0</v>
      </c>
      <c r="G20" s="11">
        <f t="shared" si="1"/>
        <v>7.5910370353952886E-2</v>
      </c>
    </row>
    <row r="21" spans="1:7" x14ac:dyDescent="0.25">
      <c r="A21">
        <v>10</v>
      </c>
      <c r="B21" s="8" t="n">
        <v>11645.408764111933</v>
      </c>
      <c r="C21" s="11">
        <f t="shared" si="0"/>
        <v>6.5010714995658969E-2</v>
      </c>
      <c r="E21" s="209">
        <v>10</v>
      </c>
      <c r="F21" s="299" t="n">
        <v>10197.0</v>
      </c>
      <c r="G21" s="11">
        <f t="shared" si="1"/>
        <v>7.1715906824176071E-2</v>
      </c>
    </row>
    <row r="22" spans="1:7" x14ac:dyDescent="0.25">
      <c r="A22">
        <v>11</v>
      </c>
      <c r="B22" s="8" t="n">
        <v>8553.016760321116</v>
      </c>
      <c r="C22" s="11">
        <f t="shared" si="0"/>
        <v>4.7747378063008966E-2</v>
      </c>
      <c r="E22" s="210">
        <v>11</v>
      </c>
      <c r="F22" s="300" t="n">
        <v>9106.0</v>
      </c>
      <c r="G22" s="11">
        <f t="shared" si="1"/>
        <v>6.3570779494226376E-2</v>
      </c>
    </row>
    <row r="23" spans="1:7" x14ac:dyDescent="0.25">
      <c r="A23">
        <v>12</v>
      </c>
      <c r="B23" s="8" t="n">
        <v>9009.215097339784</v>
      </c>
      <c r="C23" s="11">
        <f t="shared" si="0"/>
        <v>5.0294113920045742E-2</v>
      </c>
      <c r="E23" s="211">
        <v>12</v>
      </c>
      <c r="F23" s="301" t="n">
        <v>7991.0</v>
      </c>
      <c r="G23" s="11">
        <f t="shared" si="1"/>
        <v>5.53259159112569E-2</v>
      </c>
    </row>
    <row r="24" spans="1:7" x14ac:dyDescent="0.25">
      <c r="A24">
        <v>13</v>
      </c>
      <c r="B24" s="8" t="n">
        <v>6351.0345189625705</v>
      </c>
      <c r="C24" s="11">
        <f t="shared" si="0"/>
        <v>3.5454770493953881E-2</v>
      </c>
      <c r="E24" s="212">
        <v>13</v>
      </c>
      <c r="F24" s="302" t="n">
        <v>6948.0</v>
      </c>
      <c r="G24" s="11">
        <f t="shared" si="1"/>
        <v>4.77459606817527E-2</v>
      </c>
    </row>
    <row r="25" spans="1:7" x14ac:dyDescent="0.25">
      <c r="A25">
        <v>14</v>
      </c>
      <c r="B25" s="8" t="n">
        <v>2856.0667064912222</v>
      </c>
      <c r="C25" s="11">
        <f t="shared" si="0"/>
        <v>1.5944046484352891E-2</v>
      </c>
      <c r="E25" s="213">
        <v>14</v>
      </c>
      <c r="F25" s="303" t="n">
        <v>5809.0</v>
      </c>
      <c r="G25" s="11">
        <f t="shared" si="1"/>
        <v>4.0359937055342542E-2</v>
      </c>
    </row>
    <row r="26" spans="1:7" x14ac:dyDescent="0.25">
      <c r="A26">
        <v>15</v>
      </c>
      <c r="B26" s="8" t="n">
        <v>1955.1963200871432</v>
      </c>
      <c r="C26" s="11">
        <f t="shared" si="0"/>
        <v>1.0914920489305783E-2</v>
      </c>
      <c r="E26" s="214">
        <v>15</v>
      </c>
      <c r="F26" s="304" t="n">
        <v>4939.0</v>
      </c>
      <c r="G26" s="11">
        <f t="shared" si="1"/>
        <v>3.4985261198164856E-2</v>
      </c>
    </row>
    <row r="27" spans="1:7" x14ac:dyDescent="0.25">
      <c r="A27">
        <v>16</v>
      </c>
      <c r="B27" s="8" t="n">
        <v>3230.4551574171733</v>
      </c>
      <c r="C27" s="11">
        <f t="shared" si="0"/>
        <v>1.8034077102755949E-2</v>
      </c>
      <c r="E27" s="215">
        <v>16</v>
      </c>
      <c r="F27" s="305" t="n">
        <v>4308.0</v>
      </c>
      <c r="G27" s="11">
        <f t="shared" si="1"/>
        <v>3.0807420377224674E-2</v>
      </c>
    </row>
    <row r="28" spans="1:7" x14ac:dyDescent="0.25">
      <c r="A28">
        <v>17</v>
      </c>
      <c r="B28" s="8" t="n">
        <v>6546.867526362684</v>
      </c>
      <c r="C28" s="11">
        <f t="shared" si="0"/>
        <v>3.6548011966942434E-2</v>
      </c>
      <c r="E28" s="216">
        <v>17</v>
      </c>
      <c r="F28" s="306" t="n">
        <v>3691.0</v>
      </c>
      <c r="G28" s="11">
        <f t="shared" si="1"/>
        <v>2.6064407455839003E-2</v>
      </c>
    </row>
    <row r="29" spans="1:7" x14ac:dyDescent="0.25">
      <c r="A29">
        <v>18</v>
      </c>
      <c r="B29" s="8" t="n">
        <v>2829.0894209745684</v>
      </c>
      <c r="C29" s="11">
        <f t="shared" si="0"/>
        <v>1.5793445276992574E-2</v>
      </c>
      <c r="E29" s="217">
        <v>18</v>
      </c>
      <c r="F29" s="307" t="n">
        <v>3307.0</v>
      </c>
      <c r="G29" s="11">
        <f t="shared" si="1"/>
        <v>2.2385247899997785E-2</v>
      </c>
    </row>
    <row r="30" spans="1:7" x14ac:dyDescent="0.25">
      <c r="A30">
        <v>19</v>
      </c>
      <c r="B30" s="8" t="n">
        <v>3643.3825057902227</v>
      </c>
      <c r="C30" s="11">
        <f t="shared" si="0"/>
        <v>2.0339251846103884E-2</v>
      </c>
      <c r="E30" s="218">
        <v>19</v>
      </c>
      <c r="F30" s="308" t="n">
        <v>2928.0</v>
      </c>
      <c r="G30" s="11">
        <f t="shared" si="1"/>
        <v>1.9271260444602051E-2</v>
      </c>
    </row>
    <row r="31" spans="1:7" x14ac:dyDescent="0.25">
      <c r="A31">
        <v>20</v>
      </c>
      <c r="B31" s="8" t="n">
        <v>1482.9062793531084</v>
      </c>
      <c r="C31" s="11">
        <f t="shared" si="0"/>
        <v>8.2783523914928634E-3</v>
      </c>
      <c r="E31" s="219">
        <v>20</v>
      </c>
      <c r="F31" s="309" t="n">
        <v>2629.0</v>
      </c>
      <c r="G31" s="11">
        <f t="shared" si="1"/>
        <v>1.6949622110419112E-2</v>
      </c>
    </row>
    <row r="32" spans="1:7" x14ac:dyDescent="0.25">
      <c r="A32">
        <v>21</v>
      </c>
      <c r="B32" s="8" t="n">
        <v>623.4192470734208</v>
      </c>
      <c r="C32" s="11">
        <f t="shared" si="0"/>
        <v>3.480249754667084E-3</v>
      </c>
      <c r="E32" s="220">
        <v>21</v>
      </c>
      <c r="F32" s="310" t="n">
        <v>2409.0</v>
      </c>
      <c r="G32" s="11">
        <f t="shared" si="1"/>
        <v>1.4533788426161928E-2</v>
      </c>
    </row>
    <row r="33" spans="1:7" x14ac:dyDescent="0.25">
      <c r="A33">
        <v>22</v>
      </c>
      <c r="B33" s="8" t="n">
        <v>1993.8332421351765</v>
      </c>
      <c r="C33" s="11">
        <f t="shared" si="0"/>
        <v>1.1130611838442014E-2</v>
      </c>
      <c r="E33" s="221">
        <v>22</v>
      </c>
      <c r="F33" s="311" t="n">
        <v>2189.0</v>
      </c>
      <c r="G33" s="11">
        <f t="shared" si="1"/>
        <v>1.340344422527095E-2</v>
      </c>
    </row>
    <row r="34" spans="1:7" x14ac:dyDescent="0.25">
      <c r="A34">
        <v>23</v>
      </c>
      <c r="B34" s="8" t="n">
        <v>4440.519066152201</v>
      </c>
      <c r="C34" s="11">
        <f t="shared" si="0"/>
        <v>2.4789281792499191E-2</v>
      </c>
      <c r="E34" s="222">
        <v>23</v>
      </c>
      <c r="F34" s="312" t="n">
        <v>1978.0</v>
      </c>
      <c r="G34" s="11">
        <f t="shared" si="1"/>
        <v>1.1026396861632572E-2</v>
      </c>
    </row>
    <row r="35" spans="1:7" x14ac:dyDescent="0.25">
      <c r="A35">
        <v>24</v>
      </c>
      <c r="B35" s="8" t="n">
        <v>853.329227007179</v>
      </c>
      <c r="C35" s="11">
        <f t="shared" si="0"/>
        <v>4.7637265722600165E-3</v>
      </c>
      <c r="E35" s="223">
        <v>24</v>
      </c>
      <c r="F35" s="313" t="n">
        <v>1899.0</v>
      </c>
      <c r="G35" s="11">
        <f t="shared" si="1"/>
        <v>1.0195261419800971E-2</v>
      </c>
    </row>
    <row r="36" spans="1:7" x14ac:dyDescent="0.25">
      <c r="A36">
        <v>25</v>
      </c>
      <c r="B36" s="8" t="n">
        <v>861.0818303786868</v>
      </c>
      <c r="C36" s="11">
        <f t="shared" si="0"/>
        <v>4.8070056274197356E-3</v>
      </c>
      <c r="E36" s="224">
        <v>25</v>
      </c>
      <c r="F36" s="314" t="n">
        <v>1849.0</v>
      </c>
      <c r="G36" s="11">
        <f t="shared" si="1"/>
        <v>8.7657084598506164E-3</v>
      </c>
    </row>
    <row r="37" spans="1:7" x14ac:dyDescent="0.25">
      <c r="A37">
        <v>26</v>
      </c>
      <c r="B37" s="8" t="n">
        <v>429.2360330807435</v>
      </c>
      <c r="C37" s="11">
        <f t="shared" si="0"/>
        <v>2.3962182846234735E-3</v>
      </c>
      <c r="E37" s="225">
        <v>26</v>
      </c>
      <c r="F37" s="315" t="n">
        <v>1704.0</v>
      </c>
      <c r="G37" s="11">
        <f t="shared" si="1"/>
        <v>8.1340455240585998E-3</v>
      </c>
    </row>
    <row r="38" spans="1:7" x14ac:dyDescent="0.25">
      <c r="A38">
        <v>27</v>
      </c>
      <c r="B38" s="8" t="n">
        <v>742.2590321586256</v>
      </c>
      <c r="C38" s="11">
        <f t="shared" si="0"/>
        <v>4.1436751057916119E-3</v>
      </c>
      <c r="E38" s="226">
        <v>27</v>
      </c>
      <c r="F38" s="316" t="n">
        <v>1625.0</v>
      </c>
      <c r="G38" s="11">
        <f t="shared" si="1"/>
        <v>6.8153106230191274E-3</v>
      </c>
    </row>
    <row r="39" spans="1:7" x14ac:dyDescent="0.25">
      <c r="A39">
        <v>28</v>
      </c>
      <c r="B39" s="8" t="n">
        <v>1312.963406586017</v>
      </c>
      <c r="C39" s="11">
        <f t="shared" si="0"/>
        <v>7.3296430854655602E-3</v>
      </c>
      <c r="E39" s="227">
        <v>28</v>
      </c>
      <c r="F39" s="317" t="n">
        <v>1476.0</v>
      </c>
      <c r="G39" s="11">
        <f t="shared" si="1"/>
        <v>6.2889248431924468E-3</v>
      </c>
    </row>
    <row r="40" spans="1:7" x14ac:dyDescent="0.25">
      <c r="A40">
        <v>29</v>
      </c>
      <c r="B40" s="8" t="n">
        <v>1601.905996078702</v>
      </c>
      <c r="C40" s="11">
        <f t="shared" si="0"/>
        <v>8.9426705640290489E-3</v>
      </c>
      <c r="E40" s="228">
        <v>29</v>
      </c>
      <c r="F40" s="318" t="n">
        <v>1521.0</v>
      </c>
      <c r="G40" s="11">
        <f t="shared" si="1"/>
        <v>5.2638577982668053E-3</v>
      </c>
    </row>
    <row r="41" spans="1:7" x14ac:dyDescent="0.25">
      <c r="A41">
        <v>30</v>
      </c>
      <c r="B41" s="8" t="n">
        <v>173.6715971131506</v>
      </c>
      <c r="C41" s="11">
        <f t="shared" si="0"/>
        <v>9.6952498031312737E-4</v>
      </c>
      <c r="E41" s="229">
        <v>30</v>
      </c>
      <c r="F41" s="319" t="n">
        <v>1305.0</v>
      </c>
      <c r="G41" s="11">
        <f t="shared" si="1"/>
        <v>4.6543584742569652E-3</v>
      </c>
    </row>
    <row r="42" spans="1:7" x14ac:dyDescent="0.25">
      <c r="A42">
        <v>31</v>
      </c>
      <c r="B42" s="8" t="n">
        <v>234.7605490005953</v>
      </c>
      <c r="C42" s="11">
        <f t="shared" si="0"/>
        <v>1.3105552112808118E-3</v>
      </c>
      <c r="E42" s="230">
        <v>31</v>
      </c>
      <c r="F42" s="320" t="n">
        <v>1323.0</v>
      </c>
      <c r="G42" s="11">
        <f t="shared" si="1"/>
        <v>4.1113499855936521E-3</v>
      </c>
    </row>
    <row r="43" spans="1:7" x14ac:dyDescent="0.25">
      <c r="A43">
        <v>32</v>
      </c>
      <c r="B43" s="8" t="n">
        <v>170.00684966104018</v>
      </c>
      <c r="C43" s="11">
        <f t="shared" si="0"/>
        <v>9.4906645824952799E-4</v>
      </c>
      <c r="E43" s="231">
        <v>32</v>
      </c>
      <c r="F43" s="321" t="n">
        <v>1228.0</v>
      </c>
      <c r="G43" s="11">
        <f t="shared" si="1"/>
        <v>3.5738823998758837E-3</v>
      </c>
    </row>
    <row r="44" spans="1:7" x14ac:dyDescent="0.25">
      <c r="A44">
        <v>33</v>
      </c>
      <c r="B44" s="8" t="n">
        <v>709.1768418549143</v>
      </c>
      <c r="C44" s="11">
        <f t="shared" si="0"/>
        <v>3.958993151827522E-3</v>
      </c>
      <c r="E44" s="232">
        <v>33</v>
      </c>
      <c r="F44" s="322" t="n">
        <v>1229.0</v>
      </c>
      <c r="G44" s="11">
        <f t="shared" si="1"/>
        <v>3.1915600966333476E-3</v>
      </c>
    </row>
    <row r="45" spans="1:7" x14ac:dyDescent="0.25">
      <c r="A45">
        <v>34</v>
      </c>
      <c r="B45" s="8" t="n">
        <v>84.6222769184736</v>
      </c>
      <c r="C45" s="11">
        <f t="shared" si="0"/>
        <v>4.7240546368662785E-4</v>
      </c>
      <c r="E45" s="233">
        <v>34</v>
      </c>
      <c r="F45" s="323" t="n">
        <v>1166.0</v>
      </c>
      <c r="G45" s="11">
        <f t="shared" si="1"/>
        <v>2.7926150845541788E-3</v>
      </c>
    </row>
    <row r="46" spans="1:7" x14ac:dyDescent="0.25">
      <c r="A46">
        <v>35</v>
      </c>
      <c r="B46" s="8" t="n">
        <v>183.27205278999898</v>
      </c>
      <c r="C46" s="11">
        <f t="shared" si="0"/>
        <v>1.0231197059666791E-3</v>
      </c>
      <c r="E46" s="234">
        <v>35</v>
      </c>
      <c r="F46" s="324" t="n">
        <v>1100.0</v>
      </c>
      <c r="G46" s="11">
        <f t="shared" si="1"/>
        <v>2.3050156253463065E-3</v>
      </c>
    </row>
    <row r="47" spans="1:7" x14ac:dyDescent="0.25">
      <c r="A47">
        <v>36</v>
      </c>
      <c r="B47" s="8" t="n">
        <v>390.43556240298386</v>
      </c>
      <c r="C47" s="11">
        <f t="shared" si="0"/>
        <v>2.1796139221641011E-3</v>
      </c>
      <c r="E47" s="235">
        <v>36</v>
      </c>
      <c r="F47" s="325" t="n">
        <v>1070.0</v>
      </c>
      <c r="G47" s="11">
        <f t="shared" si="1"/>
        <v>2.1221658281433543E-3</v>
      </c>
    </row>
    <row r="48" spans="1:7" x14ac:dyDescent="0.25">
      <c r="A48">
        <v>37</v>
      </c>
      <c r="B48" s="8" t="n">
        <v>23.0583299662164</v>
      </c>
      <c r="C48" s="11">
        <f t="shared" si="0"/>
        <v>1.2872356377297781E-4</v>
      </c>
      <c r="E48" s="236">
        <v>37</v>
      </c>
      <c r="F48" s="326" t="n">
        <v>954.0</v>
      </c>
      <c r="G48" s="11">
        <f t="shared" si="1"/>
        <v>1.6955163013364658E-3</v>
      </c>
    </row>
    <row r="49" spans="1:7" x14ac:dyDescent="0.25">
      <c r="A49">
        <v>38</v>
      </c>
      <c r="B49" s="8" t="n">
        <v>374.2458091518963</v>
      </c>
      <c r="C49" s="11">
        <f t="shared" si="0"/>
        <v>2.0892343179976895E-3</v>
      </c>
      <c r="E49" s="237">
        <v>38</v>
      </c>
      <c r="F49" s="327" t="n">
        <v>973.0</v>
      </c>
      <c r="G49" s="11">
        <f t="shared" si="1"/>
        <v>1.4794210864602496E-3</v>
      </c>
    </row>
    <row r="50" spans="1:7" x14ac:dyDescent="0.25">
      <c r="A50">
        <v>39</v>
      </c>
      <c r="B50" s="8" t="n">
        <v>53.7298584643415</v>
      </c>
      <c r="C50" s="11">
        <f t="shared" si="0"/>
        <v>2.9994795254821387E-4</v>
      </c>
      <c r="E50" s="238">
        <v>39</v>
      </c>
      <c r="F50" s="328" t="n">
        <v>1014.0</v>
      </c>
      <c r="G50" s="11">
        <f t="shared" si="1"/>
        <v>1.3907666393315455E-3</v>
      </c>
    </row>
    <row r="51" spans="1:7" x14ac:dyDescent="0.25">
      <c r="A51">
        <v>40</v>
      </c>
      <c r="B51" s="8" t="n">
        <v>174.1191161270225</v>
      </c>
      <c r="C51" s="11">
        <f t="shared" si="0"/>
        <v>9.7202326368430641E-4</v>
      </c>
      <c r="E51" s="239">
        <v>40</v>
      </c>
      <c r="F51" s="329" t="n">
        <v>874.0</v>
      </c>
      <c r="G51" s="11">
        <f t="shared" si="1"/>
        <v>9.8628072430683301E-4</v>
      </c>
    </row>
    <row r="52" spans="1:7" x14ac:dyDescent="0.25">
      <c r="A52">
        <v>41</v>
      </c>
      <c r="B52" s="8" t="n">
        <v>74.83510214835451</v>
      </c>
      <c r="C52" s="11">
        <f t="shared" si="0"/>
        <v>4.1776837515833712E-4</v>
      </c>
      <c r="E52" s="240">
        <v>41</v>
      </c>
      <c r="F52" s="330" t="n">
        <v>863.0</v>
      </c>
      <c r="G52" s="11">
        <f t="shared" si="1"/>
        <v>9.7519891841574508E-4</v>
      </c>
    </row>
    <row r="53" spans="1:7" x14ac:dyDescent="0.25">
      <c r="A53">
        <v>42</v>
      </c>
      <c r="B53" s="8" t="n">
        <v>138.3609513092361</v>
      </c>
      <c r="C53" s="11">
        <f t="shared" si="0"/>
        <v>7.7240263131106511E-4</v>
      </c>
      <c r="E53" s="241">
        <v>42</v>
      </c>
      <c r="F53" s="331" t="n">
        <v>822.0</v>
      </c>
      <c r="G53" s="11">
        <f t="shared" si="1"/>
        <v>7.8680821826724884E-4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242">
        <v>43</v>
      </c>
      <c r="F54" s="332" t="n">
        <v>767.0</v>
      </c>
      <c r="G54" s="11">
        <f t="shared" si="1"/>
        <v>6.5936745051973665E-4</v>
      </c>
    </row>
    <row r="55" spans="1:7" x14ac:dyDescent="0.25">
      <c r="A55">
        <v>44</v>
      </c>
      <c r="B55" s="8" t="n">
        <v>293.9512143163399</v>
      </c>
      <c r="C55" s="11">
        <f t="shared" si="0"/>
        <v>1.6409882215074609E-3</v>
      </c>
      <c r="E55" s="243">
        <v>44</v>
      </c>
      <c r="F55" s="333" t="n">
        <v>709.0</v>
      </c>
      <c r="G55" s="11">
        <f t="shared" si="1"/>
        <v>7.2031738292072079E-4</v>
      </c>
    </row>
    <row r="56" spans="1:7" x14ac:dyDescent="0.25">
      <c r="A56">
        <v>45</v>
      </c>
      <c r="B56" s="8" t="n">
        <v>56.2706718643541</v>
      </c>
      <c r="C56" s="11">
        <f t="shared" si="0"/>
        <v>3.1413209147809084E-4</v>
      </c>
      <c r="E56" s="244">
        <v>45</v>
      </c>
      <c r="F56" s="334" t="n">
        <v>655.0</v>
      </c>
      <c r="G56" s="11">
        <f t="shared" si="1"/>
        <v>5.2084487688113651E-4</v>
      </c>
    </row>
    <row r="57" spans="1:7" x14ac:dyDescent="0.25">
      <c r="A57">
        <v>46</v>
      </c>
      <c r="B57" s="8" t="n">
        <v>180.2118514184661</v>
      </c>
      <c r="C57" s="11">
        <f t="shared" si="0"/>
        <v>1.006036073848316E-3</v>
      </c>
      <c r="E57" s="245">
        <v>46</v>
      </c>
      <c r="F57" s="335" t="n">
        <v>645.0</v>
      </c>
      <c r="G57" s="11">
        <f t="shared" si="1"/>
        <v>4.8759945920787254E-4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246">
        <v>47</v>
      </c>
      <c r="F58" s="336" t="n">
        <v>570.0</v>
      </c>
      <c r="G58" s="11">
        <f t="shared" si="1"/>
        <v>3.9894501207916845E-4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493.0</v>
      </c>
      <c r="G59" s="11">
        <f t="shared" si="1"/>
        <v>3.878632061880804E-4</v>
      </c>
    </row>
    <row r="60" spans="1:7" x14ac:dyDescent="0.25">
      <c r="A60">
        <v>49</v>
      </c>
      <c r="B60" s="8" t="n">
        <v>266.767832813174</v>
      </c>
      <c r="C60" s="11">
        <f t="shared" si="0"/>
        <v>1.4892364793988747E-3</v>
      </c>
      <c r="E60" s="248">
        <v>49</v>
      </c>
      <c r="F60" s="338" t="n">
        <v>484.0</v>
      </c>
      <c r="G60" s="11">
        <f t="shared" si="1"/>
        <v>2.9366785611383228E-4</v>
      </c>
    </row>
    <row r="61" spans="1:7" x14ac:dyDescent="0.25">
      <c r="A61">
        <v>50</v>
      </c>
      <c r="B61" s="8" t="n">
        <v>78.8287852380009</v>
      </c>
      <c r="C61" s="11">
        <f t="shared" si="0"/>
        <v>4.4006318664869051E-4</v>
      </c>
      <c r="E61" s="249">
        <v>50</v>
      </c>
      <c r="F61" s="339" t="n">
        <v>430.0</v>
      </c>
      <c r="G61" s="11">
        <f t="shared" si="1"/>
        <v>2.3271792371284825E-4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250">
        <v>51</v>
      </c>
      <c r="F62" s="340" t="n">
        <v>427.0</v>
      </c>
      <c r="G62" s="11">
        <f t="shared" si="1"/>
        <v>1.8284979720295218E-4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1">
        <v>52</v>
      </c>
      <c r="F63" s="341" t="n">
        <v>376.0</v>
      </c>
      <c r="G63" s="11">
        <f t="shared" si="1"/>
        <v>1.3852257363860013E-4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2">
        <v>53</v>
      </c>
      <c r="F64" s="342" t="n">
        <v>373.0</v>
      </c>
      <c r="G64" s="11">
        <f t="shared" si="1"/>
        <v>1.2744076774751214E-4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253">
        <v>54</v>
      </c>
      <c r="F65" s="343" t="n">
        <v>323.0</v>
      </c>
      <c r="G65" s="11">
        <f t="shared" si="1"/>
        <v>8.8654447128704093E-5</v>
      </c>
    </row>
    <row r="66" spans="1:7" x14ac:dyDescent="0.25">
      <c r="A66">
        <v>55</v>
      </c>
      <c r="B66" s="8" t="n">
        <v>40.5877638836929</v>
      </c>
      <c r="C66" s="11">
        <f t="shared" si="0"/>
        <v>2.2658196063374332E-4</v>
      </c>
      <c r="E66" s="254">
        <v>55</v>
      </c>
      <c r="F66" s="344" t="n">
        <v>308.0</v>
      </c>
      <c r="G66" s="11">
        <f t="shared" si="1"/>
        <v>1.7730889425740819E-4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255">
        <v>56</v>
      </c>
      <c r="F67" s="345" t="n">
        <v>259.0</v>
      </c>
      <c r="G67" s="11">
        <f t="shared" si="1"/>
        <v>6.649083534652807E-5</v>
      </c>
    </row>
    <row r="68" spans="1:7" x14ac:dyDescent="0.25">
      <c r="A68">
        <v>57</v>
      </c>
      <c r="B68" s="8" t="n">
        <v>713.4232680090412</v>
      </c>
      <c r="C68" s="11">
        <f t="shared" si="0"/>
        <v>3.9826989062624208E-3</v>
      </c>
      <c r="E68" s="256">
        <v>57</v>
      </c>
      <c r="F68" s="346" t="n">
        <v>242.0</v>
      </c>
      <c r="G68" s="11">
        <f t="shared" si="1"/>
        <v>4.4327223564352046E-5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257">
        <v>58</v>
      </c>
      <c r="F69" s="347" t="n">
        <v>233.0</v>
      </c>
      <c r="G69" s="11">
        <f t="shared" si="1"/>
        <v>9.4195350074248102E-5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258">
        <v>59</v>
      </c>
      <c r="F70" s="348" t="n">
        <v>231.0</v>
      </c>
      <c r="G70" s="11">
        <f t="shared" si="1"/>
        <v>3.3245417673264035E-5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217.0</v>
      </c>
      <c r="G71" s="11">
        <f t="shared" si="1"/>
        <v>2.2163611782176023E-5</v>
      </c>
    </row>
    <row r="72" spans="1:7" x14ac:dyDescent="0.25">
      <c r="A72">
        <v>61</v>
      </c>
      <c r="B72" s="8" t="n">
        <v>214.797673279417</v>
      </c>
      <c r="C72" s="11">
        <f t="shared" si="0"/>
        <v>1.1991120794602476E-3</v>
      </c>
      <c r="E72" s="260">
        <v>61</v>
      </c>
      <c r="F72" s="350" t="n">
        <v>220.0</v>
      </c>
      <c r="G72" s="11">
        <f t="shared" si="1"/>
        <v>4.9868126509896056E-5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1">
        <v>62</v>
      </c>
      <c r="F73" s="351" t="n">
        <v>193.0</v>
      </c>
      <c r="G73" s="11">
        <f t="shared" si="1"/>
        <v>2.2163611782176023E-5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2">
        <v>63</v>
      </c>
      <c r="F74" s="352" t="n">
        <v>145.0</v>
      </c>
      <c r="G74" s="11">
        <f t="shared" si="1"/>
        <v>2.2163611782176023E-5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3">
        <v>64</v>
      </c>
      <c r="F75" s="353" t="n">
        <v>155.0</v>
      </c>
      <c r="G75" s="11">
        <f t="shared" si="1"/>
        <v>2.7704514727720029E-5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123.0</v>
      </c>
      <c r="G76" s="11">
        <f t="shared" si="1"/>
        <v>1.6622708836632017E-5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265">
        <v>66</v>
      </c>
      <c r="F77" s="355" t="n">
        <v>110.0</v>
      </c>
      <c r="G77" s="11">
        <f t="shared" ref="G77:G102" si="3">F77/F$102</f>
        <v>2.2163611782176023E-5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116.0</v>
      </c>
      <c r="G78" s="11">
        <f t="shared" si="3"/>
        <v>3.3245417673264035E-5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83.0</v>
      </c>
      <c r="G79" s="11">
        <f t="shared" si="3"/>
        <v>1.6622708836632017E-5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77.0</v>
      </c>
      <c r="G80" s="11">
        <f t="shared" si="3"/>
        <v>1.1081805891088012E-5</v>
      </c>
    </row>
    <row r="81" spans="1:7" x14ac:dyDescent="0.25">
      <c r="A81">
        <v>70</v>
      </c>
      <c r="B81" s="8" t="n">
        <v>50.6759931180555</v>
      </c>
      <c r="C81" s="11">
        <f t="shared" si="2"/>
        <v>2.8289969141079914E-4</v>
      </c>
      <c r="E81" s="269">
        <v>70</v>
      </c>
      <c r="F81" s="359" t="n">
        <v>80.0</v>
      </c>
      <c r="G81" s="11">
        <f t="shared" si="3"/>
        <v>1.1081805891088012E-5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73.0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71.0</v>
      </c>
      <c r="G83" s="11">
        <f t="shared" si="3"/>
        <v>1.1081805891088012E-5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55.0</v>
      </c>
      <c r="G84" s="11">
        <f t="shared" si="3"/>
        <v>1.1081805891088012E-5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59.0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52.0</v>
      </c>
      <c r="G86" s="11">
        <f t="shared" si="3"/>
        <v>5.5409029455440058E-6</v>
      </c>
    </row>
    <row r="87" spans="1:7" x14ac:dyDescent="0.25">
      <c r="A87">
        <v>76</v>
      </c>
      <c r="B87" s="8" t="n">
        <v>28.6611377950859</v>
      </c>
      <c r="C87" s="11">
        <f t="shared" si="2"/>
        <v>1.6000134459769055E-4</v>
      </c>
      <c r="E87" s="275">
        <v>76</v>
      </c>
      <c r="F87" s="365" t="n">
        <v>39.0</v>
      </c>
      <c r="G87" s="11">
        <f t="shared" si="3"/>
        <v>5.5409029455440058E-6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40.0</v>
      </c>
      <c r="G88" s="11">
        <f t="shared" si="3"/>
        <v>5.5409029455440058E-6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26.0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43.0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21.0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39.0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26.0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24.0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23.0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30.0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13.0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10.0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12.0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10.0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1">
        <v>90</v>
      </c>
      <c r="F101" s="381" t="n">
        <v>96.0</v>
      </c>
      <c r="G101" s="11">
        <f t="shared" si="3"/>
        <v>0</v>
      </c>
    </row>
    <row r="102" spans="1:7" x14ac:dyDescent="0.25">
      <c r="B102" s="8">
        <f>SUM(B11:B101)</f>
        <v>179130.60585304353</v>
      </c>
      <c r="C102" s="11">
        <f t="shared" si="2"/>
        <v>1</v>
      </c>
      <c r="F102" s="8">
        <f>SUM(F11:F101)</f>
        <v>180476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10" workbookViewId="0">
      <selection activeCell="Z24" sqref="Z24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r="5" spans="1:21" ht="15.75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3" t="s">
        <v>39</v>
      </c>
      <c r="B7" s="12" t="n">
        <v>23880.068345688316</v>
      </c>
      <c r="C7" s="12" t="n">
        <v>0.0</v>
      </c>
      <c r="D7" s="12" t="n">
        <v>40.5877638836929</v>
      </c>
      <c r="E7" s="12" t="n">
        <v>0.0</v>
      </c>
      <c r="F7" s="12" t="n">
        <v>2960.7283195809187</v>
      </c>
      <c r="G7" s="12" t="n">
        <v>0.0</v>
      </c>
      <c r="H7" s="12" t="n">
        <v>0.0</v>
      </c>
      <c r="I7" s="12"/>
      <c r="J7" s="12">
        <f>SUM(B7:I7)</f>
        <v>26881.384429152928</v>
      </c>
      <c r="K7" s="12"/>
      <c r="L7" t="str">
        <f>$A$7</f>
        <v>Williamson</v>
      </c>
      <c r="M7" s="380" t="n">
        <v>14045.0</v>
      </c>
      <c r="N7" s="380" t="n">
        <v>994.0</v>
      </c>
      <c r="O7" s="380" t="n">
        <v>111.0</v>
      </c>
      <c r="P7" s="380" t="n">
        <v>28.0</v>
      </c>
      <c r="Q7" s="380" t="n">
        <v>5888.0</v>
      </c>
      <c r="R7" s="380" t="n">
        <v>980.0</v>
      </c>
      <c r="S7" s="380" t="n">
        <v>158.0</v>
      </c>
      <c r="T7" s="380"/>
      <c r="U7" s="12">
        <f>SUM(M7:T7)</f>
        <v>25268</v>
      </c>
    </row>
    <row r="8" spans="1:21" x14ac:dyDescent="0.25">
      <c r="A8" t="s">
        <v>40</v>
      </c>
      <c r="B8" s="12" t="n">
        <v>152.398747520613</v>
      </c>
      <c r="C8" s="12" t="n">
        <v>27548.115593175815</v>
      </c>
      <c r="D8" s="12" t="n">
        <v>0.0</v>
      </c>
      <c r="E8" s="12" t="n">
        <v>0.0</v>
      </c>
      <c r="F8" s="12" t="n">
        <v>1049.5678323931206</v>
      </c>
      <c r="G8" s="12" t="n">
        <v>0.0</v>
      </c>
      <c r="H8" s="12" t="n">
        <v>0.0</v>
      </c>
      <c r="I8" s="12"/>
      <c r="J8" s="12">
        <f t="shared" ref="J8:J14" si="0">SUM(B8:I8)</f>
        <v>28750.082173089548</v>
      </c>
      <c r="K8" s="12"/>
      <c r="L8" t="str">
        <f>$A$8</f>
        <v>Rutherford</v>
      </c>
      <c r="M8" s="380" t="n">
        <v>973.0</v>
      </c>
      <c r="N8" s="380" t="n">
        <v>22880.0</v>
      </c>
      <c r="O8" s="380" t="n">
        <v>112.0</v>
      </c>
      <c r="P8" s="380" t="n">
        <v>33.0</v>
      </c>
      <c r="Q8" s="380" t="n">
        <v>3664.0</v>
      </c>
      <c r="R8" s="380" t="n">
        <v>114.0</v>
      </c>
      <c r="S8" s="380" t="n">
        <v>574.0</v>
      </c>
      <c r="T8" s="380"/>
      <c r="U8" s="12">
        <f t="shared" ref="U8:U14" si="1">SUM(M8:T8)</f>
        <v>31840</v>
      </c>
    </row>
    <row r="9" spans="1:21" x14ac:dyDescent="0.25">
      <c r="A9" t="s">
        <v>41</v>
      </c>
      <c r="B9" s="12" t="n">
        <v>16.3743963315185</v>
      </c>
      <c r="C9" s="12" t="n">
        <v>0.0</v>
      </c>
      <c r="D9" s="12" t="n">
        <v>17394.419460103563</v>
      </c>
      <c r="E9" s="12" t="n">
        <v>184.8255755671179</v>
      </c>
      <c r="F9" s="12" t="n">
        <v>854.8802490659825</v>
      </c>
      <c r="G9" s="12" t="n">
        <v>0.0</v>
      </c>
      <c r="H9" s="12" t="n">
        <v>0.0</v>
      </c>
      <c r="I9" s="12"/>
      <c r="J9" s="12">
        <f t="shared" si="0"/>
        <v>18450.499681068181</v>
      </c>
      <c r="K9" s="13"/>
      <c r="L9" t="str">
        <f>$A$9</f>
        <v>Sumner</v>
      </c>
      <c r="M9" s="380" t="n">
        <v>153.0</v>
      </c>
      <c r="N9" s="380" t="n">
        <v>183.0</v>
      </c>
      <c r="O9" s="380" t="n">
        <v>11860.0</v>
      </c>
      <c r="P9" s="380" t="n">
        <v>703.0</v>
      </c>
      <c r="Q9" s="380" t="n">
        <v>3517.0</v>
      </c>
      <c r="R9" s="380" t="n">
        <v>19.0</v>
      </c>
      <c r="S9" s="380" t="n">
        <v>401.0</v>
      </c>
      <c r="T9" s="380"/>
      <c r="U9" s="12">
        <f t="shared" si="1"/>
        <v>19604</v>
      </c>
    </row>
    <row r="10" spans="1:21" x14ac:dyDescent="0.25">
      <c r="A10" t="s">
        <v>42</v>
      </c>
      <c r="B10" s="12" t="n">
        <v>214.797673279417</v>
      </c>
      <c r="C10" s="12" t="n">
        <v>0.0</v>
      </c>
      <c r="D10" s="12" t="n">
        <v>611.1612455977524</v>
      </c>
      <c r="E10" s="12" t="n">
        <v>6994.209302311026</v>
      </c>
      <c r="F10" s="12" t="n">
        <v>806.6991909276237</v>
      </c>
      <c r="G10" s="12" t="n">
        <v>0.0</v>
      </c>
      <c r="H10" s="12" t="n">
        <v>0.0</v>
      </c>
      <c r="I10" s="12"/>
      <c r="J10" s="12">
        <f t="shared" si="0"/>
        <v>8626.8674121158183</v>
      </c>
      <c r="K10" s="13"/>
      <c r="L10" t="str">
        <f>$A$10</f>
        <v>Roberston</v>
      </c>
      <c r="M10" s="380" t="n">
        <v>83.0</v>
      </c>
      <c r="N10" s="380" t="n">
        <v>69.0</v>
      </c>
      <c r="O10" s="380" t="n">
        <v>875.0</v>
      </c>
      <c r="P10" s="380" t="n">
        <v>3766.0</v>
      </c>
      <c r="Q10" s="380" t="n">
        <v>1796.0</v>
      </c>
      <c r="R10" s="380" t="n">
        <v>8.0</v>
      </c>
      <c r="S10" s="380" t="n">
        <v>52.0</v>
      </c>
      <c r="T10" s="380"/>
      <c r="U10" s="12">
        <f t="shared" si="1"/>
        <v>7950</v>
      </c>
    </row>
    <row r="11" spans="1:21" x14ac:dyDescent="0.25">
      <c r="A11" t="s">
        <v>43</v>
      </c>
      <c r="B11" s="12" t="n">
        <v>2208.038856186079</v>
      </c>
      <c r="C11" s="12" t="n">
        <v>252.72632085465472</v>
      </c>
      <c r="D11" s="12" t="n">
        <v>539.1590270972076</v>
      </c>
      <c r="E11" s="12" t="n">
        <v>0.0</v>
      </c>
      <c r="F11" s="12" t="n">
        <v>68380.67700840095</v>
      </c>
      <c r="G11" s="12" t="n">
        <v>0.0</v>
      </c>
      <c r="H11" s="12" t="n">
        <v>0.0</v>
      </c>
      <c r="I11" s="12"/>
      <c r="J11" s="12">
        <f t="shared" si="0"/>
        <v>71380.601212538895</v>
      </c>
      <c r="K11" s="13"/>
      <c r="L11" t="str">
        <f>$A$11</f>
        <v>Davidson</v>
      </c>
      <c r="M11" s="380" t="n">
        <v>2707.0</v>
      </c>
      <c r="N11" s="380" t="n">
        <v>2057.0</v>
      </c>
      <c r="O11" s="380" t="n">
        <v>1096.0</v>
      </c>
      <c r="P11" s="380" t="n">
        <v>360.0</v>
      </c>
      <c r="Q11" s="380" t="n">
        <v>56845.0</v>
      </c>
      <c r="R11" s="380" t="n">
        <v>120.0</v>
      </c>
      <c r="S11" s="380" t="n">
        <v>1282.0</v>
      </c>
      <c r="T11" s="380"/>
      <c r="U11" s="12">
        <f t="shared" si="1"/>
        <v>72573</v>
      </c>
    </row>
    <row r="12" spans="1:21" x14ac:dyDescent="0.25">
      <c r="A12" t="s">
        <v>44</v>
      </c>
      <c r="B12" s="12" t="n">
        <v>1442.8611189811802</v>
      </c>
      <c r="C12" s="12" t="n">
        <v>573.297724976678</v>
      </c>
      <c r="D12" s="12" t="n">
        <v>0.0</v>
      </c>
      <c r="E12" s="12" t="n">
        <v>0.0</v>
      </c>
      <c r="F12" s="12" t="n">
        <v>79.33713091314141</v>
      </c>
      <c r="G12" s="12" t="n">
        <v>9336.80749080364</v>
      </c>
      <c r="H12" s="12" t="n">
        <v>0.0</v>
      </c>
      <c r="I12" s="12"/>
      <c r="J12" s="12">
        <f t="shared" si="0"/>
        <v>11432.303465674639</v>
      </c>
      <c r="K12" s="13"/>
      <c r="L12" t="str">
        <f>$A$12</f>
        <v>Maury</v>
      </c>
      <c r="M12" s="380" t="n">
        <v>843.0</v>
      </c>
      <c r="N12" s="380" t="n">
        <v>163.0</v>
      </c>
      <c r="O12" s="380" t="n">
        <v>20.0</v>
      </c>
      <c r="P12" s="380" t="n">
        <v>8.0</v>
      </c>
      <c r="Q12" s="380" t="n">
        <v>565.0</v>
      </c>
      <c r="R12" s="380" t="n">
        <v>6475.0</v>
      </c>
      <c r="S12" s="380" t="n">
        <v>24.0</v>
      </c>
      <c r="T12" s="380"/>
      <c r="U12" s="12">
        <f t="shared" si="1"/>
        <v>9241</v>
      </c>
    </row>
    <row r="13" spans="1:21" x14ac:dyDescent="0.25">
      <c r="A13" t="s">
        <v>45</v>
      </c>
      <c r="B13" s="12" t="n">
        <v>0.0</v>
      </c>
      <c r="C13" s="12" t="n">
        <v>238.16954230684217</v>
      </c>
      <c r="D13" s="12" t="n">
        <v>0.0</v>
      </c>
      <c r="E13" s="12" t="n">
        <v>0.0</v>
      </c>
      <c r="F13" s="12" t="n">
        <v>3164.528913869705</v>
      </c>
      <c r="G13" s="12" t="n">
        <v>0.0</v>
      </c>
      <c r="H13" s="12" t="n">
        <v>10206.169023227027</v>
      </c>
      <c r="I13" s="12"/>
      <c r="J13" s="12">
        <f t="shared" si="0"/>
        <v>13608.867479403574</v>
      </c>
      <c r="K13" s="13"/>
      <c r="L13" t="str">
        <f>$A$13</f>
        <v>Wilson</v>
      </c>
      <c r="M13" s="380" t="n">
        <v>228.0</v>
      </c>
      <c r="N13" s="380" t="n">
        <v>837.0</v>
      </c>
      <c r="O13" s="380" t="n">
        <v>451.0</v>
      </c>
      <c r="P13" s="380" t="n">
        <v>44.0</v>
      </c>
      <c r="Q13" s="380" t="n">
        <v>3210.0</v>
      </c>
      <c r="R13" s="380" t="n">
        <v>27.0</v>
      </c>
      <c r="S13" s="380" t="n">
        <v>6990.0</v>
      </c>
      <c r="T13" s="380"/>
      <c r="U13" s="12">
        <f t="shared" si="1"/>
        <v>14000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2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27914.539137987122</v>
      </c>
      <c r="C15" s="15">
        <f t="shared" si="2"/>
        <v>28612.309181313987</v>
      </c>
      <c r="D15" s="15">
        <f t="shared" si="2"/>
        <v>18585.327496682217</v>
      </c>
      <c r="E15" s="15">
        <f t="shared" si="2"/>
        <v>7179.0348778781436</v>
      </c>
      <c r="F15" s="15">
        <f t="shared" si="2"/>
        <v>77296.418645151454</v>
      </c>
      <c r="G15" s="15">
        <f t="shared" si="2"/>
        <v>9336.8074908036397</v>
      </c>
      <c r="H15" s="15">
        <f t="shared" si="2"/>
        <v>10206.169023227027</v>
      </c>
      <c r="I15" s="15">
        <f t="shared" si="2"/>
        <v>0</v>
      </c>
      <c r="J15" s="15">
        <f t="shared" si="2"/>
        <v>179130.60585304355</v>
      </c>
      <c r="K15" s="12"/>
      <c r="L15" s="15" t="s">
        <v>4</v>
      </c>
      <c r="M15" s="15">
        <f t="shared" ref="M15:U15" si="3">SUM(M7:M14)</f>
        <v>22179</v>
      </c>
      <c r="N15" s="15">
        <f t="shared" si="3"/>
        <v>31639</v>
      </c>
      <c r="O15" s="15">
        <f t="shared" si="3"/>
        <v>18547</v>
      </c>
      <c r="P15" s="15">
        <f t="shared" si="3"/>
        <v>7223</v>
      </c>
      <c r="Q15" s="15">
        <f t="shared" si="3"/>
        <v>79167</v>
      </c>
      <c r="R15" s="15">
        <f t="shared" si="3"/>
        <v>9670</v>
      </c>
      <c r="S15" s="15">
        <f t="shared" si="3"/>
        <v>12051</v>
      </c>
      <c r="T15" s="15">
        <f t="shared" si="3"/>
        <v>0</v>
      </c>
      <c r="U15" s="15">
        <f t="shared" si="3"/>
        <v>180476</v>
      </c>
    </row>
    <row r="18" spans="1:32" ht="15.75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I20" si="4">($U7/$J7)*B7</f>
        <v>22446.818858944702</v>
      </c>
      <c r="C20" s="12">
        <f t="shared" si="4"/>
        <v>0</v>
      </c>
      <c r="D20" s="12">
        <f t="shared" si="4"/>
        <v>38.151741050245811</v>
      </c>
      <c r="E20" s="12">
        <f t="shared" si="4"/>
        <v>0</v>
      </c>
      <c r="F20" s="12">
        <f t="shared" si="4"/>
        <v>2783.0294000050535</v>
      </c>
      <c r="G20" s="12">
        <f t="shared" si="4"/>
        <v>0</v>
      </c>
      <c r="H20" s="12">
        <f t="shared" si="4"/>
        <v>0</v>
      </c>
      <c r="I20" s="12">
        <f t="shared" si="4"/>
        <v>0</v>
      </c>
      <c r="J20" s="12">
        <f>SUM(B20:I20)</f>
        <v>25268</v>
      </c>
      <c r="K20" s="12"/>
      <c r="L20" t="str">
        <f>$A$7</f>
        <v>Williamson</v>
      </c>
      <c r="M20" s="12">
        <f t="shared" ref="M20:M26" si="5">M7</f>
        <v>18550</v>
      </c>
      <c r="N20" s="12">
        <f t="shared" ref="N20:U20" si="6">N7</f>
        <v>623</v>
      </c>
      <c r="O20" s="12">
        <f t="shared" si="6"/>
        <v>8</v>
      </c>
      <c r="P20" s="12">
        <f t="shared" si="6"/>
        <v>1</v>
      </c>
      <c r="Q20" s="12">
        <f t="shared" si="6"/>
        <v>4957</v>
      </c>
      <c r="R20" s="12">
        <f t="shared" si="6"/>
        <v>1117</v>
      </c>
      <c r="S20" s="12">
        <f t="shared" si="6"/>
        <v>12</v>
      </c>
      <c r="T20" s="12"/>
      <c r="U20" s="12">
        <f t="shared" si="6"/>
        <v>25268</v>
      </c>
    </row>
    <row r="21" spans="1:32" x14ac:dyDescent="0.25">
      <c r="A21" t="str">
        <f>$A$8</f>
        <v>Rutherford</v>
      </c>
      <c r="B21" s="12">
        <f t="shared" ref="B21:G25" si="7">($U8/$J8)*B8</f>
        <v>168.7778174630125</v>
      </c>
      <c r="C21" s="12">
        <f t="shared" si="7"/>
        <v>30508.851947133735</v>
      </c>
      <c r="D21" s="12">
        <f t="shared" si="7"/>
        <v>0</v>
      </c>
      <c r="E21" s="12">
        <f t="shared" si="7"/>
        <v>0</v>
      </c>
      <c r="F21" s="12">
        <f t="shared" si="7"/>
        <v>1162.3702354032528</v>
      </c>
      <c r="G21" s="12">
        <f t="shared" si="7"/>
        <v>0</v>
      </c>
      <c r="H21" s="12">
        <f t="shared" ref="H21:I26" si="8">($U8/$J8)*H8</f>
        <v>0</v>
      </c>
      <c r="I21" s="12">
        <f>($U8/$J8)*I8</f>
        <v>0</v>
      </c>
      <c r="J21" s="12">
        <f t="shared" ref="J21:J27" si="9">SUM(B21:I21)</f>
        <v>31840</v>
      </c>
      <c r="K21" s="12"/>
      <c r="L21" t="str">
        <f>$A$8</f>
        <v>Rutherford</v>
      </c>
      <c r="M21" s="12">
        <f t="shared" si="5"/>
        <v>520</v>
      </c>
      <c r="N21" s="12">
        <f t="shared" ref="N21:R25" si="10">N8</f>
        <v>29101</v>
      </c>
      <c r="O21" s="12">
        <f t="shared" si="10"/>
        <v>3</v>
      </c>
      <c r="P21" s="12">
        <f t="shared" si="10"/>
        <v>0</v>
      </c>
      <c r="Q21" s="12">
        <f t="shared" si="10"/>
        <v>1945</v>
      </c>
      <c r="R21" s="12">
        <f t="shared" si="10"/>
        <v>13</v>
      </c>
      <c r="S21" s="12">
        <f t="shared" ref="S21" si="11">S8</f>
        <v>258</v>
      </c>
      <c r="T21" s="12"/>
      <c r="U21" s="12">
        <f t="shared" ref="U21:U26" si="12">U8</f>
        <v>31840</v>
      </c>
    </row>
    <row r="22" spans="1:32" x14ac:dyDescent="0.25">
      <c r="A22" t="str">
        <f>$A$9</f>
        <v>Sumner</v>
      </c>
      <c r="B22" s="12">
        <f t="shared" si="7"/>
        <v>17.398101473233616</v>
      </c>
      <c r="C22" s="12">
        <f t="shared" si="7"/>
        <v>0</v>
      </c>
      <c r="D22" s="12">
        <f t="shared" si="7"/>
        <v>18481.895070070441</v>
      </c>
      <c r="E22" s="12">
        <f t="shared" si="7"/>
        <v>196.38062090728209</v>
      </c>
      <c r="F22" s="12">
        <f t="shared" si="7"/>
        <v>908.32620754904485</v>
      </c>
      <c r="G22" s="12">
        <f t="shared" si="7"/>
        <v>0</v>
      </c>
      <c r="H22" s="12">
        <f t="shared" si="8"/>
        <v>0</v>
      </c>
      <c r="I22" s="12">
        <f>($U9/$J9)*I9</f>
        <v>0</v>
      </c>
      <c r="J22" s="12">
        <f t="shared" si="9"/>
        <v>19604.000000000004</v>
      </c>
      <c r="K22" s="13"/>
      <c r="L22" t="str">
        <f>$A$9</f>
        <v>Sumner</v>
      </c>
      <c r="M22" s="12">
        <f t="shared" si="5"/>
        <v>5</v>
      </c>
      <c r="N22" s="12">
        <f t="shared" si="10"/>
        <v>4</v>
      </c>
      <c r="O22" s="12">
        <f t="shared" si="10"/>
        <v>16224</v>
      </c>
      <c r="P22" s="12">
        <f t="shared" si="10"/>
        <v>855</v>
      </c>
      <c r="Q22" s="12">
        <f t="shared" si="10"/>
        <v>2329</v>
      </c>
      <c r="R22" s="12">
        <f t="shared" si="10"/>
        <v>0</v>
      </c>
      <c r="S22" s="12">
        <f t="shared" ref="S22" si="13">S9</f>
        <v>187</v>
      </c>
      <c r="T22" s="12"/>
      <c r="U22" s="12">
        <f t="shared" si="12"/>
        <v>19604</v>
      </c>
    </row>
    <row r="23" spans="1:32" x14ac:dyDescent="0.25">
      <c r="A23" t="str">
        <f>$A$10</f>
        <v>Roberston</v>
      </c>
      <c r="B23" s="12">
        <f t="shared" si="7"/>
        <v>197.94456330383667</v>
      </c>
      <c r="C23" s="12">
        <f t="shared" si="7"/>
        <v>0</v>
      </c>
      <c r="D23" s="12">
        <f t="shared" si="7"/>
        <v>563.20929375573689</v>
      </c>
      <c r="E23" s="12">
        <f t="shared" si="7"/>
        <v>6445.4408879961293</v>
      </c>
      <c r="F23" s="12">
        <f t="shared" si="7"/>
        <v>743.4052549442971</v>
      </c>
      <c r="G23" s="12">
        <f t="shared" si="7"/>
        <v>0</v>
      </c>
      <c r="H23" s="12">
        <f t="shared" si="8"/>
        <v>0</v>
      </c>
      <c r="I23" s="12">
        <f>($U10/$J10)*I10</f>
        <v>0</v>
      </c>
      <c r="J23" s="12">
        <f>SUM(B23:I23)</f>
        <v>7950</v>
      </c>
      <c r="K23" s="13"/>
      <c r="L23" t="str">
        <f>$A$10</f>
        <v>Roberston</v>
      </c>
      <c r="M23" s="12">
        <f t="shared" si="5"/>
        <v>2</v>
      </c>
      <c r="N23" s="12">
        <f t="shared" si="10"/>
        <v>0</v>
      </c>
      <c r="O23" s="12">
        <f t="shared" si="10"/>
        <v>1031</v>
      </c>
      <c r="P23" s="12">
        <f t="shared" si="10"/>
        <v>6150</v>
      </c>
      <c r="Q23" s="12">
        <f t="shared" si="10"/>
        <v>762</v>
      </c>
      <c r="R23" s="12">
        <f t="shared" si="10"/>
        <v>0</v>
      </c>
      <c r="S23" s="12">
        <f t="shared" ref="S23" si="14">S10</f>
        <v>5</v>
      </c>
      <c r="T23" s="12"/>
      <c r="U23" s="12">
        <f t="shared" si="12"/>
        <v>7950</v>
      </c>
    </row>
    <row r="24" spans="1:32" x14ac:dyDescent="0.25">
      <c r="A24" t="str">
        <f>$A$11</f>
        <v>Davidson</v>
      </c>
      <c r="B24" s="12">
        <f t="shared" si="7"/>
        <v>2244.9237073929753</v>
      </c>
      <c r="C24" s="12">
        <f t="shared" si="7"/>
        <v>256.94806392528693</v>
      </c>
      <c r="D24" s="12">
        <f t="shared" si="7"/>
        <v>548.16557172191847</v>
      </c>
      <c r="E24" s="12">
        <f t="shared" si="7"/>
        <v>0</v>
      </c>
      <c r="F24" s="12">
        <f t="shared" si="7"/>
        <v>69522.962656959819</v>
      </c>
      <c r="G24" s="12">
        <f t="shared" si="7"/>
        <v>0</v>
      </c>
      <c r="H24" s="12">
        <f t="shared" si="8"/>
        <v>0</v>
      </c>
      <c r="I24" s="12">
        <f>($U11/$J11)*I11</f>
        <v>0</v>
      </c>
      <c r="J24" s="12">
        <f t="shared" si="9"/>
        <v>72573</v>
      </c>
      <c r="K24" s="13"/>
      <c r="L24" t="str">
        <f>$A$11</f>
        <v>Davidson</v>
      </c>
      <c r="M24" s="12">
        <f t="shared" si="5"/>
        <v>2402</v>
      </c>
      <c r="N24" s="12">
        <f t="shared" si="10"/>
        <v>1347</v>
      </c>
      <c r="O24" s="12">
        <f t="shared" si="10"/>
        <v>906</v>
      </c>
      <c r="P24" s="12">
        <f t="shared" si="10"/>
        <v>213</v>
      </c>
      <c r="Q24" s="12">
        <f t="shared" si="10"/>
        <v>66638</v>
      </c>
      <c r="R24" s="12">
        <f t="shared" si="10"/>
        <v>4</v>
      </c>
      <c r="S24" s="12">
        <f t="shared" ref="S24" si="15">S11</f>
        <v>1063</v>
      </c>
      <c r="T24" s="12"/>
      <c r="U24" s="12">
        <f t="shared" si="12"/>
        <v>72573</v>
      </c>
    </row>
    <row r="25" spans="1:32" x14ac:dyDescent="0.25">
      <c r="A25" t="str">
        <f>$A$12</f>
        <v>Maury</v>
      </c>
      <c r="B25" s="12">
        <f t="shared" si="7"/>
        <v>1166.298606447835</v>
      </c>
      <c r="C25" s="12">
        <f t="shared" si="7"/>
        <v>463.41004613953766</v>
      </c>
      <c r="D25" s="12">
        <f t="shared" si="7"/>
        <v>0</v>
      </c>
      <c r="E25" s="12">
        <f t="shared" si="7"/>
        <v>0</v>
      </c>
      <c r="F25" s="12">
        <f t="shared" si="7"/>
        <v>64.130070459520908</v>
      </c>
      <c r="G25" s="12">
        <f t="shared" si="7"/>
        <v>7547.1612769531066</v>
      </c>
      <c r="H25" s="12">
        <f t="shared" si="8"/>
        <v>0</v>
      </c>
      <c r="I25" s="12">
        <f>($U12/$J12)*I12</f>
        <v>0</v>
      </c>
      <c r="J25" s="12">
        <f t="shared" si="9"/>
        <v>9241</v>
      </c>
      <c r="K25" s="13"/>
      <c r="L25" t="str">
        <f>$A$12</f>
        <v>Maury</v>
      </c>
      <c r="M25" s="12">
        <f t="shared" si="5"/>
        <v>682</v>
      </c>
      <c r="N25" s="12">
        <f t="shared" si="10"/>
        <v>9</v>
      </c>
      <c r="O25" s="12">
        <f t="shared" si="10"/>
        <v>0</v>
      </c>
      <c r="P25" s="12">
        <f t="shared" si="10"/>
        <v>0</v>
      </c>
      <c r="Q25" s="12">
        <f t="shared" si="10"/>
        <v>14</v>
      </c>
      <c r="R25" s="12">
        <f t="shared" si="10"/>
        <v>8536</v>
      </c>
      <c r="S25" s="12">
        <f t="shared" ref="S25:S26" si="16">S12</f>
        <v>0</v>
      </c>
      <c r="T25" s="12"/>
      <c r="U25" s="12">
        <f t="shared" si="12"/>
        <v>9241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t="shared" ref="C26:G26" si="17">($U13/$J13)*C13</f>
        <v>245.01477417883737</v>
      </c>
      <c r="D26" s="12">
        <f t="shared" si="17"/>
        <v>0</v>
      </c>
      <c r="E26" s="12">
        <f t="shared" si="17"/>
        <v>0</v>
      </c>
      <c r="F26" s="12">
        <f t="shared" si="17"/>
        <v>3255.4806534215381</v>
      </c>
      <c r="G26" s="12">
        <f t="shared" si="17"/>
        <v>0</v>
      </c>
      <c r="H26" s="12">
        <f t="shared" si="8"/>
        <v>10499.504572399623</v>
      </c>
      <c r="I26" s="12">
        <f t="shared" si="8"/>
        <v>0</v>
      </c>
      <c r="J26" s="12">
        <f t="shared" si="9"/>
        <v>13999.999999999998</v>
      </c>
      <c r="K26" s="13"/>
      <c r="L26" t="str">
        <f>$A$13</f>
        <v>Wilson</v>
      </c>
      <c r="M26" s="12">
        <f t="shared" si="5"/>
        <v>18</v>
      </c>
      <c r="N26" s="12">
        <f t="shared" ref="N26:R26" si="18">N13</f>
        <v>555</v>
      </c>
      <c r="O26" s="12">
        <f t="shared" si="18"/>
        <v>375</v>
      </c>
      <c r="P26" s="12">
        <f t="shared" si="18"/>
        <v>4</v>
      </c>
      <c r="Q26" s="12">
        <f t="shared" si="18"/>
        <v>2522</v>
      </c>
      <c r="R26" s="12">
        <f t="shared" si="18"/>
        <v>0</v>
      </c>
      <c r="S26" s="12">
        <f t="shared" si="16"/>
        <v>10526</v>
      </c>
      <c r="T26" s="12"/>
      <c r="U26" s="12">
        <f t="shared" si="12"/>
        <v>14000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2">
        <f t="shared" si="9"/>
        <v>0</v>
      </c>
      <c r="K27" s="12"/>
      <c r="L27" s="382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26242.161655025597</v>
      </c>
      <c r="C28" s="15">
        <f t="shared" si="19"/>
        <v>31474.2248313774</v>
      </c>
      <c r="D28" s="15">
        <f t="shared" si="19"/>
        <v>19631.42167659834</v>
      </c>
      <c r="E28" s="15">
        <f t="shared" si="19"/>
        <v>6641.8215089034111</v>
      </c>
      <c r="F28" s="15">
        <f t="shared" si="19"/>
        <v>78439.704478742511</v>
      </c>
      <c r="G28" s="15">
        <f t="shared" si="19"/>
        <v>7547.1612769531066</v>
      </c>
      <c r="H28" s="15">
        <f t="shared" si="19"/>
        <v>10499.504572399623</v>
      </c>
      <c r="I28" s="15">
        <f t="shared" si="19"/>
        <v>0</v>
      </c>
      <c r="J28" s="15">
        <f t="shared" si="19"/>
        <v>180476</v>
      </c>
      <c r="K28" s="12"/>
      <c r="L28" s="15" t="s">
        <v>4</v>
      </c>
      <c r="M28" s="15">
        <f t="shared" ref="M28:U28" si="20">M15</f>
        <v>22179</v>
      </c>
      <c r="N28" s="15">
        <f t="shared" si="20"/>
        <v>31639</v>
      </c>
      <c r="O28" s="15">
        <f t="shared" si="20"/>
        <v>18547</v>
      </c>
      <c r="P28" s="15">
        <f t="shared" si="20"/>
        <v>7223</v>
      </c>
      <c r="Q28" s="15">
        <f t="shared" si="20"/>
        <v>79167</v>
      </c>
      <c r="R28" s="15">
        <f t="shared" si="20"/>
        <v>9670</v>
      </c>
      <c r="S28" s="15">
        <f t="shared" si="20"/>
        <v>12051</v>
      </c>
      <c r="T28" s="15"/>
      <c r="U28" s="15">
        <f t="shared" si="20"/>
        <v>180476</v>
      </c>
    </row>
    <row r="31" spans="1:32" ht="15.75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J39" si="21">B20/$J$28</f>
        <v>0.12437564473361944</v>
      </c>
      <c r="C33" s="16">
        <f t="shared" si="21"/>
        <v>0</v>
      </c>
      <c r="D33" s="16">
        <f t="shared" si="21"/>
        <v>2.1139509436293917E-4</v>
      </c>
      <c r="E33" s="16">
        <f t="shared" si="21"/>
        <v>0</v>
      </c>
      <c r="F33" s="16">
        <f t="shared" si="21"/>
        <v>1.5420495800023568E-2</v>
      </c>
      <c r="G33" s="16">
        <f t="shared" si="21"/>
        <v>0</v>
      </c>
      <c r="H33" s="16">
        <f t="shared" si="21"/>
        <v>0</v>
      </c>
      <c r="I33" s="16">
        <f t="shared" ref="I33:J38" si="22">I20/$J$28</f>
        <v>0</v>
      </c>
      <c r="J33" s="16">
        <f t="shared" si="22"/>
        <v>0.14000753562800594</v>
      </c>
      <c r="K33" s="12"/>
      <c r="L33" t="str">
        <f>$A$7</f>
        <v>Williamson</v>
      </c>
      <c r="M33" s="16">
        <f t="shared" ref="M33:S33" si="23">M20/$U$28</f>
        <v>0.10278374963984131</v>
      </c>
      <c r="N33" s="16">
        <f t="shared" si="23"/>
        <v>3.4519825350739154E-3</v>
      </c>
      <c r="O33" s="16">
        <f t="shared" si="23"/>
        <v>4.4327223564352046E-5</v>
      </c>
      <c r="P33" s="16">
        <f t="shared" si="23"/>
        <v>5.5409029455440058E-6</v>
      </c>
      <c r="Q33" s="16">
        <f t="shared" si="23"/>
        <v>2.7466255901061637E-2</v>
      </c>
      <c r="R33" s="16">
        <f t="shared" si="23"/>
        <v>6.1891885901726547E-3</v>
      </c>
      <c r="S33" s="16">
        <f t="shared" si="23"/>
        <v>6.649083534652807E-5</v>
      </c>
      <c r="T33" s="16"/>
      <c r="U33" s="16">
        <f t="shared" ref="U33:U39" si="24">U20/$U$28</f>
        <v>0.14000753562800594</v>
      </c>
      <c r="W33" t="str">
        <f>$A$7</f>
        <v>Williamson</v>
      </c>
      <c r="X33" s="16">
        <f t="shared" ref="X33:AD33" si="25">M33-B33</f>
        <v>-2.1591895093778124E-2</v>
      </c>
      <c r="Y33" s="16">
        <f t="shared" si="25"/>
        <v>3.4519825350739154E-3</v>
      </c>
      <c r="Z33" s="16">
        <f t="shared" si="25"/>
        <v>-1.6706787079858712E-4</v>
      </c>
      <c r="AA33" s="16">
        <f t="shared" si="25"/>
        <v>5.5409029455440058E-6</v>
      </c>
      <c r="AB33" s="16">
        <f t="shared" si="25"/>
        <v>1.2045760101038069E-2</v>
      </c>
      <c r="AC33" s="16">
        <f t="shared" si="25"/>
        <v>6.1891885901726547E-3</v>
      </c>
      <c r="AD33" s="16">
        <f t="shared" si="25"/>
        <v>6.649083534652807E-5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si="21"/>
        <v>9.3518150592329446E-4</v>
      </c>
      <c r="C34" s="16">
        <f t="shared" si="21"/>
        <v>0.16904658761903929</v>
      </c>
      <c r="D34" s="16">
        <f t="shared" si="21"/>
        <v>0</v>
      </c>
      <c r="E34" s="16">
        <f t="shared" si="21"/>
        <v>0</v>
      </c>
      <c r="F34" s="16">
        <f t="shared" si="21"/>
        <v>6.4405806611585624E-3</v>
      </c>
      <c r="G34" s="16">
        <f t="shared" si="21"/>
        <v>0</v>
      </c>
      <c r="H34" s="16">
        <f t="shared" ref="H34" si="27">H21/$J$28</f>
        <v>0</v>
      </c>
      <c r="I34" s="16">
        <f t="shared" si="22"/>
        <v>0</v>
      </c>
      <c r="J34" s="16">
        <f t="shared" si="22"/>
        <v>0.17642234978612115</v>
      </c>
      <c r="K34" s="12"/>
      <c r="L34" t="str">
        <f>$A$8</f>
        <v>Rutherford</v>
      </c>
      <c r="M34" s="16">
        <f t="shared" ref="M34:R38" si="28">M21/$U$28</f>
        <v>2.8812695316828832E-3</v>
      </c>
      <c r="N34" s="16">
        <f t="shared" si="28"/>
        <v>0.16124581661827611</v>
      </c>
      <c r="O34" s="16">
        <f t="shared" si="28"/>
        <v>1.6622708836632017E-5</v>
      </c>
      <c r="P34" s="16">
        <f t="shared" si="28"/>
        <v>0</v>
      </c>
      <c r="Q34" s="16">
        <f t="shared" si="28"/>
        <v>1.0777056229083091E-2</v>
      </c>
      <c r="R34" s="16">
        <f t="shared" si="28"/>
        <v>7.2031738292072079E-5</v>
      </c>
      <c r="S34" s="16">
        <f t="shared" ref="S34:S39" si="29">S21/$U$28</f>
        <v>1.4295529599503535E-3</v>
      </c>
      <c r="T34" s="16"/>
      <c r="U34" s="16">
        <f t="shared" si="24"/>
        <v>0.17642234978612115</v>
      </c>
      <c r="W34" t="str">
        <f>$A$8</f>
        <v>Rutherford</v>
      </c>
      <c r="X34" s="16">
        <f t="shared" ref="X34:X39" si="30">M34-B34</f>
        <v>1.9460880257595888E-3</v>
      </c>
      <c r="Y34" s="16">
        <f t="shared" ref="Y34:AC38" si="31">N34-C34</f>
        <v>-7.8007710007631792E-3</v>
      </c>
      <c r="Z34" s="16">
        <f t="shared" si="31"/>
        <v>1.6622708836632017E-5</v>
      </c>
      <c r="AA34" s="16">
        <f t="shared" si="31"/>
        <v>0</v>
      </c>
      <c r="AB34" s="16">
        <f t="shared" si="31"/>
        <v>4.3364755679245288E-3</v>
      </c>
      <c r="AC34" s="16">
        <f t="shared" si="31"/>
        <v>7.2031738292072079E-5</v>
      </c>
      <c r="AD34" s="16">
        <f t="shared" ref="AD34:AD39" si="32">S34-H34</f>
        <v>1.4295529599503535E-3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1"/>
        <v>9.6401191699913648E-5</v>
      </c>
      <c r="C35" s="16">
        <f t="shared" si="21"/>
        <v>0</v>
      </c>
      <c r="D35" s="16">
        <f t="shared" si="21"/>
        <v>0.10240638683298854</v>
      </c>
      <c r="E35" s="16">
        <f t="shared" si="21"/>
        <v>1.0881259608329201E-3</v>
      </c>
      <c r="F35" s="16">
        <f t="shared" si="21"/>
        <v>5.0329473589233184E-3</v>
      </c>
      <c r="G35" s="16">
        <f t="shared" si="21"/>
        <v>0</v>
      </c>
      <c r="H35" s="16">
        <f t="shared" ref="H35" si="33">H22/$J$28</f>
        <v>0</v>
      </c>
      <c r="I35" s="16">
        <f t="shared" si="22"/>
        <v>0</v>
      </c>
      <c r="J35" s="16">
        <f t="shared" si="22"/>
        <v>0.10862386134444471</v>
      </c>
      <c r="K35" s="13"/>
      <c r="L35" t="str">
        <f>$A$9</f>
        <v>Sumner</v>
      </c>
      <c r="M35" s="16">
        <f t="shared" si="28"/>
        <v>2.7704514727720029E-5</v>
      </c>
      <c r="N35" s="16">
        <f t="shared" si="28"/>
        <v>2.2163611782176023E-5</v>
      </c>
      <c r="O35" s="16">
        <f t="shared" si="28"/>
        <v>8.9895609388505951E-2</v>
      </c>
      <c r="P35" s="16">
        <f t="shared" si="28"/>
        <v>4.7374720184401248E-3</v>
      </c>
      <c r="Q35" s="16">
        <f t="shared" si="28"/>
        <v>1.2904762960171989E-2</v>
      </c>
      <c r="R35" s="16">
        <f t="shared" si="28"/>
        <v>0</v>
      </c>
      <c r="S35" s="16">
        <f t="shared" si="29"/>
        <v>1.0361488508167291E-3</v>
      </c>
      <c r="T35" s="16"/>
      <c r="U35" s="16">
        <f t="shared" si="24"/>
        <v>0.1086238613444447</v>
      </c>
      <c r="W35" t="str">
        <f>$A$9</f>
        <v>Sumner</v>
      </c>
      <c r="X35" s="16">
        <f t="shared" si="30"/>
        <v>-6.8696676972193615E-5</v>
      </c>
      <c r="Y35" s="16">
        <f t="shared" si="31"/>
        <v>2.2163611782176023E-5</v>
      </c>
      <c r="Z35" s="16">
        <f t="shared" si="31"/>
        <v>-1.251077744448259E-2</v>
      </c>
      <c r="AA35" s="16">
        <f t="shared" si="31"/>
        <v>3.649346057607205E-3</v>
      </c>
      <c r="AB35" s="16">
        <f t="shared" si="31"/>
        <v>7.8718156012486697E-3</v>
      </c>
      <c r="AC35" s="16">
        <f t="shared" si="31"/>
        <v>0</v>
      </c>
      <c r="AD35" s="16">
        <f t="shared" si="32"/>
        <v>1.0361488508167291E-3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1"/>
        <v>1.0967916138646505E-3</v>
      </c>
      <c r="C36" s="16">
        <f t="shared" si="21"/>
        <v>0</v>
      </c>
      <c r="D36" s="16">
        <f t="shared" si="21"/>
        <v>3.1206880347289219E-3</v>
      </c>
      <c r="E36" s="16">
        <f t="shared" si="21"/>
        <v>3.5713562401627527E-2</v>
      </c>
      <c r="F36" s="16">
        <f t="shared" si="21"/>
        <v>4.1191363668537486E-3</v>
      </c>
      <c r="G36" s="16">
        <f t="shared" si="21"/>
        <v>0</v>
      </c>
      <c r="H36" s="16">
        <f t="shared" ref="H36" si="34">H23/$J$28</f>
        <v>0</v>
      </c>
      <c r="I36" s="16">
        <f t="shared" si="22"/>
        <v>0</v>
      </c>
      <c r="J36" s="16">
        <f t="shared" si="22"/>
        <v>4.4050178417074849E-2</v>
      </c>
      <c r="K36" s="13"/>
      <c r="L36" t="str">
        <f>$A$10</f>
        <v>Roberston</v>
      </c>
      <c r="M36" s="16">
        <f t="shared" si="28"/>
        <v>1.1081805891088012E-5</v>
      </c>
      <c r="N36" s="16">
        <f t="shared" si="28"/>
        <v>0</v>
      </c>
      <c r="O36" s="16">
        <f t="shared" si="28"/>
        <v>5.7126709368558702E-3</v>
      </c>
      <c r="P36" s="16">
        <f t="shared" si="28"/>
        <v>3.4076553115095637E-2</v>
      </c>
      <c r="Q36" s="16">
        <f t="shared" si="28"/>
        <v>4.2221680445045321E-3</v>
      </c>
      <c r="R36" s="16">
        <f t="shared" si="28"/>
        <v>0</v>
      </c>
      <c r="S36" s="16">
        <f t="shared" si="29"/>
        <v>2.7704514727720029E-5</v>
      </c>
      <c r="T36" s="16"/>
      <c r="U36" s="16">
        <f t="shared" si="24"/>
        <v>4.4050178417074849E-2</v>
      </c>
      <c r="W36" t="str">
        <f>$A$10</f>
        <v>Roberston</v>
      </c>
      <c r="X36" s="16">
        <f t="shared" si="30"/>
        <v>-1.0857098079735624E-3</v>
      </c>
      <c r="Y36" s="16">
        <f t="shared" si="31"/>
        <v>0</v>
      </c>
      <c r="Z36" s="16">
        <f t="shared" si="31"/>
        <v>2.5919829021269483E-3</v>
      </c>
      <c r="AA36" s="16">
        <f t="shared" si="31"/>
        <v>-1.6370092865318903E-3</v>
      </c>
      <c r="AB36" s="16">
        <f t="shared" si="31"/>
        <v>1.0303167765078353E-4</v>
      </c>
      <c r="AC36" s="16">
        <f t="shared" si="31"/>
        <v>0</v>
      </c>
      <c r="AD36" s="16">
        <f t="shared" si="32"/>
        <v>2.7704514727720029E-5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1"/>
        <v>1.2438904382815306E-2</v>
      </c>
      <c r="C37" s="16">
        <f t="shared" si="21"/>
        <v>1.4237242842554518E-3</v>
      </c>
      <c r="D37" s="16">
        <f t="shared" si="21"/>
        <v>3.037332230999792E-3</v>
      </c>
      <c r="E37" s="16">
        <f t="shared" si="21"/>
        <v>0</v>
      </c>
      <c r="F37" s="16">
        <f t="shared" si="21"/>
        <v>0.38521998856889456</v>
      </c>
      <c r="G37" s="16">
        <f t="shared" si="21"/>
        <v>0</v>
      </c>
      <c r="H37" s="16">
        <f t="shared" ref="H37" si="35">H24/$J$28</f>
        <v>0</v>
      </c>
      <c r="I37" s="16">
        <f t="shared" si="22"/>
        <v>0</v>
      </c>
      <c r="J37" s="16">
        <f t="shared" si="22"/>
        <v>0.40211994946696511</v>
      </c>
      <c r="K37" s="13"/>
      <c r="L37" t="str">
        <f>$A$11</f>
        <v>Davidson</v>
      </c>
      <c r="M37" s="16">
        <f t="shared" si="28"/>
        <v>1.3309248875196703E-2</v>
      </c>
      <c r="N37" s="16">
        <f t="shared" si="28"/>
        <v>7.4635962676477758E-3</v>
      </c>
      <c r="O37" s="16">
        <f t="shared" si="28"/>
        <v>5.0200580686628696E-3</v>
      </c>
      <c r="P37" s="16">
        <f t="shared" si="28"/>
        <v>1.1802123274008733E-3</v>
      </c>
      <c r="Q37" s="16">
        <f t="shared" si="28"/>
        <v>0.36923469048516144</v>
      </c>
      <c r="R37" s="16">
        <f t="shared" si="28"/>
        <v>2.2163611782176023E-5</v>
      </c>
      <c r="S37" s="16">
        <f t="shared" si="29"/>
        <v>5.8899798311132781E-3</v>
      </c>
      <c r="T37" s="16"/>
      <c r="U37" s="16">
        <f t="shared" si="24"/>
        <v>0.40211994946696511</v>
      </c>
      <c r="W37" t="str">
        <f>$A$11</f>
        <v>Davidson</v>
      </c>
      <c r="X37" s="16">
        <f t="shared" si="30"/>
        <v>8.703444923813964E-4</v>
      </c>
      <c r="Y37" s="16">
        <f t="shared" si="31"/>
        <v>6.0398719833923238E-3</v>
      </c>
      <c r="Z37" s="16">
        <f t="shared" si="31"/>
        <v>1.9827258376630776E-3</v>
      </c>
      <c r="AA37" s="16">
        <f t="shared" si="31"/>
        <v>1.1802123274008733E-3</v>
      </c>
      <c r="AB37" s="16">
        <f t="shared" si="31"/>
        <v>-1.5985298083733113E-2</v>
      </c>
      <c r="AC37" s="16">
        <f t="shared" si="31"/>
        <v>2.2163611782176023E-5</v>
      </c>
      <c r="AD37" s="16">
        <f t="shared" si="32"/>
        <v>5.8899798311132781E-3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1"/>
        <v>6.462347383850678E-3</v>
      </c>
      <c r="C38" s="16">
        <f t="shared" si="21"/>
        <v>2.5677100896492481E-3</v>
      </c>
      <c r="D38" s="16">
        <f t="shared" si="21"/>
        <v>0</v>
      </c>
      <c r="E38" s="16">
        <f t="shared" si="21"/>
        <v>0</v>
      </c>
      <c r="F38" s="16">
        <f t="shared" si="21"/>
        <v>3.5533849630710405E-4</v>
      </c>
      <c r="G38" s="16">
        <f t="shared" si="21"/>
        <v>4.1818088149965127E-2</v>
      </c>
      <c r="H38" s="16">
        <f t="shared" ref="H38" si="36">H25/$J$28</f>
        <v>0</v>
      </c>
      <c r="I38" s="16">
        <f t="shared" si="22"/>
        <v>0</v>
      </c>
      <c r="J38" s="16">
        <f t="shared" si="22"/>
        <v>5.1203484119772158E-2</v>
      </c>
      <c r="K38" s="13"/>
      <c r="L38" t="str">
        <f>$A$12</f>
        <v>Maury</v>
      </c>
      <c r="M38" s="16">
        <f t="shared" si="28"/>
        <v>3.778895808861012E-3</v>
      </c>
      <c r="N38" s="16">
        <f t="shared" si="28"/>
        <v>4.9868126509896056E-5</v>
      </c>
      <c r="O38" s="16">
        <f t="shared" si="28"/>
        <v>0</v>
      </c>
      <c r="P38" s="16">
        <f t="shared" si="28"/>
        <v>0</v>
      </c>
      <c r="Q38" s="16">
        <f t="shared" si="28"/>
        <v>7.7572641237616088E-5</v>
      </c>
      <c r="R38" s="16">
        <f t="shared" si="28"/>
        <v>4.7297147543163637E-2</v>
      </c>
      <c r="S38" s="16">
        <f t="shared" si="29"/>
        <v>0</v>
      </c>
      <c r="T38" s="16"/>
      <c r="U38" s="16">
        <f t="shared" si="24"/>
        <v>5.1203484119772158E-2</v>
      </c>
      <c r="W38" t="str">
        <f>$A$12</f>
        <v>Maury</v>
      </c>
      <c r="X38" s="16">
        <f t="shared" si="30"/>
        <v>-2.683451574989666E-3</v>
      </c>
      <c r="Y38" s="16">
        <f t="shared" si="31"/>
        <v>-2.517841963139352E-3</v>
      </c>
      <c r="Z38" s="16">
        <f t="shared" si="31"/>
        <v>0</v>
      </c>
      <c r="AA38" s="16">
        <f t="shared" si="31"/>
        <v>0</v>
      </c>
      <c r="AB38" s="16">
        <f t="shared" si="31"/>
        <v>-2.7776585506948795E-4</v>
      </c>
      <c r="AC38" s="16">
        <f t="shared" si="31"/>
        <v>5.4790593931985099E-3</v>
      </c>
      <c r="AD38" s="16">
        <f t="shared" si="32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 t="shared" si="21"/>
        <v>0</v>
      </c>
      <c r="C39" s="16">
        <f t="shared" si="21"/>
        <v>1.3576030839493195E-3</v>
      </c>
      <c r="D39" s="16">
        <f t="shared" si="21"/>
        <v>0</v>
      </c>
      <c r="E39" s="16">
        <f t="shared" si="21"/>
        <v>0</v>
      </c>
      <c r="F39" s="16">
        <f t="shared" si="21"/>
        <v>1.8038302341704924E-2</v>
      </c>
      <c r="G39" s="16">
        <f t="shared" si="21"/>
        <v>0</v>
      </c>
      <c r="H39" s="16">
        <f t="shared" si="21"/>
        <v>5.8176735811961824E-2</v>
      </c>
      <c r="I39" s="16">
        <f t="shared" si="21"/>
        <v>0</v>
      </c>
      <c r="J39" s="16">
        <f t="shared" si="21"/>
        <v>7.7572641237616077E-2</v>
      </c>
      <c r="K39" s="13"/>
      <c r="L39" t="str">
        <f>$A$13</f>
        <v>Wilson</v>
      </c>
      <c r="M39" s="16">
        <f>M26/$U$28</f>
        <v>9.9736253019792111E-5</v>
      </c>
      <c r="N39" s="16">
        <f t="shared" ref="N39:R39" si="37">N26/$U$28</f>
        <v>3.0752011347769232E-3</v>
      </c>
      <c r="O39" s="16">
        <f t="shared" si="37"/>
        <v>2.0778386045790021E-3</v>
      </c>
      <c r="P39" s="16">
        <f t="shared" si="37"/>
        <v>2.2163611782176023E-5</v>
      </c>
      <c r="Q39" s="16">
        <f t="shared" si="37"/>
        <v>1.3974157228661983E-2</v>
      </c>
      <c r="R39" s="16">
        <f t="shared" si="37"/>
        <v>0</v>
      </c>
      <c r="S39" s="16">
        <f t="shared" si="29"/>
        <v>5.8323544404796208E-2</v>
      </c>
      <c r="T39" s="16"/>
      <c r="U39" s="16">
        <f t="shared" si="24"/>
        <v>7.7572641237616077E-2</v>
      </c>
      <c r="W39" t="str">
        <f>$A$13</f>
        <v>Wilson</v>
      </c>
      <c r="X39" s="16">
        <f t="shared" si="30"/>
        <v>9.9736253019792111E-5</v>
      </c>
      <c r="Y39" s="16">
        <f t="shared" ref="Y39" si="38">N39-C39</f>
        <v>1.7175980508276037E-3</v>
      </c>
      <c r="Z39" s="16">
        <f t="shared" ref="Z39" si="39">O39-D39</f>
        <v>2.0778386045790021E-3</v>
      </c>
      <c r="AA39" s="16">
        <f t="shared" ref="AA39" si="40">P39-E39</f>
        <v>2.2163611782176023E-5</v>
      </c>
      <c r="AB39" s="16">
        <f t="shared" ref="AB39" si="41">Q39-F39</f>
        <v>-4.0641451130429412E-3</v>
      </c>
      <c r="AC39" s="16">
        <f t="shared" ref="AC39" si="42">R39-G39</f>
        <v>0</v>
      </c>
      <c r="AD39" s="16">
        <f t="shared" si="32"/>
        <v>1.4680859283438402E-4</v>
      </c>
      <c r="AE39" s="16"/>
      <c r="AF39" s="16">
        <f t="shared" si="26"/>
        <v>0</v>
      </c>
    </row>
    <row r="40" spans="1:32" x14ac:dyDescent="0.25">
      <c r="A40" s="7" t="s">
        <v>17</v>
      </c>
      <c r="B40" s="17">
        <f t="shared" ref="B40:H41" si="43">B27/$J$28</f>
        <v>0</v>
      </c>
      <c r="C40" s="17">
        <f t="shared" si="43"/>
        <v>0</v>
      </c>
      <c r="D40" s="17">
        <f t="shared" si="43"/>
        <v>0</v>
      </c>
      <c r="E40" s="17">
        <f t="shared" si="43"/>
        <v>0</v>
      </c>
      <c r="F40" s="17">
        <f t="shared" si="43"/>
        <v>0</v>
      </c>
      <c r="G40" s="17">
        <f t="shared" si="43"/>
        <v>0</v>
      </c>
      <c r="H40" s="16">
        <f t="shared" si="43"/>
        <v>0</v>
      </c>
      <c r="I40" s="17">
        <f>I27/$J$28</f>
        <v>0</v>
      </c>
      <c r="J40" s="17">
        <f>J27/$J$28</f>
        <v>0</v>
      </c>
      <c r="K40" s="12"/>
      <c r="L40" s="382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2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si="43"/>
        <v>0.14540527081177329</v>
      </c>
      <c r="C41" s="18">
        <f t="shared" si="43"/>
        <v>0.17439562507689332</v>
      </c>
      <c r="D41" s="18">
        <f t="shared" si="43"/>
        <v>0.1087758021930802</v>
      </c>
      <c r="E41" s="18">
        <f t="shared" si="43"/>
        <v>3.6801688362460443E-2</v>
      </c>
      <c r="F41" s="18">
        <f t="shared" si="43"/>
        <v>0.43462678959386575</v>
      </c>
      <c r="G41" s="18">
        <f t="shared" si="43"/>
        <v>4.1818088149965127E-2</v>
      </c>
      <c r="H41" s="18">
        <f t="shared" si="43"/>
        <v>5.8176735811961824E-2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0.12289168642922051</v>
      </c>
      <c r="N41" s="18">
        <f>N28/$U$28</f>
        <v>0.17530862829406679</v>
      </c>
      <c r="O41" s="18">
        <f>O28/$U$28</f>
        <v>0.10276712693100468</v>
      </c>
      <c r="P41" s="18">
        <f>P28/$U$28</f>
        <v>4.0021941975664353E-2</v>
      </c>
      <c r="Q41" s="18">
        <f t="shared" ref="Q41:S41" si="44">Q28/$U$28</f>
        <v>0.4386566634898823</v>
      </c>
      <c r="R41" s="18">
        <f t="shared" si="44"/>
        <v>5.3580531483410535E-2</v>
      </c>
      <c r="S41" s="18">
        <f t="shared" si="44"/>
        <v>6.6773421396750812E-2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5">M41-B41</f>
        <v>-2.2513584382552784E-2</v>
      </c>
      <c r="Y41" s="18">
        <f t="shared" si="45"/>
        <v>9.1300321717346922E-4</v>
      </c>
      <c r="Z41" s="18">
        <f t="shared" si="45"/>
        <v>-6.0086752620755191E-3</v>
      </c>
      <c r="AA41" s="18">
        <f t="shared" si="45"/>
        <v>3.2202536132039106E-3</v>
      </c>
      <c r="AB41" s="18">
        <f t="shared" si="45"/>
        <v>4.0298738960165559E-3</v>
      </c>
      <c r="AC41" s="18">
        <f t="shared" si="45"/>
        <v>1.1762443333445408E-2</v>
      </c>
      <c r="AD41" s="18">
        <f t="shared" si="45"/>
        <v>8.5966855847889878E-3</v>
      </c>
      <c r="AE41" s="18">
        <f t="shared" si="45"/>
        <v>0</v>
      </c>
      <c r="AF41" s="18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35</v>
      </c>
    </row>
    <row r="3" spans="1:3" x14ac:dyDescent="0.25">
      <c r="B3" t="s">
        <v>24</v>
      </c>
      <c r="C3" t="s">
        <v>28</v>
      </c>
    </row>
    <row r="4" spans="1:3" x14ac:dyDescent="0.25">
      <c r="B4" t="s">
        <v>25</v>
      </c>
      <c r="C4" t="s">
        <v>29</v>
      </c>
    </row>
    <row r="5" spans="1:3" x14ac:dyDescent="0.25">
      <c r="B5" t="s">
        <v>26</v>
      </c>
      <c r="C5" t="s">
        <v>30</v>
      </c>
    </row>
    <row r="6" spans="1:3" x14ac:dyDescent="0.25">
      <c r="B6" t="s">
        <v>27</v>
      </c>
      <c r="C6" t="s">
        <v>31</v>
      </c>
    </row>
    <row r="8" spans="1:3" x14ac:dyDescent="0.25">
      <c r="A8">
        <v>2</v>
      </c>
      <c r="B8" t="s">
        <v>32</v>
      </c>
    </row>
    <row r="10" spans="1:3" x14ac:dyDescent="0.25">
      <c r="A10">
        <v>3</v>
      </c>
      <c r="B10" t="s">
        <v>36</v>
      </c>
    </row>
    <row r="12" spans="1:3" x14ac:dyDescent="0.25">
      <c r="A12">
        <v>4</v>
      </c>
      <c r="B12" t="s">
        <v>37</v>
      </c>
    </row>
    <row r="14" spans="1:3" x14ac:dyDescent="0.25">
      <c r="A14">
        <v>5</v>
      </c>
      <c r="B14" t="s">
        <v>33</v>
      </c>
    </row>
    <row r="15" spans="1:3" x14ac:dyDescent="0.25">
      <c r="B15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2015-04-23T04:51:27Z</dcterms:modified>
</cp:coreProperties>
</file>