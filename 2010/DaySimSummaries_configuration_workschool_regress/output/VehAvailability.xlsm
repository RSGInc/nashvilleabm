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25230" windowHeight="6180" activeTab="2"/>
  </bookViews>
  <sheets>
    <sheet name="Vehicles_by_County" sheetId="5" r:id="rId1"/>
    <sheet name="Vehicles_by_Income" sheetId="4" r:id="rId2"/>
    <sheet name="Vehicles_by_HHDrivers" sheetId="1" r:id="rId3"/>
    <sheet name="Coeff" sheetId="6" r:id="rId4"/>
    <sheet name="VehAvailCoefficient" sheetId="7" r:id="rId5"/>
    <sheet name="calibration" sheetId="8" r:id="rId6"/>
  </sheets>
  <definedNames>
    <definedName name="county">Vehicles_by_County!$R$6:$V$11</definedName>
    <definedName name="drivers">Vehicles_by_HHDrivers!$R$6:$V$9</definedName>
    <definedName name="income">Vehicles_by_Income!$R$6:$V$9</definedName>
    <definedName name="out1">Vehicles_by_County!$B$6:$F$12</definedName>
    <definedName name="out3">Vehicles_by_Income!$B$6:$F$9</definedName>
    <definedName name="out5">Vehicles_by_HHDrivers!$B$6:$F$9</definedName>
    <definedName name="out2">Vehicles_by_County!$R$6:$V$12</definedName>
    <definedName name="out4">Vehicles_by_Income!$R$6:$V$9</definedName>
    <definedName name="out6">Vehicles_by_HHDrivers!$R$6:$V$9</definedName>
  </definedNames>
  <calcPr calcId="145621"/>
</workbook>
</file>

<file path=xl/calcChain.xml><?xml version="1.0" encoding="utf-8"?>
<calcChain xmlns="http://schemas.openxmlformats.org/spreadsheetml/2006/main">
  <c r="Z4" i="8" l="1"/>
  <c r="S7" i="8" s="1"/>
  <c r="Z5" i="8"/>
  <c r="S8" i="8" s="1"/>
  <c r="Z6" i="8"/>
  <c r="S9" i="8" s="1"/>
  <c r="Z7" i="8"/>
  <c r="S10" i="8" s="1"/>
  <c r="Z8" i="8"/>
  <c r="S11" i="8" s="1"/>
  <c r="Z9" i="8"/>
  <c r="S12" i="8" s="1"/>
  <c r="Z10" i="8"/>
  <c r="S13" i="8" s="1"/>
  <c r="Z11" i="8"/>
  <c r="S14" i="8" s="1"/>
  <c r="Z12" i="8"/>
  <c r="S15" i="8" s="1"/>
  <c r="Z13" i="8"/>
  <c r="S16" i="8" s="1"/>
  <c r="Z14" i="8"/>
  <c r="S17" i="8" s="1"/>
  <c r="Z15" i="8"/>
  <c r="S18" i="8" s="1"/>
  <c r="Z16" i="8"/>
  <c r="S19" i="8" s="1"/>
  <c r="Z17" i="8"/>
  <c r="S20" i="8" s="1"/>
  <c r="Z18" i="8"/>
  <c r="S21" i="8" s="1"/>
  <c r="Z19" i="8"/>
  <c r="S22" i="8" s="1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3" i="8"/>
  <c r="S6" i="8" s="1"/>
  <c r="O6" i="5" l="1"/>
  <c r="A39" i="5" l="1"/>
  <c r="A38" i="5"/>
  <c r="A37" i="5"/>
  <c r="A36" i="5"/>
  <c r="A35" i="5"/>
  <c r="A34" i="5"/>
  <c r="A33" i="5"/>
  <c r="A32" i="5"/>
  <c r="A26" i="5"/>
  <c r="A25" i="5"/>
  <c r="A24" i="5"/>
  <c r="A23" i="5"/>
  <c r="A22" i="5"/>
  <c r="A21" i="5"/>
  <c r="A20" i="5"/>
  <c r="A19" i="5"/>
  <c r="AG26" i="5"/>
  <c r="AG25" i="5"/>
  <c r="AG24" i="5"/>
  <c r="AG23" i="5"/>
  <c r="AG22" i="5"/>
  <c r="AG21" i="5"/>
  <c r="AG20" i="5"/>
  <c r="AG19" i="5"/>
  <c r="Y26" i="5"/>
  <c r="Y25" i="5"/>
  <c r="Y24" i="5"/>
  <c r="Y23" i="5"/>
  <c r="Y22" i="5"/>
  <c r="Y21" i="5"/>
  <c r="Y20" i="5"/>
  <c r="Y19" i="5"/>
  <c r="Q52" i="5"/>
  <c r="Q51" i="5"/>
  <c r="Q50" i="5"/>
  <c r="Q49" i="5"/>
  <c r="Q48" i="5"/>
  <c r="Q47" i="5"/>
  <c r="Q46" i="5"/>
  <c r="Q45" i="5"/>
  <c r="Q39" i="5"/>
  <c r="Q38" i="5"/>
  <c r="Q37" i="5"/>
  <c r="Q36" i="5"/>
  <c r="Q35" i="5"/>
  <c r="Q34" i="5"/>
  <c r="Q33" i="5"/>
  <c r="Q32" i="5"/>
  <c r="Q26" i="5"/>
  <c r="Q25" i="5"/>
  <c r="Q24" i="5"/>
  <c r="Q23" i="5"/>
  <c r="Q22" i="5"/>
  <c r="Q21" i="5"/>
  <c r="Q20" i="5"/>
  <c r="Q19" i="5"/>
  <c r="Q13" i="5"/>
  <c r="Q12" i="5"/>
  <c r="Q11" i="5"/>
  <c r="Q10" i="5"/>
  <c r="Q9" i="5"/>
  <c r="Q8" i="5"/>
  <c r="Q7" i="5"/>
  <c r="Q6" i="5"/>
  <c r="I39" i="5"/>
  <c r="I38" i="5"/>
  <c r="I37" i="5"/>
  <c r="I36" i="5"/>
  <c r="I35" i="5"/>
  <c r="I34" i="5"/>
  <c r="I33" i="5"/>
  <c r="I32" i="5"/>
  <c r="I26" i="5"/>
  <c r="I25" i="5"/>
  <c r="I24" i="5"/>
  <c r="I23" i="5"/>
  <c r="I22" i="5"/>
  <c r="I21" i="5"/>
  <c r="I20" i="5"/>
  <c r="I19" i="5"/>
  <c r="O12" i="5"/>
  <c r="K13" i="5"/>
  <c r="L13" i="5"/>
  <c r="M13" i="5"/>
  <c r="N13" i="5"/>
  <c r="J13" i="5"/>
  <c r="I13" i="5"/>
  <c r="G12" i="5"/>
  <c r="C13" i="5"/>
  <c r="D13" i="5"/>
  <c r="E13" i="5"/>
  <c r="F13" i="5"/>
  <c r="B13" i="5"/>
  <c r="W12" i="5"/>
  <c r="S25" i="5"/>
  <c r="T25" i="5"/>
  <c r="U25" i="5"/>
  <c r="V25" i="5"/>
  <c r="R25" i="5"/>
  <c r="S13" i="5"/>
  <c r="T13" i="5"/>
  <c r="U13" i="5"/>
  <c r="V13" i="5"/>
  <c r="R13" i="5"/>
  <c r="W25" i="5" l="1"/>
  <c r="Q62" i="5"/>
  <c r="Q61" i="5"/>
  <c r="Q60" i="5"/>
  <c r="Q59" i="5"/>
  <c r="Q58" i="5"/>
  <c r="Q57" i="5"/>
  <c r="I62" i="5"/>
  <c r="I61" i="5"/>
  <c r="I60" i="5"/>
  <c r="I59" i="5"/>
  <c r="I58" i="5"/>
  <c r="I57" i="5"/>
  <c r="A62" i="5"/>
  <c r="A61" i="5"/>
  <c r="A60" i="5"/>
  <c r="A59" i="5"/>
  <c r="A58" i="5"/>
  <c r="A57" i="5"/>
  <c r="I12" i="5"/>
  <c r="I11" i="5"/>
  <c r="I10" i="5"/>
  <c r="I9" i="5"/>
  <c r="I8" i="5"/>
  <c r="I7" i="5"/>
  <c r="I6" i="5"/>
  <c r="O7" i="5" l="1"/>
  <c r="O8" i="5"/>
  <c r="O9" i="5"/>
  <c r="O10" i="5"/>
  <c r="O11" i="5"/>
  <c r="O13" i="5" l="1"/>
  <c r="W8" i="5"/>
  <c r="W9" i="5"/>
  <c r="W10" i="5"/>
  <c r="G8" i="5"/>
  <c r="G9" i="5"/>
  <c r="G10" i="5"/>
  <c r="V23" i="5" l="1"/>
  <c r="U23" i="5"/>
  <c r="T23" i="5"/>
  <c r="S23" i="5"/>
  <c r="R23" i="5"/>
  <c r="V22" i="5"/>
  <c r="U22" i="5"/>
  <c r="T22" i="5"/>
  <c r="S22" i="5"/>
  <c r="R22" i="5"/>
  <c r="V21" i="5"/>
  <c r="U21" i="5"/>
  <c r="T21" i="5"/>
  <c r="S21" i="5"/>
  <c r="R21" i="5"/>
  <c r="O23" i="5"/>
  <c r="N23" i="5"/>
  <c r="M23" i="5"/>
  <c r="L23" i="5"/>
  <c r="K23" i="5"/>
  <c r="J23" i="5"/>
  <c r="O22" i="5"/>
  <c r="N22" i="5"/>
  <c r="M22" i="5"/>
  <c r="L22" i="5"/>
  <c r="K22" i="5"/>
  <c r="J22" i="5"/>
  <c r="O21" i="5"/>
  <c r="N21" i="5"/>
  <c r="M21" i="5"/>
  <c r="L21" i="5"/>
  <c r="K21" i="5"/>
  <c r="J21" i="5"/>
  <c r="G23" i="5"/>
  <c r="AM23" i="5" s="1"/>
  <c r="G22" i="5"/>
  <c r="AM22" i="5" s="1"/>
  <c r="G21" i="5"/>
  <c r="AM21" i="5" s="1"/>
  <c r="F23" i="5"/>
  <c r="AL23" i="5" s="1"/>
  <c r="E23" i="5"/>
  <c r="AK23" i="5" s="1"/>
  <c r="D23" i="5"/>
  <c r="AJ23" i="5" s="1"/>
  <c r="C23" i="5"/>
  <c r="AI23" i="5" s="1"/>
  <c r="B23" i="5"/>
  <c r="AH23" i="5" s="1"/>
  <c r="F22" i="5"/>
  <c r="AL22" i="5" s="1"/>
  <c r="E22" i="5"/>
  <c r="AK22" i="5" s="1"/>
  <c r="D22" i="5"/>
  <c r="AJ22" i="5" s="1"/>
  <c r="C22" i="5"/>
  <c r="AI22" i="5" s="1"/>
  <c r="B22" i="5"/>
  <c r="AH22" i="5" s="1"/>
  <c r="F21" i="5"/>
  <c r="AL21" i="5" s="1"/>
  <c r="E21" i="5"/>
  <c r="AK21" i="5" s="1"/>
  <c r="D21" i="5"/>
  <c r="AJ21" i="5" s="1"/>
  <c r="C21" i="5"/>
  <c r="AI21" i="5" s="1"/>
  <c r="B21" i="5"/>
  <c r="AH21" i="5" s="1"/>
  <c r="R19" i="5"/>
  <c r="S19" i="5"/>
  <c r="T19" i="5"/>
  <c r="U19" i="5"/>
  <c r="V19" i="5"/>
  <c r="R20" i="5"/>
  <c r="S20" i="5"/>
  <c r="T20" i="5"/>
  <c r="U20" i="5"/>
  <c r="V20" i="5"/>
  <c r="R24" i="5"/>
  <c r="S24" i="5"/>
  <c r="T24" i="5"/>
  <c r="U24" i="5"/>
  <c r="V24" i="5"/>
  <c r="G6" i="4"/>
  <c r="W6" i="4"/>
  <c r="G7" i="4"/>
  <c r="W7" i="4"/>
  <c r="G8" i="4"/>
  <c r="W8" i="4"/>
  <c r="G9" i="4"/>
  <c r="W9" i="4"/>
  <c r="B10" i="4"/>
  <c r="C10" i="4"/>
  <c r="D10" i="4"/>
  <c r="E10" i="4"/>
  <c r="F10" i="4"/>
  <c r="R10" i="4"/>
  <c r="S10" i="4"/>
  <c r="T10" i="4"/>
  <c r="U10" i="4"/>
  <c r="V10" i="4"/>
  <c r="R17" i="1"/>
  <c r="J7" i="8" s="1"/>
  <c r="S17" i="1"/>
  <c r="K7" i="8" s="1"/>
  <c r="T17" i="1"/>
  <c r="L7" i="8" s="1"/>
  <c r="U17" i="1"/>
  <c r="M7" i="8" s="1"/>
  <c r="V17" i="1"/>
  <c r="N7" i="8" s="1"/>
  <c r="R18" i="1"/>
  <c r="J8" i="8" s="1"/>
  <c r="S18" i="1"/>
  <c r="K8" i="8" s="1"/>
  <c r="T18" i="1"/>
  <c r="L8" i="8" s="1"/>
  <c r="U18" i="1"/>
  <c r="M8" i="8" s="1"/>
  <c r="V18" i="1"/>
  <c r="N8" i="8" s="1"/>
  <c r="R19" i="1"/>
  <c r="J9" i="8" s="1"/>
  <c r="S19" i="1"/>
  <c r="K9" i="8" s="1"/>
  <c r="T19" i="1"/>
  <c r="L9" i="8" s="1"/>
  <c r="U19" i="1"/>
  <c r="M9" i="8" s="1"/>
  <c r="V19" i="1"/>
  <c r="N9" i="8" s="1"/>
  <c r="S16" i="1"/>
  <c r="K6" i="8" s="1"/>
  <c r="T16" i="1"/>
  <c r="L6" i="8" s="1"/>
  <c r="U16" i="1"/>
  <c r="M6" i="8" s="1"/>
  <c r="V16" i="1"/>
  <c r="N6" i="8" s="1"/>
  <c r="R16" i="1"/>
  <c r="R17" i="4"/>
  <c r="S17" i="4"/>
  <c r="T17" i="4"/>
  <c r="U17" i="4"/>
  <c r="V17" i="4"/>
  <c r="R18" i="4"/>
  <c r="S18" i="4"/>
  <c r="T18" i="4"/>
  <c r="U18" i="4"/>
  <c r="V18" i="4"/>
  <c r="R19" i="4"/>
  <c r="S19" i="4"/>
  <c r="T19" i="4"/>
  <c r="U19" i="4"/>
  <c r="V19" i="4"/>
  <c r="S16" i="4"/>
  <c r="T16" i="4"/>
  <c r="U16" i="4"/>
  <c r="V16" i="4"/>
  <c r="R16" i="4"/>
  <c r="J6" i="8" l="1"/>
  <c r="Z34" i="1"/>
  <c r="AD21" i="5"/>
  <c r="Z22" i="5"/>
  <c r="AA22" i="5"/>
  <c r="Z21" i="5"/>
  <c r="AB22" i="5"/>
  <c r="AC22" i="5"/>
  <c r="AD22" i="5"/>
  <c r="Z23" i="5"/>
  <c r="AA21" i="5"/>
  <c r="AA23" i="5"/>
  <c r="AB23" i="5"/>
  <c r="AC23" i="5"/>
  <c r="AD23" i="5"/>
  <c r="AB21" i="5"/>
  <c r="AC21" i="5"/>
  <c r="V26" i="5"/>
  <c r="U26" i="5"/>
  <c r="T26" i="5"/>
  <c r="S26" i="5"/>
  <c r="R26" i="5"/>
  <c r="W22" i="5"/>
  <c r="AE22" i="5" s="1"/>
  <c r="W21" i="5"/>
  <c r="AE21" i="5" s="1"/>
  <c r="W23" i="5"/>
  <c r="AE23" i="5" s="1"/>
  <c r="G10" i="4"/>
  <c r="W24" i="5"/>
  <c r="W19" i="1"/>
  <c r="W10" i="4"/>
  <c r="W20" i="5"/>
  <c r="W19" i="5"/>
  <c r="V20" i="4"/>
  <c r="R20" i="4"/>
  <c r="W19" i="4"/>
  <c r="T20" i="4"/>
  <c r="W16" i="4"/>
  <c r="W17" i="1"/>
  <c r="W17" i="4"/>
  <c r="R20" i="1"/>
  <c r="S20" i="1"/>
  <c r="T20" i="1"/>
  <c r="U20" i="1"/>
  <c r="W18" i="1"/>
  <c r="V20" i="1"/>
  <c r="W16" i="1"/>
  <c r="W18" i="4"/>
  <c r="U20" i="4"/>
  <c r="S20" i="4"/>
  <c r="W26" i="5" l="1"/>
  <c r="W20" i="4"/>
  <c r="W20" i="1"/>
  <c r="V10" i="1"/>
  <c r="U10" i="1"/>
  <c r="T10" i="1"/>
  <c r="S10" i="1"/>
  <c r="R10" i="1"/>
  <c r="W9" i="1"/>
  <c r="W8" i="1"/>
  <c r="W7" i="1"/>
  <c r="W6" i="1"/>
  <c r="F10" i="1"/>
  <c r="E10" i="1"/>
  <c r="D10" i="1"/>
  <c r="C10" i="1"/>
  <c r="B10" i="1"/>
  <c r="G9" i="1"/>
  <c r="G8" i="1"/>
  <c r="G7" i="1"/>
  <c r="G6" i="1"/>
  <c r="W11" i="5"/>
  <c r="W7" i="5"/>
  <c r="W6" i="5"/>
  <c r="G7" i="5"/>
  <c r="G11" i="5"/>
  <c r="G6" i="5"/>
  <c r="G16" i="1" l="1"/>
  <c r="W13" i="5"/>
  <c r="W37" i="5" s="1"/>
  <c r="G13" i="5"/>
  <c r="B20" i="5"/>
  <c r="C24" i="5"/>
  <c r="G24" i="5"/>
  <c r="AE24" i="5" s="1"/>
  <c r="M24" i="5"/>
  <c r="B24" i="5"/>
  <c r="F24" i="5"/>
  <c r="L24" i="5"/>
  <c r="E24" i="5"/>
  <c r="K24" i="5"/>
  <c r="O24" i="5"/>
  <c r="J24" i="5"/>
  <c r="D24" i="5"/>
  <c r="N24" i="5"/>
  <c r="C20" i="5"/>
  <c r="G20" i="5"/>
  <c r="AE20" i="5" s="1"/>
  <c r="M20" i="5"/>
  <c r="F20" i="5"/>
  <c r="L20" i="5"/>
  <c r="E20" i="5"/>
  <c r="K20" i="5"/>
  <c r="O20" i="5"/>
  <c r="D20" i="5"/>
  <c r="N20" i="5"/>
  <c r="J20" i="5"/>
  <c r="E19" i="5"/>
  <c r="K19" i="5"/>
  <c r="O19" i="5"/>
  <c r="D19" i="5"/>
  <c r="J19" i="5"/>
  <c r="N19" i="5"/>
  <c r="C19" i="5"/>
  <c r="G19" i="5"/>
  <c r="AE19" i="5" s="1"/>
  <c r="M19" i="5"/>
  <c r="F19" i="5"/>
  <c r="L19" i="5"/>
  <c r="B19" i="5"/>
  <c r="L19" i="1"/>
  <c r="F19" i="1"/>
  <c r="F9" i="8" s="1"/>
  <c r="B19" i="1"/>
  <c r="B9" i="8" s="1"/>
  <c r="M19" i="1"/>
  <c r="G19" i="1"/>
  <c r="N19" i="1"/>
  <c r="J19" i="1"/>
  <c r="D19" i="1"/>
  <c r="D9" i="8" s="1"/>
  <c r="C19" i="1"/>
  <c r="C9" i="8" s="1"/>
  <c r="O19" i="1"/>
  <c r="K19" i="1"/>
  <c r="E19" i="1"/>
  <c r="E9" i="8" s="1"/>
  <c r="G18" i="4"/>
  <c r="C18" i="4"/>
  <c r="O18" i="4"/>
  <c r="K18" i="4"/>
  <c r="L18" i="4"/>
  <c r="E18" i="4"/>
  <c r="M18" i="4"/>
  <c r="D18" i="4"/>
  <c r="F18" i="4"/>
  <c r="B18" i="4"/>
  <c r="N18" i="4"/>
  <c r="J18" i="4"/>
  <c r="N18" i="1"/>
  <c r="J18" i="1"/>
  <c r="D18" i="1"/>
  <c r="D8" i="8" s="1"/>
  <c r="O18" i="1"/>
  <c r="K18" i="1"/>
  <c r="L18" i="1"/>
  <c r="F18" i="1"/>
  <c r="F8" i="8" s="1"/>
  <c r="B18" i="1"/>
  <c r="B8" i="8" s="1"/>
  <c r="M18" i="1"/>
  <c r="G18" i="1"/>
  <c r="C18" i="1"/>
  <c r="C8" i="8" s="1"/>
  <c r="E18" i="1"/>
  <c r="E8" i="8" s="1"/>
  <c r="W10" i="1"/>
  <c r="W28" i="1" s="1"/>
  <c r="E17" i="4"/>
  <c r="M17" i="4"/>
  <c r="F17" i="4"/>
  <c r="G17" i="4"/>
  <c r="C17" i="4"/>
  <c r="O17" i="4"/>
  <c r="K17" i="4"/>
  <c r="J17" i="4"/>
  <c r="D17" i="4"/>
  <c r="L17" i="4"/>
  <c r="B17" i="4"/>
  <c r="N17" i="4"/>
  <c r="G10" i="1"/>
  <c r="L17" i="1"/>
  <c r="F17" i="1"/>
  <c r="F7" i="8" s="1"/>
  <c r="B17" i="1"/>
  <c r="B7" i="8" s="1"/>
  <c r="M17" i="1"/>
  <c r="G17" i="1"/>
  <c r="N17" i="1"/>
  <c r="J17" i="1"/>
  <c r="D17" i="1"/>
  <c r="D7" i="8" s="1"/>
  <c r="C17" i="1"/>
  <c r="C7" i="8" s="1"/>
  <c r="O17" i="1"/>
  <c r="K17" i="1"/>
  <c r="E17" i="1"/>
  <c r="E7" i="8" s="1"/>
  <c r="G16" i="4"/>
  <c r="C16" i="4"/>
  <c r="O16" i="4"/>
  <c r="K16" i="4"/>
  <c r="E16" i="4"/>
  <c r="M16" i="4"/>
  <c r="D16" i="4"/>
  <c r="F16" i="4"/>
  <c r="B16" i="4"/>
  <c r="N16" i="4"/>
  <c r="J16" i="4"/>
  <c r="L16" i="4"/>
  <c r="N16" i="1"/>
  <c r="J16" i="1"/>
  <c r="D16" i="1"/>
  <c r="K16" i="1"/>
  <c r="E16" i="1"/>
  <c r="L16" i="1"/>
  <c r="F16" i="1"/>
  <c r="B16" i="1"/>
  <c r="O16" i="1"/>
  <c r="M16" i="1"/>
  <c r="C16" i="1"/>
  <c r="E19" i="4"/>
  <c r="M19" i="4"/>
  <c r="F19" i="4"/>
  <c r="N19" i="4"/>
  <c r="G19" i="4"/>
  <c r="C19" i="4"/>
  <c r="O19" i="4"/>
  <c r="K19" i="4"/>
  <c r="J19" i="4"/>
  <c r="D19" i="4"/>
  <c r="L19" i="4"/>
  <c r="B19" i="4"/>
  <c r="W28" i="4"/>
  <c r="Y34" i="1" l="1"/>
  <c r="E6" i="8"/>
  <c r="E20" i="1"/>
  <c r="F6" i="8"/>
  <c r="F20" i="1"/>
  <c r="C6" i="8"/>
  <c r="C20" i="1"/>
  <c r="D6" i="8"/>
  <c r="D20" i="1"/>
  <c r="B6" i="8"/>
  <c r="B20" i="1"/>
  <c r="G20" i="1"/>
  <c r="K10" i="8"/>
  <c r="J10" i="8"/>
  <c r="O6" i="8"/>
  <c r="G7" i="8"/>
  <c r="L10" i="8"/>
  <c r="O7" i="8"/>
  <c r="O9" i="8"/>
  <c r="G9" i="8"/>
  <c r="E10" i="8"/>
  <c r="C10" i="8"/>
  <c r="M10" i="8"/>
  <c r="N10" i="8"/>
  <c r="G8" i="8"/>
  <c r="B10" i="8"/>
  <c r="G6" i="8"/>
  <c r="D10" i="8"/>
  <c r="F10" i="8"/>
  <c r="O8" i="8"/>
  <c r="W32" i="5"/>
  <c r="AH24" i="5"/>
  <c r="Z24" i="5"/>
  <c r="AK24" i="5"/>
  <c r="AC24" i="5"/>
  <c r="AL20" i="5"/>
  <c r="AD20" i="5"/>
  <c r="AL19" i="5"/>
  <c r="AD19" i="5"/>
  <c r="AI24" i="5"/>
  <c r="AA24" i="5"/>
  <c r="AH20" i="5"/>
  <c r="Z20" i="5"/>
  <c r="AI19" i="5"/>
  <c r="AA19" i="5"/>
  <c r="AJ20" i="5"/>
  <c r="AB20" i="5"/>
  <c r="AJ24" i="5"/>
  <c r="AB24" i="5"/>
  <c r="W33" i="5"/>
  <c r="AK20" i="5"/>
  <c r="AC20" i="5"/>
  <c r="AH19" i="5"/>
  <c r="Z19" i="5"/>
  <c r="AJ19" i="5"/>
  <c r="AB19" i="5"/>
  <c r="AM24" i="5"/>
  <c r="AL24" i="5"/>
  <c r="AD24" i="5"/>
  <c r="AI20" i="5"/>
  <c r="AA20" i="5"/>
  <c r="AM20" i="5"/>
  <c r="AK19" i="5"/>
  <c r="AC19" i="5"/>
  <c r="AM19" i="5"/>
  <c r="S39" i="5"/>
  <c r="W39" i="5"/>
  <c r="U36" i="5"/>
  <c r="S35" i="5"/>
  <c r="R32" i="5"/>
  <c r="T33" i="5"/>
  <c r="V39" i="5"/>
  <c r="T35" i="5"/>
  <c r="D26" i="5"/>
  <c r="U37" i="5"/>
  <c r="U35" i="5"/>
  <c r="T39" i="5"/>
  <c r="S37" i="5"/>
  <c r="V35" i="5"/>
  <c r="S34" i="5"/>
  <c r="T34" i="5"/>
  <c r="G26" i="5"/>
  <c r="AM26" i="5" s="1"/>
  <c r="W38" i="5"/>
  <c r="R37" i="5"/>
  <c r="S36" i="5"/>
  <c r="U39" i="5"/>
  <c r="K26" i="5"/>
  <c r="R35" i="5"/>
  <c r="T37" i="5"/>
  <c r="R36" i="5"/>
  <c r="U34" i="5"/>
  <c r="S33" i="5"/>
  <c r="E26" i="5"/>
  <c r="F26" i="5"/>
  <c r="R39" i="5"/>
  <c r="T36" i="5"/>
  <c r="V34" i="5"/>
  <c r="V33" i="5"/>
  <c r="B26" i="5"/>
  <c r="S38" i="5"/>
  <c r="T38" i="5"/>
  <c r="U38" i="5"/>
  <c r="J26" i="5"/>
  <c r="M26" i="5"/>
  <c r="V37" i="5"/>
  <c r="U32" i="5"/>
  <c r="C26" i="5"/>
  <c r="U33" i="5"/>
  <c r="R33" i="5"/>
  <c r="N26" i="5"/>
  <c r="O26" i="5"/>
  <c r="M37" i="5" s="1"/>
  <c r="V38" i="5"/>
  <c r="L26" i="5"/>
  <c r="R34" i="5"/>
  <c r="R38" i="5"/>
  <c r="S32" i="5"/>
  <c r="T32" i="5"/>
  <c r="V32" i="5"/>
  <c r="V36" i="5"/>
  <c r="W36" i="5"/>
  <c r="W34" i="5"/>
  <c r="W35" i="5"/>
  <c r="S29" i="1"/>
  <c r="V29" i="1"/>
  <c r="E25" i="5"/>
  <c r="K25" i="5"/>
  <c r="O25" i="5"/>
  <c r="D25" i="5"/>
  <c r="J25" i="5"/>
  <c r="N25" i="5"/>
  <c r="C25" i="5"/>
  <c r="G25" i="5"/>
  <c r="M25" i="5"/>
  <c r="B25" i="5"/>
  <c r="L25" i="5"/>
  <c r="F25" i="5"/>
  <c r="W25" i="1"/>
  <c r="W26" i="1"/>
  <c r="R29" i="1"/>
  <c r="R29" i="4"/>
  <c r="R25" i="4"/>
  <c r="W27" i="1"/>
  <c r="U29" i="4"/>
  <c r="T29" i="1"/>
  <c r="AC19" i="4"/>
  <c r="AK19" i="4" s="1"/>
  <c r="G20" i="4"/>
  <c r="G29" i="4" s="1"/>
  <c r="C20" i="4"/>
  <c r="O20" i="4"/>
  <c r="L28" i="4" s="1"/>
  <c r="K20" i="4"/>
  <c r="E20" i="4"/>
  <c r="M20" i="4"/>
  <c r="D20" i="4"/>
  <c r="F20" i="4"/>
  <c r="B20" i="4"/>
  <c r="N20" i="4"/>
  <c r="J20" i="4"/>
  <c r="L20" i="4"/>
  <c r="V28" i="4"/>
  <c r="R28" i="4"/>
  <c r="T27" i="4"/>
  <c r="V26" i="4"/>
  <c r="R26" i="4"/>
  <c r="T25" i="4"/>
  <c r="S28" i="4"/>
  <c r="U27" i="4"/>
  <c r="S26" i="4"/>
  <c r="U25" i="4"/>
  <c r="T28" i="4"/>
  <c r="V27" i="4"/>
  <c r="R27" i="4"/>
  <c r="T26" i="4"/>
  <c r="V25" i="4"/>
  <c r="W29" i="4"/>
  <c r="U28" i="4"/>
  <c r="S27" i="4"/>
  <c r="U26" i="4"/>
  <c r="S25" i="4"/>
  <c r="AD16" i="4"/>
  <c r="AL16" i="4" s="1"/>
  <c r="AC16" i="4"/>
  <c r="AK16" i="4" s="1"/>
  <c r="AA17" i="1"/>
  <c r="AI17" i="1" s="1"/>
  <c r="Z17" i="1"/>
  <c r="AH17" i="1" s="1"/>
  <c r="AB17" i="4"/>
  <c r="AJ17" i="4" s="1"/>
  <c r="AE17" i="4"/>
  <c r="AM17" i="4" s="1"/>
  <c r="AC17" i="4"/>
  <c r="AK17" i="4" s="1"/>
  <c r="AC18" i="1"/>
  <c r="AK18" i="1" s="1"/>
  <c r="AA18" i="1"/>
  <c r="AI18" i="1" s="1"/>
  <c r="AD18" i="1"/>
  <c r="AL18" i="1" s="1"/>
  <c r="Z18" i="4"/>
  <c r="AH18" i="4" s="1"/>
  <c r="AA18" i="4"/>
  <c r="AI18" i="4" s="1"/>
  <c r="AB19" i="1"/>
  <c r="AJ19" i="1" s="1"/>
  <c r="AB19" i="4"/>
  <c r="AJ19" i="4" s="1"/>
  <c r="AE19" i="4"/>
  <c r="AM19" i="4" s="1"/>
  <c r="AA16" i="1"/>
  <c r="AI16" i="1" s="1"/>
  <c r="Z16" i="4"/>
  <c r="AH16" i="4" s="1"/>
  <c r="AE16" i="4"/>
  <c r="AM16" i="4" s="1"/>
  <c r="AC17" i="1"/>
  <c r="AK17" i="1" s="1"/>
  <c r="AA17" i="4"/>
  <c r="AI17" i="4" s="1"/>
  <c r="N20" i="1"/>
  <c r="J20" i="1"/>
  <c r="R25" i="1"/>
  <c r="O20" i="1"/>
  <c r="K27" i="1" s="1"/>
  <c r="K20" i="1"/>
  <c r="L20" i="1"/>
  <c r="M20" i="1"/>
  <c r="G29" i="1"/>
  <c r="T28" i="1"/>
  <c r="V27" i="1"/>
  <c r="R27" i="1"/>
  <c r="T26" i="1"/>
  <c r="V25" i="1"/>
  <c r="S25" i="1"/>
  <c r="W29" i="1"/>
  <c r="U28" i="1"/>
  <c r="S27" i="1"/>
  <c r="U26" i="1"/>
  <c r="V28" i="1"/>
  <c r="R28" i="1"/>
  <c r="T27" i="1"/>
  <c r="V26" i="1"/>
  <c r="R26" i="1"/>
  <c r="T25" i="1"/>
  <c r="S28" i="1"/>
  <c r="U27" i="1"/>
  <c r="S26" i="1"/>
  <c r="U25" i="1"/>
  <c r="AB18" i="1"/>
  <c r="AJ18" i="1" s="1"/>
  <c r="Z18" i="1"/>
  <c r="AH18" i="1" s="1"/>
  <c r="AB18" i="4"/>
  <c r="AJ18" i="4" s="1"/>
  <c r="AE19" i="1"/>
  <c r="AM19" i="1" s="1"/>
  <c r="AD19" i="1"/>
  <c r="AL19" i="1" s="1"/>
  <c r="W27" i="4"/>
  <c r="AD19" i="4"/>
  <c r="AL19" i="4" s="1"/>
  <c r="AE16" i="1"/>
  <c r="AM16" i="1" s="1"/>
  <c r="AD16" i="1"/>
  <c r="AL16" i="1" s="1"/>
  <c r="AB16" i="4"/>
  <c r="AJ16" i="4" s="1"/>
  <c r="AA16" i="4"/>
  <c r="AI16" i="4" s="1"/>
  <c r="AB17" i="1"/>
  <c r="AJ17" i="1" s="1"/>
  <c r="AD17" i="4"/>
  <c r="AL17" i="4" s="1"/>
  <c r="Z17" i="4"/>
  <c r="AH17" i="4" s="1"/>
  <c r="AA19" i="1"/>
  <c r="AI19" i="1" s="1"/>
  <c r="Z19" i="1"/>
  <c r="AH19" i="1" s="1"/>
  <c r="U29" i="1"/>
  <c r="AA19" i="4"/>
  <c r="AI19" i="4" s="1"/>
  <c r="Z19" i="4"/>
  <c r="AH19" i="4" s="1"/>
  <c r="AC16" i="1"/>
  <c r="AK16" i="1" s="1"/>
  <c r="AB16" i="1"/>
  <c r="AJ16" i="1" s="1"/>
  <c r="Z16" i="1"/>
  <c r="AH16" i="1" s="1"/>
  <c r="AE17" i="1"/>
  <c r="AM17" i="1" s="1"/>
  <c r="AD17" i="1"/>
  <c r="AL17" i="1" s="1"/>
  <c r="AE18" i="1"/>
  <c r="AM18" i="1" s="1"/>
  <c r="AD18" i="4"/>
  <c r="AL18" i="4" s="1"/>
  <c r="AC18" i="4"/>
  <c r="AK18" i="4" s="1"/>
  <c r="AE18" i="4"/>
  <c r="AM18" i="4" s="1"/>
  <c r="AC19" i="1"/>
  <c r="AK19" i="1" s="1"/>
  <c r="V29" i="4"/>
  <c r="W25" i="4"/>
  <c r="S29" i="4"/>
  <c r="W26" i="4"/>
  <c r="T29" i="4"/>
  <c r="Z35" i="1" l="1"/>
  <c r="W38" i="1"/>
  <c r="G10" i="8"/>
  <c r="G19" i="8" s="1"/>
  <c r="O10" i="8"/>
  <c r="J19" i="8" s="1"/>
  <c r="AL26" i="5"/>
  <c r="AD26" i="5"/>
  <c r="AI26" i="5"/>
  <c r="AA26" i="5"/>
  <c r="AJ26" i="5"/>
  <c r="AB26" i="5"/>
  <c r="AL25" i="5"/>
  <c r="AD25" i="5"/>
  <c r="AK26" i="5"/>
  <c r="AC26" i="5"/>
  <c r="AH25" i="5"/>
  <c r="Z25" i="5"/>
  <c r="G38" i="5"/>
  <c r="AM25" i="5"/>
  <c r="AE25" i="5"/>
  <c r="E32" i="5"/>
  <c r="AE26" i="5"/>
  <c r="AI25" i="5"/>
  <c r="AA25" i="5"/>
  <c r="AH26" i="5"/>
  <c r="Z26" i="5"/>
  <c r="N38" i="5"/>
  <c r="V51" i="5" s="1"/>
  <c r="J38" i="5"/>
  <c r="R51" i="5" s="1"/>
  <c r="AJ25" i="5"/>
  <c r="AB25" i="5"/>
  <c r="AK25" i="5"/>
  <c r="AC25" i="5"/>
  <c r="O38" i="5"/>
  <c r="W51" i="5" s="1"/>
  <c r="K38" i="5"/>
  <c r="S51" i="5" s="1"/>
  <c r="N33" i="5"/>
  <c r="V46" i="5" s="1"/>
  <c r="J32" i="5"/>
  <c r="R45" i="5" s="1"/>
  <c r="F33" i="5"/>
  <c r="K32" i="5"/>
  <c r="S45" i="5" s="1"/>
  <c r="C32" i="5"/>
  <c r="F38" i="5"/>
  <c r="D37" i="5"/>
  <c r="G33" i="5"/>
  <c r="L38" i="5"/>
  <c r="T51" i="5" s="1"/>
  <c r="O37" i="5"/>
  <c r="W50" i="5" s="1"/>
  <c r="B38" i="5"/>
  <c r="O33" i="5"/>
  <c r="W46" i="5" s="1"/>
  <c r="N32" i="5"/>
  <c r="V45" i="5" s="1"/>
  <c r="M38" i="5"/>
  <c r="U51" i="5" s="1"/>
  <c r="K39" i="5"/>
  <c r="S52" i="5" s="1"/>
  <c r="D33" i="5"/>
  <c r="B33" i="5"/>
  <c r="C37" i="5"/>
  <c r="F32" i="5"/>
  <c r="J37" i="5"/>
  <c r="R50" i="5" s="1"/>
  <c r="D39" i="5"/>
  <c r="M33" i="5"/>
  <c r="U46" i="5" s="1"/>
  <c r="M39" i="5"/>
  <c r="U52" i="5" s="1"/>
  <c r="G37" i="5"/>
  <c r="J39" i="5"/>
  <c r="R52" i="5" s="1"/>
  <c r="L32" i="5"/>
  <c r="T45" i="5" s="1"/>
  <c r="G32" i="5"/>
  <c r="B32" i="5"/>
  <c r="D38" i="5"/>
  <c r="C38" i="5"/>
  <c r="G39" i="5"/>
  <c r="B35" i="5"/>
  <c r="F36" i="5"/>
  <c r="G36" i="5"/>
  <c r="B36" i="5"/>
  <c r="C35" i="5"/>
  <c r="E35" i="5"/>
  <c r="B34" i="5"/>
  <c r="D35" i="5"/>
  <c r="C34" i="5"/>
  <c r="F34" i="5"/>
  <c r="C36" i="5"/>
  <c r="E34" i="5"/>
  <c r="F35" i="5"/>
  <c r="G34" i="5"/>
  <c r="D34" i="5"/>
  <c r="D36" i="5"/>
  <c r="G35" i="5"/>
  <c r="E36" i="5"/>
  <c r="N39" i="5"/>
  <c r="V52" i="5" s="1"/>
  <c r="B39" i="5"/>
  <c r="B37" i="5"/>
  <c r="C33" i="5"/>
  <c r="F37" i="5"/>
  <c r="O39" i="5"/>
  <c r="W52" i="5" s="1"/>
  <c r="J34" i="5"/>
  <c r="R47" i="5" s="1"/>
  <c r="K35" i="5"/>
  <c r="S48" i="5" s="1"/>
  <c r="O36" i="5"/>
  <c r="W49" i="5" s="1"/>
  <c r="L34" i="5"/>
  <c r="T47" i="5" s="1"/>
  <c r="O34" i="5"/>
  <c r="W47" i="5" s="1"/>
  <c r="L35" i="5"/>
  <c r="T48" i="5" s="1"/>
  <c r="L36" i="5"/>
  <c r="T49" i="5" s="1"/>
  <c r="J35" i="5"/>
  <c r="R48" i="5" s="1"/>
  <c r="K34" i="5"/>
  <c r="S47" i="5" s="1"/>
  <c r="O35" i="5"/>
  <c r="W48" i="5" s="1"/>
  <c r="M35" i="5"/>
  <c r="U48" i="5" s="1"/>
  <c r="K36" i="5"/>
  <c r="S49" i="5" s="1"/>
  <c r="N36" i="5"/>
  <c r="V49" i="5" s="1"/>
  <c r="N35" i="5"/>
  <c r="V48" i="5" s="1"/>
  <c r="J36" i="5"/>
  <c r="R49" i="5" s="1"/>
  <c r="N34" i="5"/>
  <c r="V47" i="5" s="1"/>
  <c r="M34" i="5"/>
  <c r="U47" i="5" s="1"/>
  <c r="M36" i="5"/>
  <c r="U49" i="5" s="1"/>
  <c r="O32" i="5"/>
  <c r="W45" i="5" s="1"/>
  <c r="K33" i="5"/>
  <c r="S46" i="5" s="1"/>
  <c r="E38" i="5"/>
  <c r="L37" i="5"/>
  <c r="T50" i="5" s="1"/>
  <c r="F39" i="5"/>
  <c r="L33" i="5"/>
  <c r="T46" i="5" s="1"/>
  <c r="E33" i="5"/>
  <c r="L39" i="5"/>
  <c r="T52" i="5" s="1"/>
  <c r="E39" i="5"/>
  <c r="D32" i="5"/>
  <c r="E37" i="5"/>
  <c r="C39" i="5"/>
  <c r="M32" i="5"/>
  <c r="U45" i="5" s="1"/>
  <c r="N37" i="5"/>
  <c r="V50" i="5" s="1"/>
  <c r="K37" i="5"/>
  <c r="S50" i="5" s="1"/>
  <c r="J33" i="5"/>
  <c r="R46" i="5" s="1"/>
  <c r="E25" i="1"/>
  <c r="U34" i="1" s="1"/>
  <c r="D26" i="1"/>
  <c r="T35" i="1" s="1"/>
  <c r="E28" i="1"/>
  <c r="U37" i="1" s="1"/>
  <c r="B28" i="1"/>
  <c r="R37" i="1" s="1"/>
  <c r="C27" i="4"/>
  <c r="U50" i="5"/>
  <c r="C28" i="4"/>
  <c r="G27" i="4"/>
  <c r="F28" i="4"/>
  <c r="K27" i="4"/>
  <c r="S36" i="4" s="1"/>
  <c r="M25" i="1"/>
  <c r="N28" i="1"/>
  <c r="O26" i="1"/>
  <c r="J27" i="1"/>
  <c r="J25" i="4"/>
  <c r="R34" i="4" s="1"/>
  <c r="B25" i="4"/>
  <c r="J26" i="4"/>
  <c r="R35" i="4" s="1"/>
  <c r="L26" i="4"/>
  <c r="T35" i="4" s="1"/>
  <c r="M25" i="4"/>
  <c r="U34" i="4" s="1"/>
  <c r="O27" i="4"/>
  <c r="W36" i="4" s="1"/>
  <c r="N27" i="4"/>
  <c r="V36" i="4" s="1"/>
  <c r="J28" i="4"/>
  <c r="R37" i="4" s="1"/>
  <c r="K28" i="4"/>
  <c r="S37" i="4" s="1"/>
  <c r="N26" i="4"/>
  <c r="V35" i="4" s="1"/>
  <c r="L25" i="4"/>
  <c r="T34" i="4" s="1"/>
  <c r="K26" i="4"/>
  <c r="S35" i="4" s="1"/>
  <c r="O28" i="4"/>
  <c r="W37" i="4" s="1"/>
  <c r="M26" i="4"/>
  <c r="U35" i="4" s="1"/>
  <c r="N28" i="4"/>
  <c r="V37" i="4" s="1"/>
  <c r="O25" i="4"/>
  <c r="W34" i="4" s="1"/>
  <c r="J27" i="4"/>
  <c r="R36" i="4" s="1"/>
  <c r="O26" i="4"/>
  <c r="W35" i="4" s="1"/>
  <c r="N25" i="4"/>
  <c r="V34" i="4" s="1"/>
  <c r="M27" i="4"/>
  <c r="U36" i="4" s="1"/>
  <c r="K25" i="4"/>
  <c r="S34" i="4" s="1"/>
  <c r="L27" i="4"/>
  <c r="T36" i="4" s="1"/>
  <c r="G28" i="4"/>
  <c r="G26" i="4"/>
  <c r="F26" i="4"/>
  <c r="E29" i="4"/>
  <c r="E25" i="4"/>
  <c r="C26" i="4"/>
  <c r="G25" i="4"/>
  <c r="N26" i="1"/>
  <c r="B27" i="4"/>
  <c r="L26" i="1"/>
  <c r="N25" i="1"/>
  <c r="O28" i="1"/>
  <c r="D27" i="4"/>
  <c r="D29" i="4"/>
  <c r="E26" i="4"/>
  <c r="J25" i="1"/>
  <c r="E27" i="4"/>
  <c r="F25" i="4"/>
  <c r="K28" i="1"/>
  <c r="O25" i="1"/>
  <c r="F27" i="4"/>
  <c r="B26" i="4"/>
  <c r="D25" i="4"/>
  <c r="D28" i="4"/>
  <c r="B29" i="4"/>
  <c r="D26" i="4"/>
  <c r="E28" i="4"/>
  <c r="M28" i="1"/>
  <c r="O27" i="1"/>
  <c r="L25" i="1"/>
  <c r="B28" i="4"/>
  <c r="J28" i="1"/>
  <c r="L27" i="1"/>
  <c r="C25" i="4"/>
  <c r="E27" i="1"/>
  <c r="U36" i="1" s="1"/>
  <c r="F26" i="1"/>
  <c r="V35" i="1" s="1"/>
  <c r="D27" i="1"/>
  <c r="T36" i="1" s="1"/>
  <c r="G26" i="1"/>
  <c r="W35" i="1" s="1"/>
  <c r="E26" i="1"/>
  <c r="U35" i="1" s="1"/>
  <c r="B25" i="1"/>
  <c r="R34" i="1" s="1"/>
  <c r="C27" i="1"/>
  <c r="S36" i="1" s="1"/>
  <c r="G27" i="1"/>
  <c r="W36" i="1" s="1"/>
  <c r="K25" i="1"/>
  <c r="D28" i="1"/>
  <c r="T37" i="1" s="1"/>
  <c r="B27" i="1"/>
  <c r="R36" i="1" s="1"/>
  <c r="F27" i="1"/>
  <c r="V36" i="1" s="1"/>
  <c r="C26" i="1"/>
  <c r="S35" i="1" s="1"/>
  <c r="F28" i="1"/>
  <c r="V37" i="1" s="1"/>
  <c r="C25" i="1"/>
  <c r="S34" i="1" s="1"/>
  <c r="E29" i="1"/>
  <c r="U38" i="1" s="1"/>
  <c r="K29" i="1"/>
  <c r="AA20" i="1"/>
  <c r="AI20" i="1" s="1"/>
  <c r="J29" i="1"/>
  <c r="Z20" i="1"/>
  <c r="AH20" i="1" s="1"/>
  <c r="G28" i="1"/>
  <c r="W37" i="1" s="1"/>
  <c r="L28" i="1"/>
  <c r="N27" i="1"/>
  <c r="M29" i="1"/>
  <c r="AC20" i="1"/>
  <c r="AK20" i="1" s="1"/>
  <c r="L29" i="1"/>
  <c r="AB20" i="1"/>
  <c r="AJ20" i="1" s="1"/>
  <c r="N29" i="4"/>
  <c r="V38" i="4" s="1"/>
  <c r="AD20" i="4"/>
  <c r="AL20" i="4" s="1"/>
  <c r="M29" i="4"/>
  <c r="U38" i="4" s="1"/>
  <c r="AC20" i="4"/>
  <c r="AK20" i="4" s="1"/>
  <c r="D29" i="1"/>
  <c r="T38" i="1" s="1"/>
  <c r="G25" i="1"/>
  <c r="W34" i="1" s="1"/>
  <c r="K26" i="1"/>
  <c r="C29" i="4"/>
  <c r="J29" i="4"/>
  <c r="R38" i="4" s="1"/>
  <c r="Z20" i="4"/>
  <c r="AH20" i="4" s="1"/>
  <c r="O29" i="4"/>
  <c r="W38" i="4" s="1"/>
  <c r="AE20" i="4"/>
  <c r="AM20" i="4" s="1"/>
  <c r="F29" i="1"/>
  <c r="V38" i="1" s="1"/>
  <c r="F25" i="1"/>
  <c r="V34" i="1" s="1"/>
  <c r="T37" i="4"/>
  <c r="O29" i="1"/>
  <c r="AE20" i="1"/>
  <c r="AM20" i="1" s="1"/>
  <c r="N29" i="1"/>
  <c r="AD20" i="1"/>
  <c r="AL20" i="1" s="1"/>
  <c r="AB20" i="4"/>
  <c r="AJ20" i="4" s="1"/>
  <c r="L29" i="4"/>
  <c r="T38" i="4" s="1"/>
  <c r="K29" i="4"/>
  <c r="S38" i="4" s="1"/>
  <c r="AA20" i="4"/>
  <c r="AI20" i="4" s="1"/>
  <c r="C29" i="1"/>
  <c r="S38" i="1" s="1"/>
  <c r="B29" i="1"/>
  <c r="R38" i="1" s="1"/>
  <c r="M26" i="1"/>
  <c r="C28" i="1"/>
  <c r="S37" i="1" s="1"/>
  <c r="B26" i="1"/>
  <c r="R35" i="1" s="1"/>
  <c r="D25" i="1"/>
  <c r="T34" i="1" s="1"/>
  <c r="M27" i="1"/>
  <c r="J26" i="1"/>
  <c r="F29" i="4"/>
  <c r="M28" i="4"/>
  <c r="U37" i="4" s="1"/>
  <c r="G16" i="8" l="1"/>
  <c r="K19" i="8"/>
  <c r="L19" i="8"/>
  <c r="O16" i="8"/>
  <c r="O18" i="8"/>
  <c r="G18" i="8"/>
  <c r="D19" i="8"/>
  <c r="E19" i="8"/>
  <c r="C19" i="8"/>
  <c r="M19" i="8"/>
  <c r="F19" i="8"/>
  <c r="O15" i="8"/>
  <c r="N19" i="8"/>
  <c r="O17" i="8"/>
  <c r="G17" i="8"/>
  <c r="B19" i="8"/>
  <c r="G15" i="8"/>
  <c r="M15" i="8"/>
  <c r="K17" i="8"/>
  <c r="K18" i="8"/>
  <c r="K15" i="8"/>
  <c r="M17" i="8"/>
  <c r="N18" i="8"/>
  <c r="N15" i="8"/>
  <c r="L17" i="8"/>
  <c r="J18" i="8"/>
  <c r="J15" i="8"/>
  <c r="M18" i="8"/>
  <c r="N17" i="8"/>
  <c r="M16" i="8"/>
  <c r="L18" i="8"/>
  <c r="L15" i="8"/>
  <c r="L16" i="8"/>
  <c r="N16" i="8"/>
  <c r="K16" i="8"/>
  <c r="J17" i="8"/>
  <c r="J16" i="8"/>
  <c r="D18" i="8"/>
  <c r="C17" i="8"/>
  <c r="E16" i="8"/>
  <c r="C16" i="8"/>
  <c r="B17" i="8"/>
  <c r="F15" i="8"/>
  <c r="F18" i="8"/>
  <c r="B16" i="8"/>
  <c r="B15" i="8"/>
  <c r="E17" i="8"/>
  <c r="E15" i="8"/>
  <c r="F17" i="8"/>
  <c r="C18" i="8"/>
  <c r="D15" i="8"/>
  <c r="E18" i="8"/>
  <c r="F16" i="8"/>
  <c r="D16" i="8"/>
  <c r="B18" i="8"/>
  <c r="D17" i="8"/>
  <c r="C15" i="8"/>
  <c r="T11" i="8" l="1"/>
  <c r="T16" i="8"/>
  <c r="T17" i="8"/>
  <c r="T15" i="8"/>
  <c r="T12" i="8"/>
  <c r="T19" i="8"/>
  <c r="T20" i="8"/>
  <c r="T9" i="8"/>
  <c r="T8" i="8"/>
  <c r="T6" i="8"/>
  <c r="T22" i="8"/>
  <c r="U22" i="8" s="1"/>
  <c r="V22" i="8" s="1"/>
  <c r="AA19" i="8" s="1"/>
  <c r="T18" i="8"/>
  <c r="T13" i="8"/>
  <c r="T21" i="8"/>
  <c r="T10" i="8"/>
  <c r="T7" i="8"/>
  <c r="U7" i="8" s="1"/>
  <c r="V7" i="8" s="1"/>
  <c r="AA4" i="8" s="1"/>
  <c r="T14" i="8"/>
  <c r="U14" i="8" s="1"/>
  <c r="V14" i="8" s="1"/>
  <c r="AA11" i="8" s="1"/>
  <c r="U19" i="8"/>
  <c r="V19" i="8" s="1"/>
  <c r="AA16" i="8" s="1"/>
  <c r="U10" i="8" l="1"/>
  <c r="V10" i="8" s="1"/>
  <c r="AA7" i="8" s="1"/>
  <c r="U21" i="8"/>
  <c r="V21" i="8" s="1"/>
  <c r="AA18" i="8" s="1"/>
  <c r="U12" i="8"/>
  <c r="V12" i="8" s="1"/>
  <c r="AA9" i="8" s="1"/>
  <c r="U15" i="8"/>
  <c r="V15" i="8" s="1"/>
  <c r="AA12" i="8" s="1"/>
  <c r="U13" i="8"/>
  <c r="V13" i="8" s="1"/>
  <c r="AA10" i="8" s="1"/>
  <c r="U18" i="8"/>
  <c r="V18" i="8" s="1"/>
  <c r="AA15" i="8" s="1"/>
  <c r="U11" i="8"/>
  <c r="V11" i="8" s="1"/>
  <c r="AA8" i="8" s="1"/>
  <c r="O19" i="8"/>
  <c r="U17" i="8"/>
  <c r="V17" i="8" s="1"/>
  <c r="AA14" i="8" s="1"/>
  <c r="U20" i="8"/>
  <c r="V20" i="8" s="1"/>
  <c r="AA17" i="8" s="1"/>
  <c r="U16" i="8"/>
  <c r="V16" i="8" s="1"/>
  <c r="AA13" i="8" s="1"/>
  <c r="U6" i="8"/>
  <c r="V6" i="8" s="1"/>
  <c r="AA3" i="8" s="1"/>
  <c r="U8" i="8"/>
  <c r="V8" i="8" s="1"/>
  <c r="AA5" i="8" s="1"/>
  <c r="U9" i="8"/>
  <c r="V9" i="8" s="1"/>
  <c r="AA6" i="8" s="1"/>
</calcChain>
</file>

<file path=xl/sharedStrings.xml><?xml version="1.0" encoding="utf-8"?>
<sst xmlns="http://schemas.openxmlformats.org/spreadsheetml/2006/main" count="817" uniqueCount="179">
  <si>
    <t>Table X: Estimated Households by Number of Vehicles and Number of Potential Drivers</t>
  </si>
  <si>
    <t>HH # of Potential Drivers</t>
  </si>
  <si>
    <t>Number of Vehicles</t>
  </si>
  <si>
    <t>4+</t>
  </si>
  <si>
    <t>Total</t>
  </si>
  <si>
    <t>HH Income</t>
  </si>
  <si>
    <t>$0K-$15K</t>
  </si>
  <si>
    <t>$15K-$50K</t>
  </si>
  <si>
    <t>$50K-$75K</t>
  </si>
  <si>
    <t>&gt;$75K</t>
  </si>
  <si>
    <t>County</t>
  </si>
  <si>
    <t>Table X: Estimated Households by Number of Vehicles and Income</t>
  </si>
  <si>
    <t>Table X: Estimated Households by Number of Vehicles and County</t>
  </si>
  <si>
    <t>ACS</t>
  </si>
  <si>
    <t>DaySim</t>
  </si>
  <si>
    <t>The DaySim total here is less because of some households (1930) with 0 HH potential drivers</t>
  </si>
  <si>
    <t>ACS 2006-08</t>
  </si>
  <si>
    <t>Table X: % Diff Households by Number of Vehicles and County</t>
  </si>
  <si>
    <t>Table X: Obsesrved Households by Number of Vehicles and County (ACS)</t>
  </si>
  <si>
    <t>Table X: Adjusted Observed Households by Number of Vehicles and County (ACS)</t>
  </si>
  <si>
    <t>Table X: Difference in Shares of Households by Number of Vehicles and County</t>
  </si>
  <si>
    <t>Table X: Difference in Households by Number of Vehicles and Income</t>
  </si>
  <si>
    <t>Table X: % Difference in Households by Number of Vehicles and Income</t>
  </si>
  <si>
    <t>Table X: Difference in Households by Number of Vehicles and County</t>
  </si>
  <si>
    <t>Table X: Difference in Households by Number of Vehicles and Number of Potential Drivers</t>
  </si>
  <si>
    <t>Table X: % Difference in Households by Number of Vehicles and Number of Potential Drivers</t>
  </si>
  <si>
    <t>HOUSEHOLDS BY COUNTY AND VEHICLES: ACS ADJ</t>
  </si>
  <si>
    <t>HOUSEHOLDS BY COUNTY AND VEHICLES: EST-OBS</t>
  </si>
  <si>
    <t>Williamson</t>
  </si>
  <si>
    <t>Rutherford</t>
  </si>
  <si>
    <t>Sumner</t>
  </si>
  <si>
    <t>Roberston</t>
  </si>
  <si>
    <t>Davidson</t>
  </si>
  <si>
    <t>Maury</t>
  </si>
  <si>
    <t>Wilson</t>
  </si>
  <si>
    <t>Beta00001</t>
  </si>
  <si>
    <t>F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</si>
  <si>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</si>
  <si>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</si>
  <si>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</si>
  <si>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</si>
  <si>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</si>
  <si>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</si>
  <si>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</si>
  <si>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</si>
  <si>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</si>
  <si>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</si>
  <si>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</si>
  <si>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</si>
  <si>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</si>
  <si>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</si>
  <si>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</si>
  <si>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Beta00018</t>
  </si>
  <si>
    <t>Beta00019</t>
  </si>
  <si>
    <t>Beta00020</t>
  </si>
  <si>
    <t>Beta00022</t>
  </si>
  <si>
    <t>Beta00024</t>
  </si>
  <si>
    <t>Beta00025</t>
  </si>
  <si>
    <t>Beta00026</t>
  </si>
  <si>
    <t>Beta00028</t>
  </si>
  <si>
    <t>Beta00029</t>
  </si>
  <si>
    <t>Beta00031</t>
  </si>
  <si>
    <t>Beta00032</t>
  </si>
  <si>
    <t>Beta00034</t>
  </si>
  <si>
    <t>Beta00035</t>
  </si>
  <si>
    <t>Beta00036</t>
  </si>
  <si>
    <t>Beta00037</t>
  </si>
  <si>
    <t>Beta00038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</si>
  <si>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</si>
  <si>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</si>
  <si>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</si>
  <si>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</si>
  <si>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</si>
  <si>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</si>
  <si>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</si>
  <si>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</si>
  <si>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</si>
  <si>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</si>
  <si>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</si>
  <si>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</si>
  <si>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</si>
  <si>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</si>
  <si>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</si>
  <si>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</si>
  <si>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</si>
  <si>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Beta00058</t>
  </si>
  <si>
    <t>Beta00059</t>
  </si>
  <si>
    <t>Beta00060</t>
  </si>
  <si>
    <t>Beta00063</t>
  </si>
  <si>
    <t>Beta00069</t>
  </si>
  <si>
    <t>Beta00072</t>
  </si>
  <si>
    <t>Beta00073</t>
  </si>
  <si>
    <t>Beta00075</t>
  </si>
  <si>
    <t>Beta00076</t>
  </si>
  <si>
    <t>Beta00077</t>
  </si>
  <si>
    <t>Beta00083</t>
  </si>
  <si>
    <t>Index</t>
  </si>
  <si>
    <t>Coeff</t>
  </si>
  <si>
    <t>Descr</t>
  </si>
  <si>
    <t>Has1Driver</t>
  </si>
  <si>
    <t>Has2Drivers</t>
  </si>
  <si>
    <t>Has3Drivers</t>
  </si>
  <si>
    <t>Has4OrMoreDrivers</t>
  </si>
  <si>
    <t>HasNoFullOrPartTimeWorker</t>
  </si>
  <si>
    <t>PartTimeWorkersPerDrivingAgeMembers</t>
  </si>
  <si>
    <t>DrivingAgeStudentsPerDrivingAgeMembers</t>
  </si>
  <si>
    <t>HomeBasedPersonsPerDrivingAgeMembers</t>
  </si>
  <si>
    <t>Has0To15KIncome</t>
  </si>
  <si>
    <t>Has50To75KIncome</t>
  </si>
  <si>
    <t>Has75KPlusIncome</t>
  </si>
  <si>
    <t>HasMissingIncome</t>
  </si>
  <si>
    <t>workTourLogsumDifference</t>
  </si>
  <si>
    <t>schoolTourLogsumDifference</t>
  </si>
  <si>
    <t>Log(distanceToStop)</t>
  </si>
  <si>
    <t>ResidenceParcel.ParkingOffStreetPaidDailyPriceBuffer1</t>
  </si>
  <si>
    <t>foodRetailServiceMedicalLogBuffer1</t>
  </si>
  <si>
    <t>ruralFlag</t>
  </si>
  <si>
    <t>workTourLogsumDifference * ruralFlag</t>
  </si>
  <si>
    <t>0-Auto</t>
  </si>
  <si>
    <t>1-Auto</t>
  </si>
  <si>
    <t>Has1OrLessFullOrPartTimeWorkers</t>
  </si>
  <si>
    <t>RetiredAdultsPerDrivingAgeMembers</t>
  </si>
  <si>
    <t>UniversityStudentsPerDrivingAgeMembers</t>
  </si>
  <si>
    <t>workTourLogsumDifference * household.HasMoreDriversThan1</t>
  </si>
  <si>
    <t>Log(1 + household.ResidenceParcel.StopsTransitBuffer1) * household.HasMoreDriversThan1</t>
  </si>
  <si>
    <t>foodRetailServiceMedicalLogBuffer1 * household.HasMoreDriversThan1</t>
  </si>
  <si>
    <t>Has2OrLessFullOrPartTimeWorkers</t>
  </si>
  <si>
    <t>2-Auto</t>
  </si>
  <si>
    <t>workTourLogsumDifference * household.HasMoreDriversThan2</t>
  </si>
  <si>
    <t>Log(1 + household.ResidenceParcel.StopsTransitBuffer1) * household.HasMoreDriversThan2</t>
  </si>
  <si>
    <t>foodRetailServiceMedicalLogBuffer1 * household.HasMoreDriversThan2</t>
  </si>
  <si>
    <t>Has3OrLessFullOrPartTimeWorkers</t>
  </si>
  <si>
    <t>3-Auto</t>
  </si>
  <si>
    <t>ChildrenUnder5PerDrivingAgeMembers</t>
  </si>
  <si>
    <t>workTourLogsumDifference * household.HasMoreDriversThan3</t>
  </si>
  <si>
    <t>Log(1 + household.ResidenceParcel.StopsTransitBuffer1) * household.HasMoreDriversThan3</t>
  </si>
  <si>
    <t>foodRetailServiceMedicalLogBuffer1 * household.HasMoreDriversThan3</t>
  </si>
  <si>
    <t>Has4OrLessFullOrPartTimeWorkers</t>
  </si>
  <si>
    <t>4-Auto</t>
  </si>
  <si>
    <t>workTourLogsumDifference * household.HasMoreDriversThan4</t>
  </si>
  <si>
    <t>Log(1 + household.ResidenceParcel.StopsTransitBuffer1) * household.HasMoreDriversThan4</t>
  </si>
  <si>
    <t>foodRetailServiceMedicalLogBuffer1 * household.HasMoreDriversThan4</t>
  </si>
  <si>
    <t>Survey</t>
  </si>
  <si>
    <t>Table X: Observed Households by Number of Vehicles and County (Survey)</t>
  </si>
  <si>
    <t>Table X: Adjusted Observed Households by Number of Vehicles and County (Survey)</t>
  </si>
  <si>
    <t>HOUSEHOLDS BY COUNTY AND VEHICLES: Survey ADJ</t>
  </si>
  <si>
    <t>class</t>
  </si>
  <si>
    <t>Count</t>
  </si>
  <si>
    <t>Share</t>
  </si>
  <si>
    <t>CoeffIndex</t>
  </si>
  <si>
    <t>Old Coeff.</t>
  </si>
  <si>
    <t>Ratio (FT)</t>
  </si>
  <si>
    <t>Adj.</t>
  </si>
  <si>
    <t>New Coeff.</t>
  </si>
  <si>
    <t>Auto</t>
  </si>
  <si>
    <t>availability</t>
  </si>
  <si>
    <t>auto27.ALO</t>
  </si>
  <si>
    <t>Created</t>
  </si>
  <si>
    <t>by</t>
  </si>
  <si>
    <t>ALOGIT</t>
  </si>
  <si>
    <t>version</t>
  </si>
  <si>
    <t>on</t>
  </si>
  <si>
    <t>Apr</t>
  </si>
  <si>
    <t>END</t>
  </si>
  <si>
    <t>011:16:44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</si>
  <si>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</si>
  <si>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</si>
  <si>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</si>
  <si>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</si>
  <si>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</si>
  <si>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Old</t>
  </si>
  <si>
    <t>New</t>
  </si>
  <si>
    <t>AutoOwnershipCoefficients_SACOG-v1.5.F12</t>
  </si>
  <si>
    <t>household has at least as many cars as workers</t>
  </si>
  <si>
    <t>Daysim</t>
  </si>
  <si>
    <t>Drivers &lt; Vehicle</t>
  </si>
  <si>
    <t>Table X: Estimated HH by Vehicles and Potential Drivers</t>
  </si>
  <si>
    <t>Table X: Difference of HH by Vehicles and Potential Drivers</t>
  </si>
  <si>
    <t>Table X: Observed HH by Vehicles and Potential Drivers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</si>
</sst>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yy\ hh:mm:ss"/>
    <numFmt numFmtId="165" formatCode="0.00000000000"/>
  </numFmts>
  <fonts count="15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i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Verdana"/>
      <family val="2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numFmtId="0" fontId="0" fillId="0" borderId="0"/>
    <xf numFmtId="0" fontId="8" fillId="5" borderId="0">
      <alignment wrapText="1"/>
    </xf>
    <xf numFmtId="0" fontId="8" fillId="0" borderId="0">
      <alignment wrapText="1"/>
    </xf>
    <xf numFmtId="164" fontId="8" fillId="0" borderId="0">
      <alignment wrapText="1"/>
    </xf>
    <xf numFmtId="0" fontId="9" fillId="0" borderId="0"/>
    <xf numFmtId="0" fontId="8" fillId="0" borderId="0">
      <alignment wrapText="1"/>
    </xf>
    <xf numFmtId="0" fontId="8" fillId="0" borderId="0">
      <alignment wrapText="1"/>
    </xf>
    <xf numFmtId="0" fontId="8" fillId="0" borderId="0">
      <alignment wrapText="1"/>
    </xf>
    <xf numFmtId="164" fontId="8" fillId="0" borderId="0">
      <alignment wrapText="1"/>
    </xf>
    <xf numFmtId="9" fontId="8" fillId="0" borderId="0" applyFont="0" applyFill="0" applyBorder="0" applyAlignment="0" applyProtection="0"/>
  </cellStyleXfs>
  <cellXfs count="108">
    <xf numFmtId="0" fontId="0" fillId="0" borderId="0" xfId="0"/>
    <xf numFmtId="0" fontId="1" fillId="0" borderId="0" xfId="0" applyFont="1"/>
    <xf numFmtId="0" fontId="2" fillId="0" borderId="2" xfId="0" applyFont="1" applyBorder="1" applyAlignment="1">
      <alignment horizontal="right"/>
    </xf>
    <xf numFmtId="0" fontId="2" fillId="0" borderId="0" xfId="0" applyFont="1" applyAlignment="1">
      <alignment horizontal="left"/>
    </xf>
    <xf numFmtId="3" fontId="0" fillId="0" borderId="0" xfId="0" applyNumberFormat="1"/>
    <xf numFmtId="0" fontId="2" fillId="0" borderId="3" xfId="0" applyFont="1" applyBorder="1" applyAlignment="1">
      <alignment horizontal="left"/>
    </xf>
    <xf numFmtId="3" fontId="0" fillId="0" borderId="3" xfId="0" applyNumberFormat="1" applyBorder="1"/>
    <xf numFmtId="0" fontId="2" fillId="0" borderId="4" xfId="0" applyFont="1" applyBorder="1" applyAlignment="1">
      <alignment horizontal="left"/>
    </xf>
    <xf numFmtId="3" fontId="0" fillId="0" borderId="4" xfId="0" applyNumberForma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3" xfId="0" applyFont="1" applyBorder="1"/>
    <xf numFmtId="0" fontId="0" fillId="0" borderId="1" xfId="0" applyBorder="1"/>
    <xf numFmtId="0" fontId="3" fillId="0" borderId="0" xfId="0" applyFont="1"/>
    <xf numFmtId="0" fontId="2" fillId="0" borderId="0" xfId="0" applyFont="1" applyBorder="1" applyAlignment="1">
      <alignment horizontal="left"/>
    </xf>
    <xf numFmtId="3" fontId="0" fillId="0" borderId="0" xfId="0" applyNumberFormat="1" applyBorder="1"/>
    <xf numFmtId="0" fontId="4" fillId="0" borderId="0" xfId="0" applyFont="1"/>
    <xf numFmtId="9" fontId="0" fillId="0" borderId="0" xfId="0" applyNumberFormat="1"/>
    <xf numFmtId="9" fontId="0" fillId="0" borderId="3" xfId="0" applyNumberFormat="1" applyBorder="1"/>
    <xf numFmtId="9" fontId="0" fillId="0" borderId="4" xfId="0" applyNumberFormat="1" applyBorder="1"/>
    <xf numFmtId="0" fontId="5" fillId="2" borderId="1" xfId="0" applyFont="1" applyFill="1" applyBorder="1"/>
    <xf numFmtId="0" fontId="1" fillId="2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9" fontId="0" fillId="2" borderId="0" xfId="0" applyNumberFormat="1" applyFill="1"/>
    <xf numFmtId="0" fontId="2" fillId="2" borderId="4" xfId="0" applyFont="1" applyFill="1" applyBorder="1" applyAlignment="1">
      <alignment horizontal="left"/>
    </xf>
    <xf numFmtId="9" fontId="0" fillId="2" borderId="4" xfId="0" applyNumberFormat="1" applyFill="1" applyBorder="1"/>
    <xf numFmtId="0" fontId="0" fillId="2" borderId="0" xfId="0" applyFill="1"/>
    <xf numFmtId="0" fontId="6" fillId="3" borderId="3" xfId="0" applyFont="1" applyFill="1" applyBorder="1"/>
    <xf numFmtId="0" fontId="7" fillId="3" borderId="2" xfId="0" applyFont="1" applyFill="1" applyBorder="1" applyAlignment="1">
      <alignment horizontal="right"/>
    </xf>
    <xf numFmtId="9" fontId="0" fillId="4" borderId="0" xfId="0" applyNumberFormat="1" applyFill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0" fillId="0" borderId="3" xfId="0" applyBorder="1"/>
    <xf numFmtId="0" fontId="8" fillId="0" borderId="0" xfId="2" applyBorder="1" applyAlignment="1"/>
    <xf numFmtId="9" fontId="0" fillId="0" borderId="0" xfId="0" applyNumberFormat="1" applyBorder="1"/>
    <xf numFmtId="0" fontId="0" fillId="0" borderId="0" xfId="0" applyBorder="1"/>
    <xf numFmtId="0" fontId="10" fillId="0" borderId="0" xfId="0" applyFont="1"/>
    <xf numFmtId="0" fontId="11" fillId="0" borderId="0" xfId="0" applyFont="1"/>
    <xf numFmtId="11" fontId="0" fillId="0" borderId="0" xfId="0" applyNumberFormat="1"/>
    <xf numFmtId="0" fontId="12" fillId="0" borderId="0" xfId="0" applyFont="1"/>
    <xf numFmtId="0" fontId="13" fillId="0" borderId="0" xfId="0" applyFont="1"/>
    <xf numFmtId="11" fontId="12" fillId="0" borderId="0" xfId="0" applyNumberFormat="1" applyFont="1"/>
    <xf numFmtId="0" fontId="2" fillId="0" borderId="5" xfId="0" applyFont="1" applyBorder="1" applyAlignment="1">
      <alignment horizontal="right"/>
    </xf>
    <xf numFmtId="3" fontId="8" fillId="0" borderId="0" xfId="2" applyNumberFormat="1" applyAlignment="1"/>
    <xf numFmtId="0" fontId="14" fillId="0" borderId="0" xfId="0" applyFont="1"/>
    <xf numFmtId="0" fontId="0" fillId="0" borderId="2" xfId="0" applyBorder="1" applyAlignment="1">
      <alignment horizontal="center" vertical="top"/>
    </xf>
    <xf numFmtId="2" fontId="0" fillId="0" borderId="0" xfId="0" applyNumberFormat="1"/>
    <xf numFmtId="21" fontId="0" fillId="0" borderId="0" xfId="0" applyNumberFormat="1"/>
    <xf numFmtId="0" fontId="0" fillId="6" borderId="0" xfId="0" applyFill="1"/>
    <xf numFmtId="165" fontId="0" fillId="0" borderId="0" xfId="0" applyNumberFormat="1"/>
    <xf numFmtId="165" fontId="0" fillId="0" borderId="0" xfId="0" applyNumberFormat="1" applyFill="1"/>
    <xf numFmtId="165" fontId="0" fillId="7" borderId="0" xfId="0" applyNumberFormat="1" applyFill="1"/>
    <xf numFmtId="165" fontId="0" fillId="6" borderId="0" xfId="0" applyNumberFormat="1" applyFill="1"/>
    <xf numFmtId="0" fontId="13" fillId="0" borderId="1" xfId="0" applyFont="1" applyBorder="1"/>
    <xf numFmtId="165" fontId="0" fillId="0" borderId="1" xfId="0" applyNumberFormat="1" applyBorder="1"/>
    <xf numFmtId="2" fontId="0" fillId="0" borderId="1" xfId="0" applyNumberFormat="1" applyBorder="1"/>
    <xf numFmtId="0" fontId="0" fillId="0" borderId="1" xfId="0" applyFill="1" applyBorder="1"/>
    <xf numFmtId="0" fontId="2" fillId="0" borderId="0" xfId="0" applyFont="1" applyFill="1" applyBorder="1" applyAlignment="1">
      <alignment horizontal="right"/>
    </xf>
    <xf numFmtId="9" fontId="0" fillId="0" borderId="0" xfId="9" applyFont="1"/>
    <xf numFmtId="0" fontId="5" fillId="0" borderId="0" xfId="0" applyFont="1"/>
  </cellXfs>
  <cellStyles count="10">
    <cellStyle name="Normal" xfId="0" builtinId="0"/>
    <cellStyle name="Normal 2" xfId="4"/>
    <cellStyle name="Percent" xfId="9" builtinId="5"/>
    <cellStyle name="XLConnect.Boolean" xfId="7"/>
    <cellStyle name="XLConnect.Date" xfId="3"/>
    <cellStyle name="XLConnect.DateTime" xfId="8"/>
    <cellStyle name="XLConnect.General" xfId="2"/>
    <cellStyle name="XLConnect.Header" xfId="1"/>
    <cellStyle name="XLConnect.Numeric" xfId="6"/>
    <cellStyle name="XLConnect.String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63"/>
  <sheetViews>
    <sheetView workbookViewId="0">
      <selection activeCell="O15" sqref="O15"/>
    </sheetView>
  </sheetViews>
  <sheetFormatPr defaultRowHeight="15" x14ac:dyDescent="0.25"/>
  <cols>
    <col min="1" max="23" customWidth="true" width="9.28515625" collapsed="true"/>
  </cols>
  <sheetData>
    <row r="1" spans="1:33" ht="21" x14ac:dyDescent="0.35">
      <c r="A1" s="13" t="s">
        <v>142</v>
      </c>
      <c r="I1" s="13" t="s">
        <v>13</v>
      </c>
      <c r="Q1" s="13" t="s">
        <v>14</v>
      </c>
    </row>
    <row r="2" spans="1:33" x14ac:dyDescent="0.25">
      <c r="A2" s="1"/>
      <c r="I2" s="1" t="s">
        <v>16</v>
      </c>
      <c r="Q2" s="1"/>
    </row>
    <row r="3" spans="1:33" x14ac:dyDescent="0.25">
      <c r="A3" s="1" t="s">
        <v>143</v>
      </c>
      <c r="I3" s="1" t="s">
        <v>18</v>
      </c>
      <c r="Q3" s="16" t="s">
        <v>12</v>
      </c>
    </row>
    <row r="4" spans="1:33" ht="15.75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3" x14ac:dyDescent="0.25">
      <c r="A5" s="11" t="s">
        <v>10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10</v>
      </c>
      <c r="J5" s="90">
        <v>0</v>
      </c>
      <c r="K5" s="90">
        <v>1</v>
      </c>
      <c r="L5" s="90">
        <v>2</v>
      </c>
      <c r="M5" s="90">
        <v>3</v>
      </c>
      <c r="N5" s="90" t="s">
        <v>3</v>
      </c>
      <c r="O5" s="2" t="s">
        <v>4</v>
      </c>
      <c r="Q5" s="11" t="s">
        <v>10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3" x14ac:dyDescent="0.25">
      <c r="A6" s="84" t="s">
        <v>28</v>
      </c>
      <c r="B6" s="4" t="n">
        <v>731.187445148917</v>
      </c>
      <c r="C6" s="4" t="n">
        <v>14048.179614756864</v>
      </c>
      <c r="D6" s="4" t="n">
        <v>31852.082287724534</v>
      </c>
      <c r="E6" s="4" t="n">
        <v>13036.775340453702</v>
      </c>
      <c r="F6" s="4" t="n">
        <v>5266.775149334139</v>
      </c>
      <c r="G6" s="4">
        <f>SUM(B6:F6)</f>
        <v>64934.99983741816</v>
      </c>
      <c r="I6" s="3" t="str">
        <f>$A$6</f>
        <v>Williamson</v>
      </c>
      <c r="J6" s="4">
        <v>1315</v>
      </c>
      <c r="K6" s="4">
        <v>12748</v>
      </c>
      <c r="L6" s="4">
        <v>30783</v>
      </c>
      <c r="M6" s="4">
        <v>13022</v>
      </c>
      <c r="N6" s="4">
        <v>4640</v>
      </c>
      <c r="O6" s="4">
        <f>SUM(J6:N6)</f>
        <v>62508</v>
      </c>
      <c r="Q6" s="3" t="str">
        <f>$A$6</f>
        <v>Williamson</v>
      </c>
      <c r="R6" s="30" t="n">
        <v>500.0</v>
      </c>
      <c r="S6" s="32" t="n">
        <v>15000.0</v>
      </c>
      <c r="T6" s="34" t="n">
        <v>36000.0</v>
      </c>
      <c r="U6" s="36" t="n">
        <v>9500.0</v>
      </c>
      <c r="V6" s="38" t="n">
        <v>4500.0</v>
      </c>
      <c r="W6" s="4">
        <f>SUM(R6:V6)</f>
        <v>64935</v>
      </c>
    </row>
    <row r="7" spans="1:33" x14ac:dyDescent="0.25">
      <c r="A7" s="85" t="s">
        <v>29</v>
      </c>
      <c r="B7" s="4" t="n">
        <v>2786.8445822957024</v>
      </c>
      <c r="C7" s="4" t="n">
        <v>30698.130753897873</v>
      </c>
      <c r="D7" s="4" t="n">
        <v>40350.62518985948</v>
      </c>
      <c r="E7" s="4" t="n">
        <v>17996.046979219984</v>
      </c>
      <c r="F7" s="4" t="n">
        <v>7231.352015295153</v>
      </c>
      <c r="G7" s="4">
        <f t="shared" ref="G7:G11" si="0">SUM(B7:F7)</f>
        <v>99062.999520568192</v>
      </c>
      <c r="I7" s="3" t="str">
        <f>$A$7</f>
        <v>Rutherford</v>
      </c>
      <c r="J7" s="91">
        <v>2959</v>
      </c>
      <c r="K7" s="91">
        <v>25992</v>
      </c>
      <c r="L7" s="91">
        <v>40468</v>
      </c>
      <c r="M7" s="91">
        <v>15897</v>
      </c>
      <c r="N7" s="91">
        <v>7027</v>
      </c>
      <c r="O7" s="4">
        <f t="shared" ref="O7:O11" si="1">SUM(J7:N7)</f>
        <v>92343</v>
      </c>
      <c r="Q7" s="3" t="str">
        <f>$A$7</f>
        <v>Rutherford</v>
      </c>
      <c r="R7" s="31" t="n">
        <v>7500.0</v>
      </c>
      <c r="S7" s="33" t="n">
        <v>33000.0</v>
      </c>
      <c r="T7" s="35" t="n">
        <v>40000.0</v>
      </c>
      <c r="U7" s="37" t="n">
        <v>13000.0</v>
      </c>
      <c r="V7" s="39" t="n">
        <v>6000.0</v>
      </c>
      <c r="W7" s="4">
        <f t="shared" ref="W7:W12" si="2">SUM(R7:V7)</f>
        <v>99063</v>
      </c>
    </row>
    <row r="8" spans="1:33" x14ac:dyDescent="0.25">
      <c r="A8" s="85" t="s">
        <v>30</v>
      </c>
      <c r="B8" s="4" t="n">
        <v>1158.3919971818311</v>
      </c>
      <c r="C8" s="4" t="n">
        <v>18351.80950882281</v>
      </c>
      <c r="D8" s="4" t="n">
        <v>23603.293067779297</v>
      </c>
      <c r="E8" s="4" t="n">
        <v>13440.683328309799</v>
      </c>
      <c r="F8" s="4" t="n">
        <v>4478.821620875919</v>
      </c>
      <c r="G8" s="4">
        <f t="shared" si="0"/>
        <v>61032.999522969658</v>
      </c>
      <c r="I8" s="3" t="str">
        <f>$A$8</f>
        <v>Sumner</v>
      </c>
      <c r="J8" s="91">
        <v>2080</v>
      </c>
      <c r="K8" s="91">
        <v>16821</v>
      </c>
      <c r="L8" s="91">
        <v>23710</v>
      </c>
      <c r="M8" s="91">
        <v>12092</v>
      </c>
      <c r="N8" s="91">
        <v>4800</v>
      </c>
      <c r="O8" s="4">
        <f t="shared" si="1"/>
        <v>59503</v>
      </c>
      <c r="Q8" s="3" t="str">
        <f>$A$8</f>
        <v>Sumner</v>
      </c>
      <c r="R8" s="79" t="n">
        <v>4000.0</v>
      </c>
      <c r="S8" s="79" t="n">
        <v>16500.0</v>
      </c>
      <c r="T8" s="79" t="n">
        <v>24500.0</v>
      </c>
      <c r="U8" s="79" t="n">
        <v>12500.0</v>
      </c>
      <c r="V8" s="79" t="n">
        <v>3500.0</v>
      </c>
      <c r="W8" s="4">
        <f t="shared" si="2"/>
        <v>61033</v>
      </c>
    </row>
    <row r="9" spans="1:33" x14ac:dyDescent="0.25">
      <c r="A9" s="85" t="s">
        <v>31</v>
      </c>
      <c r="B9" s="15" t="n">
        <v>455.8547404188235</v>
      </c>
      <c r="C9" s="15" t="n">
        <v>6538.127433477676</v>
      </c>
      <c r="D9" s="15" t="n">
        <v>10256.204771444716</v>
      </c>
      <c r="E9" s="15" t="n">
        <v>4672.331646781335</v>
      </c>
      <c r="F9" s="15" t="n">
        <v>2378.481257108821</v>
      </c>
      <c r="G9" s="15">
        <f t="shared" si="0"/>
        <v>24300.999849231372</v>
      </c>
      <c r="I9" s="3" t="str">
        <f>$A$9</f>
        <v>Roberston</v>
      </c>
      <c r="J9" s="91">
        <v>1316</v>
      </c>
      <c r="K9" s="91">
        <v>5456</v>
      </c>
      <c r="L9" s="91">
        <v>9990</v>
      </c>
      <c r="M9" s="91">
        <v>4645</v>
      </c>
      <c r="N9" s="91">
        <v>2386</v>
      </c>
      <c r="O9" s="4">
        <f t="shared" si="1"/>
        <v>23793</v>
      </c>
      <c r="Q9" s="3" t="str">
        <f>$A$9</f>
        <v>Roberston</v>
      </c>
      <c r="R9" s="79" t="n">
        <v>1500.0</v>
      </c>
      <c r="S9" s="79" t="n">
        <v>5500.0</v>
      </c>
      <c r="T9" s="79" t="n">
        <v>8000.0</v>
      </c>
      <c r="U9" s="79" t="n">
        <v>3500.0</v>
      </c>
      <c r="V9" s="79" t="n">
        <v>5500.0</v>
      </c>
      <c r="W9" s="4">
        <f t="shared" si="2"/>
        <v>24301</v>
      </c>
    </row>
    <row r="10" spans="1:33" x14ac:dyDescent="0.25">
      <c r="A10" s="85" t="s">
        <v>32</v>
      </c>
      <c r="B10" s="15" t="n">
        <v>31309.188318324675</v>
      </c>
      <c r="C10" s="15" t="n">
        <v>107500.93680698046</v>
      </c>
      <c r="D10" s="15" t="n">
        <v>96594.3281546735</v>
      </c>
      <c r="E10" s="15" t="n">
        <v>30475.768774218</v>
      </c>
      <c r="F10" s="15" t="n">
        <v>10553.781746198596</v>
      </c>
      <c r="G10" s="15">
        <f t="shared" si="0"/>
        <v>276434.00380039524</v>
      </c>
      <c r="I10" s="3" t="str">
        <f>$A$10</f>
        <v>Davidson</v>
      </c>
      <c r="J10" s="91">
        <v>19046</v>
      </c>
      <c r="K10" s="91">
        <v>102775</v>
      </c>
      <c r="L10" s="91">
        <v>91741</v>
      </c>
      <c r="M10" s="91">
        <v>28860</v>
      </c>
      <c r="N10" s="91">
        <v>10055</v>
      </c>
      <c r="O10" s="4">
        <f t="shared" si="1"/>
        <v>252477</v>
      </c>
      <c r="Q10" s="3" t="str">
        <f>$A$10</f>
        <v>Davidson</v>
      </c>
      <c r="R10" s="79" t="n">
        <v>32000.0</v>
      </c>
      <c r="S10" s="79" t="n">
        <v>108000.0</v>
      </c>
      <c r="T10" s="79" t="n">
        <v>96000.0</v>
      </c>
      <c r="U10" s="79" t="n">
        <v>29500.0</v>
      </c>
      <c r="V10" s="79" t="n">
        <v>10000.0</v>
      </c>
      <c r="W10" s="4">
        <f t="shared" si="2"/>
        <v>276434</v>
      </c>
    </row>
    <row r="11" spans="1:33" x14ac:dyDescent="0.25">
      <c r="A11" s="85" t="s">
        <v>33</v>
      </c>
      <c r="B11" s="15" t="n">
        <v>1060.2959524617029</v>
      </c>
      <c r="C11" s="15" t="n">
        <v>10043.683770904117</v>
      </c>
      <c r="D11" s="15" t="n">
        <v>12854.59164798271</v>
      </c>
      <c r="E11" s="15" t="n">
        <v>5749.018292809605</v>
      </c>
      <c r="F11" s="15" t="n">
        <v>2081.410382407391</v>
      </c>
      <c r="G11" s="15">
        <f t="shared" si="0"/>
        <v>31789.000046565525</v>
      </c>
      <c r="I11" s="14" t="str">
        <f>$A$11</f>
        <v>Maury</v>
      </c>
      <c r="J11" s="91">
        <v>1423</v>
      </c>
      <c r="K11" s="91">
        <v>9376</v>
      </c>
      <c r="L11" s="91">
        <v>12932</v>
      </c>
      <c r="M11" s="91">
        <v>5516</v>
      </c>
      <c r="N11" s="91">
        <v>2498</v>
      </c>
      <c r="O11" s="15">
        <f t="shared" si="1"/>
        <v>31745</v>
      </c>
      <c r="Q11" s="14" t="str">
        <f>$A$11</f>
        <v>Maury</v>
      </c>
      <c r="R11" s="81" t="n">
        <v>1000.0</v>
      </c>
      <c r="S11" s="81" t="n">
        <v>12000.0</v>
      </c>
      <c r="T11" s="81" t="n">
        <v>10500.0</v>
      </c>
      <c r="U11" s="81" t="n">
        <v>7000.0</v>
      </c>
      <c r="V11" s="81" t="n">
        <v>1500.0</v>
      </c>
      <c r="W11" s="15">
        <f t="shared" si="2"/>
        <v>31789</v>
      </c>
    </row>
    <row r="12" spans="1:33" x14ac:dyDescent="0.25">
      <c r="A12" s="85" t="s">
        <v>34</v>
      </c>
      <c r="B12" s="15" t="n">
        <v>1699.083906274614</v>
      </c>
      <c r="C12" s="15" t="n">
        <v>9842.47251568767</v>
      </c>
      <c r="D12" s="15" t="n">
        <v>18766.844173414047</v>
      </c>
      <c r="E12" s="15" t="n">
        <v>9372.554709349699</v>
      </c>
      <c r="F12" s="15" t="n">
        <v>3391.0447266239053</v>
      </c>
      <c r="G12" s="15">
        <f>SUM(B12:F12)</f>
        <v>43072.00003134994</v>
      </c>
      <c r="I12" s="14" t="str">
        <f>$A$12</f>
        <v>Wilson</v>
      </c>
      <c r="J12" s="91">
        <v>1446</v>
      </c>
      <c r="K12" s="91">
        <v>9247</v>
      </c>
      <c r="L12" s="91">
        <v>17595</v>
      </c>
      <c r="M12" s="91">
        <v>9265</v>
      </c>
      <c r="N12" s="91">
        <v>3668</v>
      </c>
      <c r="O12" s="15">
        <f>SUM(J12:N12)</f>
        <v>41221</v>
      </c>
      <c r="Q12" s="14" t="str">
        <f>$A$12</f>
        <v>Wilson</v>
      </c>
      <c r="R12" s="15" t="n">
        <v>2500.0</v>
      </c>
      <c r="S12" s="15" t="n">
        <v>8500.0</v>
      </c>
      <c r="T12" s="15" t="n">
        <v>13500.0</v>
      </c>
      <c r="U12" s="15" t="n">
        <v>15000.0</v>
      </c>
      <c r="V12" s="15" t="n">
        <v>3500.0</v>
      </c>
      <c r="W12" s="15">
        <f t="shared" si="2"/>
        <v>43072</v>
      </c>
    </row>
    <row r="13" spans="1:33" ht="15.75" thickBot="1" x14ac:dyDescent="0.3">
      <c r="A13" s="7" t="s">
        <v>4</v>
      </c>
      <c r="B13" s="8">
        <f>SUM(B6:B12)</f>
        <v>39200.846942106269</v>
      </c>
      <c r="C13" s="8">
        <f t="shared" ref="C13:G13" si="3">SUM(C6:C12)</f>
        <v>197023.34040452749</v>
      </c>
      <c r="D13" s="8">
        <f t="shared" si="3"/>
        <v>234277.96929287829</v>
      </c>
      <c r="E13" s="8">
        <f t="shared" si="3"/>
        <v>94743.179071142134</v>
      </c>
      <c r="F13" s="8">
        <f t="shared" si="3"/>
        <v>35381.666897843927</v>
      </c>
      <c r="G13" s="8">
        <f t="shared" si="3"/>
        <v>600627.00260849809</v>
      </c>
      <c r="I13" s="7" t="str">
        <f>$A$13</f>
        <v>Total</v>
      </c>
      <c r="J13" s="8">
        <f>SUM(J6:J12)</f>
        <v>29585</v>
      </c>
      <c r="K13" s="8">
        <f t="shared" ref="K13:O13" si="4">SUM(K6:K12)</f>
        <v>182415</v>
      </c>
      <c r="L13" s="8">
        <f t="shared" si="4"/>
        <v>227219</v>
      </c>
      <c r="M13" s="8">
        <f t="shared" si="4"/>
        <v>89297</v>
      </c>
      <c r="N13" s="8">
        <f t="shared" si="4"/>
        <v>35074</v>
      </c>
      <c r="O13" s="8">
        <f t="shared" si="4"/>
        <v>563590</v>
      </c>
      <c r="Q13" s="7" t="str">
        <f>$A$13</f>
        <v>Total</v>
      </c>
      <c r="R13" s="8">
        <f>SUM(R6:R12)</f>
        <v>38296</v>
      </c>
      <c r="S13" s="8">
        <f t="shared" ref="S13:W13" si="5">SUM(S6:S12)</f>
        <v>200200</v>
      </c>
      <c r="T13" s="8">
        <f t="shared" si="5"/>
        <v>220772</v>
      </c>
      <c r="U13" s="8">
        <f t="shared" si="5"/>
        <v>101769</v>
      </c>
      <c r="V13" s="8">
        <f t="shared" si="5"/>
        <v>39590</v>
      </c>
      <c r="W13" s="8">
        <f t="shared" si="5"/>
        <v>600627</v>
      </c>
    </row>
    <row r="16" spans="1:33" x14ac:dyDescent="0.25">
      <c r="A16" s="1" t="s">
        <v>144</v>
      </c>
      <c r="I16" s="1" t="s">
        <v>19</v>
      </c>
      <c r="Q16" s="16" t="s">
        <v>12</v>
      </c>
      <c r="Y16" s="1" t="s">
        <v>23</v>
      </c>
      <c r="AG16" s="1" t="s">
        <v>17</v>
      </c>
    </row>
    <row r="17" spans="1:39" ht="15.75" thickBot="1" x14ac:dyDescent="0.3">
      <c r="A17" s="12"/>
      <c r="B17" s="10" t="s">
        <v>2</v>
      </c>
      <c r="C17" s="9"/>
      <c r="D17" s="9"/>
      <c r="E17" s="9"/>
      <c r="F17" s="9"/>
      <c r="G17" s="9"/>
      <c r="I17" s="12"/>
      <c r="J17" s="10" t="s">
        <v>2</v>
      </c>
      <c r="K17" s="9"/>
      <c r="L17" s="9"/>
      <c r="M17" s="9"/>
      <c r="N17" s="9"/>
      <c r="O17" s="9"/>
      <c r="Q17" s="12"/>
      <c r="R17" s="10" t="s">
        <v>2</v>
      </c>
      <c r="S17" s="9"/>
      <c r="T17" s="9"/>
      <c r="U17" s="9"/>
      <c r="V17" s="9"/>
      <c r="W17" s="9"/>
      <c r="Y17" s="12"/>
      <c r="Z17" s="10" t="s">
        <v>2</v>
      </c>
      <c r="AA17" s="9"/>
      <c r="AB17" s="9"/>
      <c r="AC17" s="9"/>
      <c r="AD17" s="9"/>
      <c r="AE17" s="9"/>
      <c r="AG17" s="12"/>
      <c r="AH17" s="10" t="s">
        <v>2</v>
      </c>
      <c r="AI17" s="9"/>
      <c r="AJ17" s="9"/>
      <c r="AK17" s="9"/>
      <c r="AL17" s="9"/>
      <c r="AM17" s="9"/>
    </row>
    <row r="18" spans="1:39" x14ac:dyDescent="0.25">
      <c r="A18" s="11" t="s">
        <v>10</v>
      </c>
      <c r="B18" s="2">
        <v>0</v>
      </c>
      <c r="C18" s="2">
        <v>1</v>
      </c>
      <c r="D18" s="2">
        <v>2</v>
      </c>
      <c r="E18" s="2">
        <v>3</v>
      </c>
      <c r="F18" s="2" t="s">
        <v>3</v>
      </c>
      <c r="G18" s="2" t="s">
        <v>4</v>
      </c>
      <c r="I18" s="11" t="s">
        <v>10</v>
      </c>
      <c r="J18" s="2">
        <v>0</v>
      </c>
      <c r="K18" s="2">
        <v>1</v>
      </c>
      <c r="L18" s="2">
        <v>2</v>
      </c>
      <c r="M18" s="2">
        <v>3</v>
      </c>
      <c r="N18" s="2" t="s">
        <v>3</v>
      </c>
      <c r="O18" s="2" t="s">
        <v>4</v>
      </c>
      <c r="Q18" s="11" t="s">
        <v>10</v>
      </c>
      <c r="R18" s="2">
        <v>0</v>
      </c>
      <c r="S18" s="2">
        <v>1</v>
      </c>
      <c r="T18" s="2">
        <v>2</v>
      </c>
      <c r="U18" s="2">
        <v>3</v>
      </c>
      <c r="V18" s="2" t="s">
        <v>3</v>
      </c>
      <c r="W18" s="2" t="s">
        <v>4</v>
      </c>
      <c r="Y18" s="11" t="s">
        <v>10</v>
      </c>
      <c r="Z18" s="2">
        <v>0</v>
      </c>
      <c r="AA18" s="2">
        <v>1</v>
      </c>
      <c r="AB18" s="2">
        <v>2</v>
      </c>
      <c r="AC18" s="2">
        <v>3</v>
      </c>
      <c r="AD18" s="2" t="s">
        <v>3</v>
      </c>
      <c r="AE18" s="2" t="s">
        <v>4</v>
      </c>
      <c r="AG18" s="11" t="s">
        <v>10</v>
      </c>
      <c r="AH18" s="2">
        <v>0</v>
      </c>
      <c r="AI18" s="2">
        <v>1</v>
      </c>
      <c r="AJ18" s="2">
        <v>2</v>
      </c>
      <c r="AK18" s="2">
        <v>3</v>
      </c>
      <c r="AL18" s="2" t="s">
        <v>3</v>
      </c>
      <c r="AM18" s="2" t="s">
        <v>4</v>
      </c>
    </row>
    <row r="19" spans="1:39" x14ac:dyDescent="0.25">
      <c r="A19" s="3" t="str">
        <f>$A$6</f>
        <v>Williamson</v>
      </c>
      <c r="B19" s="4">
        <f>($W6/$G6)*B6</f>
        <v>731.18744697963689</v>
      </c>
      <c r="C19" s="4">
        <f t="shared" ref="C19:G19" si="6">($W6/$G6)*C6</f>
        <v>14048.179649930173</v>
      </c>
      <c r="D19" s="4">
        <f t="shared" si="6"/>
        <v>31852.082367474592</v>
      </c>
      <c r="E19" s="4">
        <f t="shared" si="6"/>
        <v>13036.775373094693</v>
      </c>
      <c r="F19" s="4">
        <f t="shared" si="6"/>
        <v>5266.7751625208948</v>
      </c>
      <c r="G19" s="4">
        <f t="shared" si="6"/>
        <v>64934.999999999993</v>
      </c>
      <c r="I19" s="3" t="str">
        <f>$A$6</f>
        <v>Williamson</v>
      </c>
      <c r="J19" s="4">
        <f>($W6/$O6)*J6</f>
        <v>1366.0575446342868</v>
      </c>
      <c r="K19" s="4">
        <f t="shared" ref="K19:O19" si="7">($W6/$O6)*K6</f>
        <v>13242.966980226531</v>
      </c>
      <c r="L19" s="4">
        <f t="shared" si="7"/>
        <v>31978.212468803995</v>
      </c>
      <c r="M19" s="4">
        <f t="shared" si="7"/>
        <v>13527.605586484931</v>
      </c>
      <c r="N19" s="4">
        <f t="shared" si="7"/>
        <v>4820.1574198502594</v>
      </c>
      <c r="O19" s="4">
        <f t="shared" si="7"/>
        <v>64935</v>
      </c>
      <c r="Q19" s="3" t="str">
        <f>$A$6</f>
        <v>Williamson</v>
      </c>
      <c r="R19" s="4">
        <f>R6</f>
        <v>1472</v>
      </c>
      <c r="S19" s="4">
        <f t="shared" ref="S19:V19" si="8">S6</f>
        <v>15319</v>
      </c>
      <c r="T19" s="4">
        <f t="shared" si="8"/>
        <v>28914</v>
      </c>
      <c r="U19" s="4">
        <f t="shared" si="8"/>
        <v>13879</v>
      </c>
      <c r="V19" s="4">
        <f t="shared" si="8"/>
        <v>5351</v>
      </c>
      <c r="W19" s="4">
        <f>SUM(R19:V19)</f>
        <v>64935</v>
      </c>
      <c r="Y19" s="3" t="str">
        <f>$A$6</f>
        <v>Williamson</v>
      </c>
      <c r="Z19" s="4">
        <f>R19-B19</f>
        <v>740.81255302036311</v>
      </c>
      <c r="AA19" s="4">
        <f t="shared" ref="AA19:AE26" si="9">S19-C19</f>
        <v>1270.8203500698273</v>
      </c>
      <c r="AB19" s="4">
        <f t="shared" si="9"/>
        <v>-2938.0823674745916</v>
      </c>
      <c r="AC19" s="4">
        <f t="shared" si="9"/>
        <v>842.22462690530665</v>
      </c>
      <c r="AD19" s="4">
        <f t="shared" si="9"/>
        <v>84.22483747910519</v>
      </c>
      <c r="AE19" s="4">
        <f t="shared" si="9"/>
        <v>0</v>
      </c>
      <c r="AG19" s="3" t="str">
        <f>$A$6</f>
        <v>Williamson</v>
      </c>
      <c r="AH19" s="17">
        <f>(R6-B19)/B19</f>
        <v>1.0131636642293098</v>
      </c>
      <c r="AI19" s="17">
        <f t="shared" ref="AI19:AM19" si="10">(S6-C19)/C19</f>
        <v>9.0461567387212616E-2</v>
      </c>
      <c r="AJ19" s="17">
        <f t="shared" si="10"/>
        <v>-9.2241453277000895E-2</v>
      </c>
      <c r="AK19" s="17">
        <f t="shared" si="10"/>
        <v>6.4603753827306903E-2</v>
      </c>
      <c r="AL19" s="17">
        <f t="shared" si="10"/>
        <v>1.5991728311939506E-2</v>
      </c>
      <c r="AM19" s="17">
        <f t="shared" si="10"/>
        <v>1.1204985930828408E-16</v>
      </c>
    </row>
    <row r="20" spans="1:39" x14ac:dyDescent="0.25">
      <c r="A20" s="3" t="str">
        <f>$A$7</f>
        <v>Rutherford</v>
      </c>
      <c r="B20" s="4">
        <f>($W7/$G7)*B7</f>
        <v>2786.8445957830986</v>
      </c>
      <c r="C20" s="4">
        <f t="shared" ref="C20:G20" si="11">($W7/$G7)*C7</f>
        <v>30698.130902466564</v>
      </c>
      <c r="D20" s="4">
        <f t="shared" si="11"/>
        <v>40350.625385143016</v>
      </c>
      <c r="E20" s="4">
        <f t="shared" si="11"/>
        <v>17996.047066314837</v>
      </c>
      <c r="F20" s="4">
        <f t="shared" si="11"/>
        <v>7231.3520502924803</v>
      </c>
      <c r="G20" s="4">
        <f t="shared" si="11"/>
        <v>99063</v>
      </c>
      <c r="I20" s="3" t="str">
        <f>$A$7</f>
        <v>Rutherford</v>
      </c>
      <c r="J20" s="4">
        <f t="shared" ref="J20:O20" si="12">($W7/$O7)*J7</f>
        <v>3174.3328351905398</v>
      </c>
      <c r="K20" s="4">
        <f t="shared" si="12"/>
        <v>27883.494103505411</v>
      </c>
      <c r="L20" s="4">
        <f t="shared" si="12"/>
        <v>43412.943958935706</v>
      </c>
      <c r="M20" s="4">
        <f t="shared" si="12"/>
        <v>17053.859101393718</v>
      </c>
      <c r="N20" s="4">
        <f t="shared" si="12"/>
        <v>7538.3700009746271</v>
      </c>
      <c r="O20" s="4">
        <f t="shared" si="12"/>
        <v>99063</v>
      </c>
      <c r="Q20" s="3" t="str">
        <f>$A$7</f>
        <v>Rutherford</v>
      </c>
      <c r="R20" s="4">
        <f t="shared" ref="R20:V20" si="13">R7</f>
        <v>4107</v>
      </c>
      <c r="S20" s="4">
        <f t="shared" si="13"/>
        <v>30676</v>
      </c>
      <c r="T20" s="4">
        <f t="shared" si="13"/>
        <v>38128</v>
      </c>
      <c r="U20" s="4">
        <f t="shared" si="13"/>
        <v>18687</v>
      </c>
      <c r="V20" s="4">
        <f t="shared" si="13"/>
        <v>7465</v>
      </c>
      <c r="W20" s="4">
        <f t="shared" ref="W20:W25" si="14">SUM(R20:V20)</f>
        <v>99063</v>
      </c>
      <c r="Y20" s="3" t="str">
        <f>$A$7</f>
        <v>Rutherford</v>
      </c>
      <c r="Z20" s="4">
        <f t="shared" ref="Z20:Z26" si="15">R20-B20</f>
        <v>1320.1554042169014</v>
      </c>
      <c r="AA20" s="4">
        <f t="shared" si="9"/>
        <v>-22.130902466564294</v>
      </c>
      <c r="AB20" s="4">
        <f t="shared" si="9"/>
        <v>-2222.6253851430156</v>
      </c>
      <c r="AC20" s="4">
        <f t="shared" si="9"/>
        <v>690.95293368516286</v>
      </c>
      <c r="AD20" s="4">
        <f t="shared" si="9"/>
        <v>233.64794970751973</v>
      </c>
      <c r="AE20" s="4">
        <f t="shared" si="9"/>
        <v>0</v>
      </c>
      <c r="AG20" s="3" t="str">
        <f>$A$7</f>
        <v>Rutherford</v>
      </c>
      <c r="AH20" s="17">
        <f t="shared" ref="AH20:AH26" si="16">(R7-B20)/B20</f>
        <v>0.47370973114700715</v>
      </c>
      <c r="AI20" s="17">
        <f t="shared" ref="AI20:AI26" si="17">(S7-C20)/C20</f>
        <v>-7.2092019337848673E-4</v>
      </c>
      <c r="AJ20" s="17">
        <f t="shared" ref="AJ20:AJ26" si="18">(T7-D20)/D20</f>
        <v>-5.5082798938758948E-2</v>
      </c>
      <c r="AK20" s="17">
        <f t="shared" ref="AK20:AK26" si="19">(U7-E20)/E20</f>
        <v>3.839470585618187E-2</v>
      </c>
      <c r="AL20" s="17">
        <f t="shared" ref="AL20:AL26" si="20">(V7-F20)/F20</f>
        <v>3.2310410014966644E-2</v>
      </c>
      <c r="AM20" s="17">
        <f t="shared" ref="AM20:AM26" si="21">(W7-G20)/G20</f>
        <v>0</v>
      </c>
    </row>
    <row r="21" spans="1:39" x14ac:dyDescent="0.25">
      <c r="A21" s="3" t="str">
        <f>$A$8</f>
        <v>Sumner</v>
      </c>
      <c r="B21" s="4">
        <f t="shared" ref="B21:F21" si="22">($W8/$G8)*B8</f>
        <v>1158.3920062357549</v>
      </c>
      <c r="C21" s="4">
        <f t="shared" si="22"/>
        <v>18351.809652259475</v>
      </c>
      <c r="D21" s="4">
        <f t="shared" si="22"/>
        <v>23603.29325226125</v>
      </c>
      <c r="E21" s="4">
        <f t="shared" si="22"/>
        <v>13440.68343336139</v>
      </c>
      <c r="F21" s="4">
        <f t="shared" si="22"/>
        <v>4478.821655882125</v>
      </c>
      <c r="G21" s="4">
        <f t="shared" ref="G21" si="23">($W8/$G8)*G8</f>
        <v>61032.999999999993</v>
      </c>
      <c r="I21" s="3" t="str">
        <f>$A$8</f>
        <v>Sumner</v>
      </c>
      <c r="J21" s="4">
        <f t="shared" ref="J21:O21" si="24">($W8/$O8)*J8</f>
        <v>2133.4830176629753</v>
      </c>
      <c r="K21" s="4">
        <f t="shared" si="24"/>
        <v>17253.51819236005</v>
      </c>
      <c r="L21" s="4">
        <f t="shared" si="24"/>
        <v>24319.654975379395</v>
      </c>
      <c r="M21" s="4">
        <f t="shared" si="24"/>
        <v>12402.921466144564</v>
      </c>
      <c r="N21" s="4">
        <f t="shared" si="24"/>
        <v>4923.4223484530194</v>
      </c>
      <c r="O21" s="4">
        <f t="shared" si="24"/>
        <v>61033</v>
      </c>
      <c r="Q21" s="3" t="str">
        <f>$A$8</f>
        <v>Sumner</v>
      </c>
      <c r="R21" s="4">
        <f t="shared" ref="R21:V21" si="25">R8</f>
        <v>1650</v>
      </c>
      <c r="S21" s="4">
        <f t="shared" si="25"/>
        <v>17833</v>
      </c>
      <c r="T21" s="4">
        <f t="shared" si="25"/>
        <v>24861</v>
      </c>
      <c r="U21" s="4">
        <f t="shared" si="25"/>
        <v>11930</v>
      </c>
      <c r="V21" s="4">
        <f t="shared" si="25"/>
        <v>4759</v>
      </c>
      <c r="W21" s="4">
        <f t="shared" si="14"/>
        <v>61033</v>
      </c>
      <c r="Y21" s="3" t="str">
        <f>$A$8</f>
        <v>Sumner</v>
      </c>
      <c r="Z21" s="4">
        <f t="shared" si="15"/>
        <v>491.60799376424507</v>
      </c>
      <c r="AA21" s="4">
        <f t="shared" si="9"/>
        <v>-518.80965225947511</v>
      </c>
      <c r="AB21" s="4">
        <f t="shared" si="9"/>
        <v>1257.70674773875</v>
      </c>
      <c r="AC21" s="4">
        <f t="shared" si="9"/>
        <v>-1510.6834333613897</v>
      </c>
      <c r="AD21" s="4">
        <f t="shared" si="9"/>
        <v>280.17834411787499</v>
      </c>
      <c r="AE21" s="4">
        <f t="shared" si="9"/>
        <v>0</v>
      </c>
      <c r="AG21" s="3" t="str">
        <f>$A$8</f>
        <v>Sumner</v>
      </c>
      <c r="AH21" s="17">
        <f t="shared" si="16"/>
        <v>0.42438828230673531</v>
      </c>
      <c r="AI21" s="17">
        <f t="shared" si="17"/>
        <v>-2.8270217601979064E-2</v>
      </c>
      <c r="AJ21" s="17">
        <f t="shared" si="18"/>
        <v>5.3285223138015231E-2</v>
      </c>
      <c r="AK21" s="17">
        <f t="shared" si="19"/>
        <v>-0.11239632574127087</v>
      </c>
      <c r="AL21" s="17">
        <f t="shared" si="20"/>
        <v>6.2556262705819335E-2</v>
      </c>
      <c r="AM21" s="17">
        <f t="shared" si="21"/>
        <v>1.1921350112534901E-16</v>
      </c>
    </row>
    <row r="22" spans="1:39" x14ac:dyDescent="0.25">
      <c r="A22" s="3" t="str">
        <f>$A$9</f>
        <v>Roberston</v>
      </c>
      <c r="B22" s="4">
        <f t="shared" ref="B22:G22" si="26">($W9/$G9)*B9</f>
        <v>455.85474324704427</v>
      </c>
      <c r="C22" s="4">
        <f t="shared" si="26"/>
        <v>6538.1274740416238</v>
      </c>
      <c r="D22" s="4">
        <f t="shared" si="26"/>
        <v>10256.204835076414</v>
      </c>
      <c r="E22" s="4">
        <f t="shared" si="26"/>
        <v>4672.3316757694847</v>
      </c>
      <c r="F22" s="4">
        <f t="shared" si="26"/>
        <v>2378.4812718654298</v>
      </c>
      <c r="G22" s="4">
        <f t="shared" si="26"/>
        <v>24300.999999999996</v>
      </c>
      <c r="I22" s="3" t="str">
        <f>$A$9</f>
        <v>Roberston</v>
      </c>
      <c r="J22" s="4">
        <f t="shared" ref="J22:O22" si="27">($W9/$O9)*J9</f>
        <v>1344.0976757869962</v>
      </c>
      <c r="K22" s="4">
        <f t="shared" si="27"/>
        <v>5572.4900601017107</v>
      </c>
      <c r="L22" s="4">
        <f t="shared" si="27"/>
        <v>10203.29466649855</v>
      </c>
      <c r="M22" s="4">
        <f t="shared" si="27"/>
        <v>4744.1745471357117</v>
      </c>
      <c r="N22" s="4">
        <f t="shared" si="27"/>
        <v>2436.9430504770307</v>
      </c>
      <c r="O22" s="4">
        <f t="shared" si="27"/>
        <v>24301</v>
      </c>
      <c r="Q22" s="3" t="str">
        <f>$A$9</f>
        <v>Roberston</v>
      </c>
      <c r="R22" s="4">
        <f t="shared" ref="R22:V22" si="28">R9</f>
        <v>733</v>
      </c>
      <c r="S22" s="4">
        <f t="shared" si="28"/>
        <v>6954</v>
      </c>
      <c r="T22" s="4">
        <f t="shared" si="28"/>
        <v>9823</v>
      </c>
      <c r="U22" s="4">
        <f t="shared" si="28"/>
        <v>4804</v>
      </c>
      <c r="V22" s="4">
        <f t="shared" si="28"/>
        <v>1987</v>
      </c>
      <c r="W22" s="4">
        <f t="shared" si="14"/>
        <v>24301</v>
      </c>
      <c r="Y22" s="3" t="str">
        <f>$A$9</f>
        <v>Roberston</v>
      </c>
      <c r="Z22" s="4">
        <f t="shared" si="15"/>
        <v>277.14525675295573</v>
      </c>
      <c r="AA22" s="4">
        <f t="shared" si="9"/>
        <v>415.87252595837617</v>
      </c>
      <c r="AB22" s="4">
        <f t="shared" si="9"/>
        <v>-433.20483507641438</v>
      </c>
      <c r="AC22" s="4">
        <f t="shared" si="9"/>
        <v>131.66832423051528</v>
      </c>
      <c r="AD22" s="4">
        <f t="shared" si="9"/>
        <v>-391.48127186542979</v>
      </c>
      <c r="AE22" s="4">
        <f t="shared" si="9"/>
        <v>0</v>
      </c>
      <c r="AG22" s="3" t="str">
        <f>$A$9</f>
        <v>Roberston</v>
      </c>
      <c r="AH22" s="17">
        <f t="shared" si="16"/>
        <v>0.60796835145084938</v>
      </c>
      <c r="AI22" s="17">
        <f t="shared" si="17"/>
        <v>6.3607283218248337E-2</v>
      </c>
      <c r="AJ22" s="17">
        <f t="shared" si="18"/>
        <v>-4.2238317393471475E-2</v>
      </c>
      <c r="AK22" s="17">
        <f t="shared" si="19"/>
        <v>2.818043182022836E-2</v>
      </c>
      <c r="AL22" s="17">
        <f t="shared" si="20"/>
        <v>-0.16459295958987863</v>
      </c>
      <c r="AM22" s="17">
        <f t="shared" si="21"/>
        <v>1.4970490132470735E-16</v>
      </c>
    </row>
    <row r="23" spans="1:39" x14ac:dyDescent="0.25">
      <c r="A23" s="14" t="str">
        <f>$A$10</f>
        <v>Davidson</v>
      </c>
      <c r="B23" s="15">
        <f t="shared" ref="B23:G23" si="29">($W10/$G10)*B10</f>
        <v>31309.187887888154</v>
      </c>
      <c r="C23" s="15">
        <f t="shared" si="29"/>
        <v>107500.93532906515</v>
      </c>
      <c r="D23" s="15">
        <f t="shared" si="29"/>
        <v>96594.326826701465</v>
      </c>
      <c r="E23" s="15">
        <f t="shared" si="29"/>
        <v>30475.768355239274</v>
      </c>
      <c r="F23" s="15">
        <f t="shared" si="29"/>
        <v>10553.781601105946</v>
      </c>
      <c r="G23" s="15">
        <f t="shared" si="29"/>
        <v>276434</v>
      </c>
      <c r="I23" s="3" t="str">
        <f>$A$10</f>
        <v>Davidson</v>
      </c>
      <c r="J23" s="4">
        <f t="shared" ref="J23:O23" si="30">($W10/$O10)*J10</f>
        <v>20853.234013395282</v>
      </c>
      <c r="K23" s="4">
        <f t="shared" si="30"/>
        <v>112527.0989040586</v>
      </c>
      <c r="L23" s="4">
        <f t="shared" si="30"/>
        <v>100446.10635424218</v>
      </c>
      <c r="M23" s="4">
        <f t="shared" si="30"/>
        <v>31598.463384783565</v>
      </c>
      <c r="N23" s="4">
        <f t="shared" si="30"/>
        <v>11009.0973435204</v>
      </c>
      <c r="O23" s="4">
        <f t="shared" si="30"/>
        <v>276434</v>
      </c>
      <c r="Q23" s="3" t="str">
        <f>$A$10</f>
        <v>Davidson</v>
      </c>
      <c r="R23" s="4">
        <f t="shared" ref="R23:V23" si="31">R10</f>
        <v>27915</v>
      </c>
      <c r="S23" s="4">
        <f t="shared" si="31"/>
        <v>107689</v>
      </c>
      <c r="T23" s="4">
        <f t="shared" si="31"/>
        <v>88790</v>
      </c>
      <c r="U23" s="4">
        <f t="shared" si="31"/>
        <v>38005</v>
      </c>
      <c r="V23" s="4">
        <f t="shared" si="31"/>
        <v>14035</v>
      </c>
      <c r="W23" s="4">
        <f t="shared" si="14"/>
        <v>276434</v>
      </c>
      <c r="Y23" s="3" t="str">
        <f>$A$10</f>
        <v>Davidson</v>
      </c>
      <c r="Z23" s="4">
        <f t="shared" si="15"/>
        <v>-3394.1878878881544</v>
      </c>
      <c r="AA23" s="4">
        <f t="shared" si="9"/>
        <v>188.06467093485116</v>
      </c>
      <c r="AB23" s="4">
        <f t="shared" si="9"/>
        <v>-7804.3268267014646</v>
      </c>
      <c r="AC23" s="4">
        <f t="shared" si="9"/>
        <v>7529.2316447607263</v>
      </c>
      <c r="AD23" s="4">
        <f t="shared" si="9"/>
        <v>3481.2183988940542</v>
      </c>
      <c r="AE23" s="4">
        <f t="shared" si="9"/>
        <v>0</v>
      </c>
      <c r="AG23" s="3" t="str">
        <f>$A$10</f>
        <v>Davidson</v>
      </c>
      <c r="AH23" s="17">
        <f t="shared" si="16"/>
        <v>-0.10840868501738378</v>
      </c>
      <c r="AI23" s="17">
        <f t="shared" si="17"/>
        <v>1.7494235781221514E-3</v>
      </c>
      <c r="AJ23" s="17">
        <f t="shared" si="18"/>
        <v>-8.0794877743732285E-2</v>
      </c>
      <c r="AK23" s="17">
        <f t="shared" si="19"/>
        <v>0.24705633528239923</v>
      </c>
      <c r="AL23" s="17">
        <f t="shared" si="20"/>
        <v>0.32985507285173044</v>
      </c>
      <c r="AM23" s="17">
        <f t="shared" si="21"/>
        <v>0</v>
      </c>
    </row>
    <row r="24" spans="1:39" x14ac:dyDescent="0.25">
      <c r="A24" s="14" t="str">
        <f>$A$11</f>
        <v>Maury</v>
      </c>
      <c r="B24" s="15">
        <f t="shared" ref="B24:G24" si="32">($W11/$G11)*B11</f>
        <v>1060.2959509085481</v>
      </c>
      <c r="C24" s="15">
        <f t="shared" si="32"/>
        <v>10043.683756191815</v>
      </c>
      <c r="D24" s="15">
        <f t="shared" si="32"/>
        <v>12854.591629152901</v>
      </c>
      <c r="E24" s="15">
        <f t="shared" si="32"/>
        <v>5749.0182843882621</v>
      </c>
      <c r="F24" s="15">
        <f t="shared" si="32"/>
        <v>2081.4103793584759</v>
      </c>
      <c r="G24" s="15">
        <f t="shared" si="32"/>
        <v>31789</v>
      </c>
      <c r="I24" s="14" t="str">
        <f>$A$11</f>
        <v>Maury</v>
      </c>
      <c r="J24" s="15">
        <f t="shared" ref="J24:O24" si="33">($W11/$O11)*J11</f>
        <v>1424.9723421011183</v>
      </c>
      <c r="K24" s="15">
        <f t="shared" si="33"/>
        <v>9388.9955583556457</v>
      </c>
      <c r="L24" s="15">
        <f t="shared" si="33"/>
        <v>12949.924334540872</v>
      </c>
      <c r="M24" s="15">
        <f t="shared" si="33"/>
        <v>5523.6454244762954</v>
      </c>
      <c r="N24" s="15">
        <f t="shared" si="33"/>
        <v>2501.4623405260672</v>
      </c>
      <c r="O24" s="15">
        <f t="shared" si="33"/>
        <v>31789</v>
      </c>
      <c r="Q24" s="14" t="str">
        <f>$A$11</f>
        <v>Maury</v>
      </c>
      <c r="R24" s="15">
        <f t="shared" ref="R24:V25" si="34">R11</f>
        <v>1155</v>
      </c>
      <c r="S24" s="15">
        <f t="shared" si="34"/>
        <v>10086</v>
      </c>
      <c r="T24" s="15">
        <f t="shared" si="34"/>
        <v>12457</v>
      </c>
      <c r="U24" s="15">
        <f t="shared" si="34"/>
        <v>5783</v>
      </c>
      <c r="V24" s="15">
        <f t="shared" si="34"/>
        <v>2308</v>
      </c>
      <c r="W24" s="15">
        <f t="shared" si="14"/>
        <v>31789</v>
      </c>
      <c r="Y24" s="14" t="str">
        <f>$A$11</f>
        <v>Maury</v>
      </c>
      <c r="Z24" s="4">
        <f t="shared" si="15"/>
        <v>94.704049091451907</v>
      </c>
      <c r="AA24" s="4">
        <f t="shared" si="9"/>
        <v>42.316243808185391</v>
      </c>
      <c r="AB24" s="4">
        <f t="shared" si="9"/>
        <v>-397.59162915290108</v>
      </c>
      <c r="AC24" s="4">
        <f t="shared" si="9"/>
        <v>33.981715611737854</v>
      </c>
      <c r="AD24" s="4">
        <f t="shared" si="9"/>
        <v>226.58962064152411</v>
      </c>
      <c r="AE24" s="4">
        <f t="shared" si="9"/>
        <v>0</v>
      </c>
      <c r="AG24" s="14" t="str">
        <f>$A$11</f>
        <v>Maury</v>
      </c>
      <c r="AH24" s="17">
        <f t="shared" si="16"/>
        <v>8.9318504904504964E-2</v>
      </c>
      <c r="AI24" s="17">
        <f t="shared" si="17"/>
        <v>4.2132194556701291E-3</v>
      </c>
      <c r="AJ24" s="17">
        <f t="shared" si="18"/>
        <v>-3.0929930768956043E-2</v>
      </c>
      <c r="AK24" s="17">
        <f t="shared" si="19"/>
        <v>5.9108727665759652E-3</v>
      </c>
      <c r="AL24" s="17">
        <f t="shared" si="20"/>
        <v>0.10886350086875356</v>
      </c>
      <c r="AM24" s="17">
        <f t="shared" si="21"/>
        <v>0</v>
      </c>
    </row>
    <row r="25" spans="1:39" x14ac:dyDescent="0.25">
      <c r="A25" s="14" t="str">
        <f>$A$12</f>
        <v>Wilson</v>
      </c>
      <c r="B25" s="15">
        <f t="shared" ref="B25:G26" si="35">($W12/$G12)*B12</f>
        <v>1699.0839050379363</v>
      </c>
      <c r="C25" s="15">
        <f t="shared" si="35"/>
        <v>9842.4725085238297</v>
      </c>
      <c r="D25" s="15">
        <f t="shared" si="35"/>
        <v>18766.844159754604</v>
      </c>
      <c r="E25" s="15">
        <f t="shared" si="35"/>
        <v>9372.5547025278884</v>
      </c>
      <c r="F25" s="15">
        <f t="shared" si="35"/>
        <v>3391.0447241557345</v>
      </c>
      <c r="G25" s="15">
        <f t="shared" si="35"/>
        <v>43072</v>
      </c>
      <c r="I25" s="14" t="str">
        <f>$A$12</f>
        <v>Wilson</v>
      </c>
      <c r="J25" s="15">
        <f t="shared" ref="J25:O26" si="36">($W12/$O12)*J12</f>
        <v>1510.931612527595</v>
      </c>
      <c r="K25" s="15">
        <f t="shared" si="36"/>
        <v>9662.2300283835903</v>
      </c>
      <c r="L25" s="15">
        <f t="shared" si="36"/>
        <v>18385.091094345116</v>
      </c>
      <c r="M25" s="15">
        <f t="shared" si="36"/>
        <v>9681.0383057179588</v>
      </c>
      <c r="N25" s="15">
        <f t="shared" si="36"/>
        <v>3832.7089590257392</v>
      </c>
      <c r="O25" s="15">
        <f t="shared" si="36"/>
        <v>43072</v>
      </c>
      <c r="Q25" s="14" t="str">
        <f>$A$12</f>
        <v>Wilson</v>
      </c>
      <c r="R25" s="15">
        <f t="shared" si="34"/>
        <v>1264</v>
      </c>
      <c r="S25" s="15">
        <f t="shared" si="34"/>
        <v>11643</v>
      </c>
      <c r="T25" s="15">
        <f t="shared" si="34"/>
        <v>17799</v>
      </c>
      <c r="U25" s="15">
        <f t="shared" si="34"/>
        <v>8681</v>
      </c>
      <c r="V25" s="15">
        <f t="shared" si="34"/>
        <v>3685</v>
      </c>
      <c r="W25" s="15">
        <f t="shared" si="14"/>
        <v>43072</v>
      </c>
      <c r="Y25" s="14" t="str">
        <f>$A$12</f>
        <v>Wilson</v>
      </c>
      <c r="Z25" s="4">
        <f t="shared" si="15"/>
        <v>-435.08390503793635</v>
      </c>
      <c r="AA25" s="4">
        <f t="shared" si="9"/>
        <v>1800.5274914761703</v>
      </c>
      <c r="AB25" s="4">
        <f t="shared" si="9"/>
        <v>-967.84415975460433</v>
      </c>
      <c r="AC25" s="4">
        <f t="shared" si="9"/>
        <v>-691.55470252788837</v>
      </c>
      <c r="AD25" s="4">
        <f t="shared" si="9"/>
        <v>293.95527584426554</v>
      </c>
      <c r="AE25" s="4">
        <f t="shared" si="9"/>
        <v>0</v>
      </c>
      <c r="AG25" s="14" t="str">
        <f>$A$12</f>
        <v>Wilson</v>
      </c>
      <c r="AH25" s="17">
        <f t="shared" si="16"/>
        <v>-0.25606969952918363</v>
      </c>
      <c r="AI25" s="17">
        <f t="shared" si="17"/>
        <v>0.18293446996340279</v>
      </c>
      <c r="AJ25" s="17">
        <f t="shared" si="18"/>
        <v>-5.1572025190582703E-2</v>
      </c>
      <c r="AK25" s="17">
        <f t="shared" si="19"/>
        <v>-7.3785080426510385E-2</v>
      </c>
      <c r="AL25" s="17">
        <f t="shared" si="20"/>
        <v>8.6685756088767399E-2</v>
      </c>
      <c r="AM25" s="17">
        <f t="shared" si="21"/>
        <v>0</v>
      </c>
    </row>
    <row r="26" spans="1:39" ht="15.75" thickBot="1" x14ac:dyDescent="0.3">
      <c r="A26" s="7" t="str">
        <f>$A$13</f>
        <v>Total</v>
      </c>
      <c r="B26" s="8">
        <f t="shared" si="35"/>
        <v>39200.846771858618</v>
      </c>
      <c r="C26" s="8">
        <f t="shared" si="35"/>
        <v>197023.33954886333</v>
      </c>
      <c r="D26" s="8">
        <f t="shared" si="35"/>
        <v>234277.9682754188</v>
      </c>
      <c r="E26" s="8">
        <f t="shared" si="35"/>
        <v>94743.178659676443</v>
      </c>
      <c r="F26" s="8">
        <f t="shared" si="35"/>
        <v>35381.666744182818</v>
      </c>
      <c r="G26" s="8">
        <f t="shared" si="35"/>
        <v>600627</v>
      </c>
      <c r="I26" s="7" t="str">
        <f>$A$13</f>
        <v>Total</v>
      </c>
      <c r="J26" s="8">
        <f t="shared" si="36"/>
        <v>31529.214136162816</v>
      </c>
      <c r="K26" s="8">
        <f t="shared" si="36"/>
        <v>194402.62283752376</v>
      </c>
      <c r="L26" s="8">
        <f t="shared" si="36"/>
        <v>242150.97200624569</v>
      </c>
      <c r="M26" s="8">
        <f t="shared" si="36"/>
        <v>95165.260595468353</v>
      </c>
      <c r="N26" s="8">
        <f t="shared" si="36"/>
        <v>37378.93042459945</v>
      </c>
      <c r="O26" s="8">
        <f t="shared" si="36"/>
        <v>600627.00000000012</v>
      </c>
      <c r="Q26" s="7" t="str">
        <f>$A$13</f>
        <v>Total</v>
      </c>
      <c r="R26" s="8">
        <f>SUM(R19:R25)</f>
        <v>38296</v>
      </c>
      <c r="S26" s="8">
        <f t="shared" ref="S26:W26" si="37">SUM(S19:S25)</f>
        <v>200200</v>
      </c>
      <c r="T26" s="8">
        <f t="shared" si="37"/>
        <v>220772</v>
      </c>
      <c r="U26" s="8">
        <f t="shared" si="37"/>
        <v>101769</v>
      </c>
      <c r="V26" s="8">
        <f t="shared" si="37"/>
        <v>39590</v>
      </c>
      <c r="W26" s="8">
        <f t="shared" si="37"/>
        <v>600627</v>
      </c>
      <c r="Y26" s="7" t="str">
        <f>$A$13</f>
        <v>Total</v>
      </c>
      <c r="Z26" s="4">
        <f t="shared" si="15"/>
        <v>-904.84677185861801</v>
      </c>
      <c r="AA26" s="4">
        <f t="shared" si="9"/>
        <v>3176.660451136675</v>
      </c>
      <c r="AB26" s="4">
        <f t="shared" si="9"/>
        <v>-13505.968275418796</v>
      </c>
      <c r="AC26" s="4">
        <f t="shared" si="9"/>
        <v>7025.8213403235568</v>
      </c>
      <c r="AD26" s="4">
        <f t="shared" si="9"/>
        <v>4208.3332558171824</v>
      </c>
      <c r="AE26" s="4">
        <f t="shared" si="9"/>
        <v>0</v>
      </c>
      <c r="AG26" s="7" t="str">
        <f>$A$13</f>
        <v>Total</v>
      </c>
      <c r="AH26" s="17">
        <f t="shared" si="16"/>
        <v>-2.3082327203916078E-2</v>
      </c>
      <c r="AI26" s="17">
        <f t="shared" si="17"/>
        <v>1.6123269752763673E-2</v>
      </c>
      <c r="AJ26" s="17">
        <f t="shared" si="18"/>
        <v>-5.7649331581794694E-2</v>
      </c>
      <c r="AK26" s="17">
        <f t="shared" si="19"/>
        <v>7.4156487461337517E-2</v>
      </c>
      <c r="AL26" s="17">
        <f t="shared" si="20"/>
        <v>0.118941068724782</v>
      </c>
      <c r="AM26" s="17">
        <f t="shared" si="21"/>
        <v>0</v>
      </c>
    </row>
    <row r="27" spans="1:39" x14ac:dyDescent="0.25">
      <c r="Q27" s="14"/>
      <c r="R27" s="15"/>
      <c r="S27" s="15"/>
      <c r="T27" s="15"/>
      <c r="U27" s="15"/>
      <c r="V27" s="15"/>
      <c r="W27" s="15"/>
    </row>
    <row r="29" spans="1:39" x14ac:dyDescent="0.25">
      <c r="A29" s="1" t="s">
        <v>144</v>
      </c>
      <c r="I29" s="1" t="s">
        <v>19</v>
      </c>
      <c r="Q29" s="16" t="s">
        <v>12</v>
      </c>
    </row>
    <row r="30" spans="1:39" ht="15.75" thickBot="1" x14ac:dyDescent="0.3">
      <c r="A30" s="12"/>
      <c r="B30" s="10" t="s">
        <v>2</v>
      </c>
      <c r="C30" s="9"/>
      <c r="D30" s="9"/>
      <c r="E30" s="9"/>
      <c r="F30" s="9"/>
      <c r="G30" s="9"/>
      <c r="I30" s="12"/>
      <c r="J30" s="10" t="s">
        <v>2</v>
      </c>
      <c r="K30" s="9"/>
      <c r="L30" s="9"/>
      <c r="M30" s="9"/>
      <c r="N30" s="9"/>
      <c r="O30" s="9"/>
      <c r="Q30" s="12"/>
      <c r="R30" s="10" t="s">
        <v>2</v>
      </c>
      <c r="S30" s="9"/>
      <c r="T30" s="9"/>
      <c r="U30" s="9"/>
      <c r="V30" s="9"/>
      <c r="W30" s="9"/>
    </row>
    <row r="31" spans="1:39" x14ac:dyDescent="0.25">
      <c r="A31" s="11" t="s">
        <v>10</v>
      </c>
      <c r="B31" s="2">
        <v>0</v>
      </c>
      <c r="C31" s="2">
        <v>1</v>
      </c>
      <c r="D31" s="2">
        <v>2</v>
      </c>
      <c r="E31" s="2">
        <v>3</v>
      </c>
      <c r="F31" s="2" t="s">
        <v>3</v>
      </c>
      <c r="G31" s="2" t="s">
        <v>4</v>
      </c>
      <c r="I31" s="11" t="s">
        <v>10</v>
      </c>
      <c r="J31" s="2">
        <v>0</v>
      </c>
      <c r="K31" s="2">
        <v>1</v>
      </c>
      <c r="L31" s="2">
        <v>2</v>
      </c>
      <c r="M31" s="2">
        <v>3</v>
      </c>
      <c r="N31" s="2" t="s">
        <v>3</v>
      </c>
      <c r="O31" s="2" t="s">
        <v>4</v>
      </c>
      <c r="Q31" s="11" t="s">
        <v>10</v>
      </c>
      <c r="R31" s="2">
        <v>0</v>
      </c>
      <c r="S31" s="2">
        <v>1</v>
      </c>
      <c r="T31" s="2">
        <v>2</v>
      </c>
      <c r="U31" s="2">
        <v>3</v>
      </c>
      <c r="V31" s="2" t="s">
        <v>3</v>
      </c>
      <c r="W31" s="2" t="s">
        <v>4</v>
      </c>
    </row>
    <row r="32" spans="1:39" x14ac:dyDescent="0.25">
      <c r="A32" s="3" t="str">
        <f>$A$6</f>
        <v>Williamson</v>
      </c>
      <c r="B32" s="17">
        <f>B19/$G$26</f>
        <v>1.2173735895649662E-3</v>
      </c>
      <c r="C32" s="17">
        <f t="shared" ref="C32:G32" si="38">C19/$G$26</f>
        <v>2.3389191045241346E-2</v>
      </c>
      <c r="D32" s="17">
        <f t="shared" si="38"/>
        <v>5.3031386147267094E-2</v>
      </c>
      <c r="E32" s="17">
        <f t="shared" si="38"/>
        <v>2.1705276940754734E-2</v>
      </c>
      <c r="F32" s="17">
        <f t="shared" si="38"/>
        <v>8.7687952132036937E-3</v>
      </c>
      <c r="G32" s="17">
        <f t="shared" si="38"/>
        <v>0.10811202293603184</v>
      </c>
      <c r="I32" s="3" t="str">
        <f>$A$6</f>
        <v>Williamson</v>
      </c>
      <c r="J32" s="17">
        <f>J19/$O$26</f>
        <v>2.2743858411864376E-3</v>
      </c>
      <c r="K32" s="17">
        <f t="shared" ref="K32:O32" si="39">K19/$O$26</f>
        <v>2.2048570877144263E-2</v>
      </c>
      <c r="L32" s="17">
        <f t="shared" si="39"/>
        <v>5.3241383535545334E-2</v>
      </c>
      <c r="M32" s="17">
        <f t="shared" si="39"/>
        <v>2.2522473326182353E-2</v>
      </c>
      <c r="N32" s="17">
        <f t="shared" si="39"/>
        <v>8.0252093559734384E-3</v>
      </c>
      <c r="O32" s="17">
        <f t="shared" si="39"/>
        <v>0.10811202293603182</v>
      </c>
      <c r="Q32" s="3" t="str">
        <f>$A$6</f>
        <v>Williamson</v>
      </c>
      <c r="R32" s="17">
        <f>R6/$W$13</f>
        <v>2.450772276304595E-3</v>
      </c>
      <c r="S32" s="17">
        <f t="shared" ref="S32:W32" si="40">S6/$W$13</f>
        <v>2.5505013927112834E-2</v>
      </c>
      <c r="T32" s="17">
        <f t="shared" si="40"/>
        <v>4.8139694019749359E-2</v>
      </c>
      <c r="U32" s="17">
        <f t="shared" si="40"/>
        <v>2.3107519308988772E-2</v>
      </c>
      <c r="V32" s="17">
        <f t="shared" si="40"/>
        <v>8.9090234038762834E-3</v>
      </c>
      <c r="W32" s="17">
        <f t="shared" si="40"/>
        <v>0.10811202293603185</v>
      </c>
    </row>
    <row r="33" spans="1:23" x14ac:dyDescent="0.25">
      <c r="A33" s="3" t="str">
        <f>$A$7</f>
        <v>Rutherford</v>
      </c>
      <c r="B33" s="17">
        <f t="shared" ref="B33:G39" si="41">B20/$G$26</f>
        <v>4.6398923055125706E-3</v>
      </c>
      <c r="C33" s="17">
        <f t="shared" si="41"/>
        <v>5.1110141406341313E-2</v>
      </c>
      <c r="D33" s="17">
        <f t="shared" si="41"/>
        <v>6.7180838332514217E-2</v>
      </c>
      <c r="E33" s="17">
        <f t="shared" si="41"/>
        <v>2.9962101381247989E-2</v>
      </c>
      <c r="F33" s="17">
        <f t="shared" si="41"/>
        <v>1.2039671959955979E-2</v>
      </c>
      <c r="G33" s="17">
        <f t="shared" si="41"/>
        <v>0.16493264538557209</v>
      </c>
      <c r="I33" s="3" t="str">
        <f>$A$7</f>
        <v>Rutherford</v>
      </c>
      <c r="J33" s="17">
        <f t="shared" ref="J33:O39" si="42">J20/$O$26</f>
        <v>5.2850318670165332E-3</v>
      </c>
      <c r="K33" s="17">
        <f t="shared" si="42"/>
        <v>4.6423977116422349E-2</v>
      </c>
      <c r="L33" s="17">
        <f t="shared" si="42"/>
        <v>7.227937465171512E-2</v>
      </c>
      <c r="M33" s="17">
        <f t="shared" si="42"/>
        <v>2.8393427370720457E-2</v>
      </c>
      <c r="N33" s="17">
        <f t="shared" si="42"/>
        <v>1.2550834379697591E-2</v>
      </c>
      <c r="O33" s="17">
        <f t="shared" si="42"/>
        <v>0.16493264538557204</v>
      </c>
      <c r="Q33" s="3" t="str">
        <f>$A$7</f>
        <v>Rutherford</v>
      </c>
      <c r="R33" s="17">
        <f t="shared" ref="R33:W39" si="43">R7/$W$13</f>
        <v>6.8378544421079969E-3</v>
      </c>
      <c r="S33" s="17">
        <f t="shared" si="43"/>
        <v>5.1073295073315053E-2</v>
      </c>
      <c r="T33" s="17">
        <f t="shared" si="43"/>
        <v>6.3480329722107071E-2</v>
      </c>
      <c r="U33" s="17">
        <f t="shared" si="43"/>
        <v>3.111248745061411E-2</v>
      </c>
      <c r="V33" s="17">
        <f t="shared" si="43"/>
        <v>1.2428678697427855E-2</v>
      </c>
      <c r="W33" s="17">
        <f t="shared" si="43"/>
        <v>0.16493264538557209</v>
      </c>
    </row>
    <row r="34" spans="1:23" x14ac:dyDescent="0.25">
      <c r="A34" s="3" t="str">
        <f>$A$8</f>
        <v>Sumner</v>
      </c>
      <c r="B34" s="17">
        <f t="shared" si="41"/>
        <v>1.9286379171028858E-3</v>
      </c>
      <c r="C34" s="17">
        <f t="shared" si="41"/>
        <v>3.0554420051478664E-2</v>
      </c>
      <c r="D34" s="17">
        <f t="shared" si="41"/>
        <v>3.9297755932152983E-2</v>
      </c>
      <c r="E34" s="17">
        <f t="shared" si="41"/>
        <v>2.2377754302356355E-2</v>
      </c>
      <c r="F34" s="17">
        <f t="shared" si="41"/>
        <v>7.456910288552005E-3</v>
      </c>
      <c r="G34" s="17">
        <f t="shared" si="41"/>
        <v>0.10161547849164289</v>
      </c>
      <c r="I34" s="3" t="str">
        <f>$A$8</f>
        <v>Sumner</v>
      </c>
      <c r="J34" s="17">
        <f t="shared" si="42"/>
        <v>3.5520930921569874E-3</v>
      </c>
      <c r="K34" s="17">
        <f t="shared" si="42"/>
        <v>2.8725845145756098E-2</v>
      </c>
      <c r="L34" s="17">
        <f t="shared" si="42"/>
        <v>4.0490445776462582E-2</v>
      </c>
      <c r="M34" s="17">
        <f t="shared" si="42"/>
        <v>2.064995657228956E-2</v>
      </c>
      <c r="N34" s="17">
        <f t="shared" si="42"/>
        <v>8.1971379049776624E-3</v>
      </c>
      <c r="O34" s="17">
        <f t="shared" si="42"/>
        <v>0.10161547849164287</v>
      </c>
      <c r="Q34" s="3" t="str">
        <f>$A$8</f>
        <v>Sumner</v>
      </c>
      <c r="R34" s="17">
        <f t="shared" si="43"/>
        <v>2.7471292499338194E-3</v>
      </c>
      <c r="S34" s="17">
        <f t="shared" si="43"/>
        <v>2.969063994792109E-2</v>
      </c>
      <c r="T34" s="17">
        <f t="shared" si="43"/>
        <v>4.1391745625821014E-2</v>
      </c>
      <c r="U34" s="17">
        <f t="shared" si="43"/>
        <v>1.9862576940430584E-2</v>
      </c>
      <c r="V34" s="17">
        <f t="shared" si="43"/>
        <v>7.9233867275363915E-3</v>
      </c>
      <c r="W34" s="17">
        <f t="shared" si="43"/>
        <v>0.1016154784916429</v>
      </c>
    </row>
    <row r="35" spans="1:23" x14ac:dyDescent="0.25">
      <c r="A35" s="14" t="str">
        <f>$A$9</f>
        <v>Roberston</v>
      </c>
      <c r="B35" s="82">
        <f t="shared" si="41"/>
        <v>7.5896478720910692E-4</v>
      </c>
      <c r="C35" s="82">
        <f t="shared" si="41"/>
        <v>1.0885503771961007E-2</v>
      </c>
      <c r="D35" s="82">
        <f t="shared" si="41"/>
        <v>1.7075830482273381E-2</v>
      </c>
      <c r="E35" s="82">
        <f t="shared" si="41"/>
        <v>7.7790903102416056E-3</v>
      </c>
      <c r="F35" s="82">
        <f t="shared" si="41"/>
        <v>3.959997255976554E-3</v>
      </c>
      <c r="G35" s="82">
        <f t="shared" si="41"/>
        <v>4.0459386607661657E-2</v>
      </c>
      <c r="H35" s="83"/>
      <c r="I35" s="14" t="str">
        <f>$A$9</f>
        <v>Roberston</v>
      </c>
      <c r="J35" s="82">
        <f t="shared" si="42"/>
        <v>2.2378242666197092E-3</v>
      </c>
      <c r="K35" s="82">
        <f t="shared" si="42"/>
        <v>9.2777881448914377E-3</v>
      </c>
      <c r="L35" s="82">
        <f t="shared" si="42"/>
        <v>1.6987738923655692E-2</v>
      </c>
      <c r="M35" s="82">
        <f t="shared" si="42"/>
        <v>7.8987034334715399E-3</v>
      </c>
      <c r="N35" s="82">
        <f t="shared" si="42"/>
        <v>4.057331839023271E-3</v>
      </c>
      <c r="O35" s="82">
        <f t="shared" si="42"/>
        <v>4.045938660766165E-2</v>
      </c>
      <c r="Q35" s="3" t="str">
        <f>$A$9</f>
        <v>Roberston</v>
      </c>
      <c r="R35" s="17">
        <f t="shared" si="43"/>
        <v>1.2203913576978723E-3</v>
      </c>
      <c r="S35" s="17">
        <f t="shared" si="43"/>
        <v>1.1577901093357441E-2</v>
      </c>
      <c r="T35" s="17">
        <f t="shared" si="43"/>
        <v>1.6354576134606003E-2</v>
      </c>
      <c r="U35" s="17">
        <f t="shared" si="43"/>
        <v>7.9983084343527681E-3</v>
      </c>
      <c r="V35" s="17">
        <f t="shared" si="43"/>
        <v>3.308209587647575E-3</v>
      </c>
      <c r="W35" s="17">
        <f t="shared" si="43"/>
        <v>4.0459386607661657E-2</v>
      </c>
    </row>
    <row r="36" spans="1:23" x14ac:dyDescent="0.25">
      <c r="A36" s="14" t="str">
        <f>$A$10</f>
        <v>Davidson</v>
      </c>
      <c r="B36" s="82">
        <f t="shared" si="41"/>
        <v>5.2127506568782546E-2</v>
      </c>
      <c r="C36" s="82">
        <f t="shared" si="41"/>
        <v>0.17898119020467804</v>
      </c>
      <c r="D36" s="82">
        <f t="shared" si="41"/>
        <v>0.16082248521412035</v>
      </c>
      <c r="E36" s="82">
        <f t="shared" si="41"/>
        <v>5.0739924038112297E-2</v>
      </c>
      <c r="F36" s="82">
        <f t="shared" si="41"/>
        <v>1.7571274020491828E-2</v>
      </c>
      <c r="G36" s="82">
        <f t="shared" si="41"/>
        <v>0.46024238004618506</v>
      </c>
      <c r="H36" s="83"/>
      <c r="I36" s="14" t="str">
        <f>$A$10</f>
        <v>Davidson</v>
      </c>
      <c r="J36" s="82">
        <f t="shared" si="42"/>
        <v>3.471910855388665E-2</v>
      </c>
      <c r="K36" s="82">
        <f t="shared" si="42"/>
        <v>0.1873493847330516</v>
      </c>
      <c r="L36" s="82">
        <f t="shared" si="42"/>
        <v>0.16723541624709204</v>
      </c>
      <c r="M36" s="82">
        <f t="shared" si="42"/>
        <v>5.2609129101394973E-2</v>
      </c>
      <c r="N36" s="82">
        <f t="shared" si="42"/>
        <v>1.8329341410759752E-2</v>
      </c>
      <c r="O36" s="82">
        <f t="shared" si="42"/>
        <v>0.46024238004618501</v>
      </c>
      <c r="Q36" s="3" t="str">
        <f>$A$10</f>
        <v>Davidson</v>
      </c>
      <c r="R36" s="17">
        <f t="shared" si="43"/>
        <v>4.6476432128425796E-2</v>
      </c>
      <c r="S36" s="17">
        <f t="shared" si="43"/>
        <v>0.17929430411886246</v>
      </c>
      <c r="T36" s="17">
        <f t="shared" si="43"/>
        <v>0.14782885218280231</v>
      </c>
      <c r="U36" s="17">
        <f t="shared" si="43"/>
        <v>6.327554372347563E-2</v>
      </c>
      <c r="V36" s="17">
        <f t="shared" si="43"/>
        <v>2.3367247892618879E-2</v>
      </c>
      <c r="W36" s="17">
        <f t="shared" si="43"/>
        <v>0.46024238004618506</v>
      </c>
    </row>
    <row r="37" spans="1:23" x14ac:dyDescent="0.25">
      <c r="A37" s="14" t="str">
        <f>$A$11</f>
        <v>Maury</v>
      </c>
      <c r="B37" s="82">
        <f t="shared" si="41"/>
        <v>1.7653151638347062E-3</v>
      </c>
      <c r="C37" s="82">
        <f t="shared" si="41"/>
        <v>1.6721998438618001E-2</v>
      </c>
      <c r="D37" s="82">
        <f t="shared" si="41"/>
        <v>2.140195433963658E-2</v>
      </c>
      <c r="E37" s="82">
        <f t="shared" si="41"/>
        <v>9.5716947196650536E-3</v>
      </c>
      <c r="F37" s="82">
        <f t="shared" si="41"/>
        <v>3.4653959601524337E-3</v>
      </c>
      <c r="G37" s="82">
        <f t="shared" si="41"/>
        <v>5.2926358621906776E-2</v>
      </c>
      <c r="H37" s="83"/>
      <c r="I37" s="14" t="str">
        <f>$A$11</f>
        <v>Maury</v>
      </c>
      <c r="J37" s="82">
        <f t="shared" si="42"/>
        <v>2.3724746674743525E-3</v>
      </c>
      <c r="K37" s="82">
        <f t="shared" si="42"/>
        <v>1.5631990500519697E-2</v>
      </c>
      <c r="L37" s="82">
        <f t="shared" si="42"/>
        <v>2.1560676317483013E-2</v>
      </c>
      <c r="M37" s="82">
        <f t="shared" si="42"/>
        <v>9.1964654011163233E-3</v>
      </c>
      <c r="N37" s="82">
        <f t="shared" si="42"/>
        <v>4.1647517353133757E-3</v>
      </c>
      <c r="O37" s="82">
        <f t="shared" si="42"/>
        <v>5.2926358621906762E-2</v>
      </c>
      <c r="Q37" s="14" t="str">
        <f>$A$11</f>
        <v>Maury</v>
      </c>
      <c r="R37" s="82">
        <f t="shared" si="43"/>
        <v>1.9229904749536735E-3</v>
      </c>
      <c r="S37" s="82">
        <f t="shared" si="43"/>
        <v>1.6792451887777272E-2</v>
      </c>
      <c r="T37" s="82">
        <f t="shared" si="43"/>
        <v>2.0739993373591264E-2</v>
      </c>
      <c r="U37" s="82">
        <f t="shared" si="43"/>
        <v>9.6282717893135007E-3</v>
      </c>
      <c r="V37" s="82">
        <f t="shared" si="43"/>
        <v>3.8426510962710635E-3</v>
      </c>
      <c r="W37" s="82">
        <f t="shared" si="43"/>
        <v>5.2926358621906776E-2</v>
      </c>
    </row>
    <row r="38" spans="1:23" x14ac:dyDescent="0.25">
      <c r="A38" s="14" t="str">
        <f>$A$12</f>
        <v>Wilson</v>
      </c>
      <c r="B38" s="82">
        <f t="shared" si="41"/>
        <v>2.8288503597706004E-3</v>
      </c>
      <c r="C38" s="82">
        <f t="shared" si="41"/>
        <v>1.6386996436263821E-2</v>
      </c>
      <c r="D38" s="82">
        <f t="shared" si="41"/>
        <v>3.1245422133461539E-2</v>
      </c>
      <c r="E38" s="82">
        <f t="shared" si="41"/>
        <v>1.5604617678738865E-2</v>
      </c>
      <c r="F38" s="82">
        <f t="shared" si="41"/>
        <v>5.6458413027648344E-3</v>
      </c>
      <c r="G38" s="82">
        <f t="shared" si="41"/>
        <v>7.1711727910999667E-2</v>
      </c>
      <c r="H38" s="83"/>
      <c r="I38" s="14" t="str">
        <f>$A$12</f>
        <v>Wilson</v>
      </c>
      <c r="J38" s="82">
        <f t="shared" si="42"/>
        <v>2.5155905620752894E-3</v>
      </c>
      <c r="K38" s="82">
        <f t="shared" si="42"/>
        <v>1.6086905897309958E-2</v>
      </c>
      <c r="L38" s="82">
        <f t="shared" si="42"/>
        <v>3.0609831216953473E-2</v>
      </c>
      <c r="M38" s="82">
        <f t="shared" si="42"/>
        <v>1.6118220302646997E-2</v>
      </c>
      <c r="N38" s="82">
        <f t="shared" si="42"/>
        <v>6.3811799320139433E-3</v>
      </c>
      <c r="O38" s="82">
        <f t="shared" si="42"/>
        <v>7.1711727910999654E-2</v>
      </c>
      <c r="Q38" s="14" t="str">
        <f>$A$12</f>
        <v>Wilson</v>
      </c>
      <c r="R38" s="82">
        <f t="shared" si="43"/>
        <v>2.1044674981311197E-3</v>
      </c>
      <c r="S38" s="82">
        <f t="shared" si="43"/>
        <v>1.9384742943623912E-2</v>
      </c>
      <c r="T38" s="82">
        <f t="shared" si="43"/>
        <v>2.9634032436104272E-2</v>
      </c>
      <c r="U38" s="82">
        <f t="shared" si="43"/>
        <v>1.4453229708288173E-2</v>
      </c>
      <c r="V38" s="82">
        <f t="shared" si="43"/>
        <v>6.1352553248521964E-3</v>
      </c>
      <c r="W38" s="82">
        <f t="shared" si="43"/>
        <v>7.1711727910999667E-2</v>
      </c>
    </row>
    <row r="39" spans="1:23" ht="15.75" thickBot="1" x14ac:dyDescent="0.3">
      <c r="A39" s="7" t="str">
        <f>$A$13</f>
        <v>Total</v>
      </c>
      <c r="B39" s="19">
        <f t="shared" si="41"/>
        <v>6.5266541084331234E-2</v>
      </c>
      <c r="C39" s="19">
        <f t="shared" si="41"/>
        <v>0.32802944181474247</v>
      </c>
      <c r="D39" s="19">
        <f t="shared" si="41"/>
        <v>0.39005567228149718</v>
      </c>
      <c r="E39" s="19">
        <f t="shared" si="41"/>
        <v>0.15774045898648653</v>
      </c>
      <c r="F39" s="19">
        <f t="shared" si="41"/>
        <v>5.8907885832942604E-2</v>
      </c>
      <c r="G39" s="19">
        <f t="shared" si="41"/>
        <v>1</v>
      </c>
      <c r="H39" s="83"/>
      <c r="I39" s="7" t="str">
        <f>$A$13</f>
        <v>Total</v>
      </c>
      <c r="J39" s="19">
        <f t="shared" si="42"/>
        <v>5.2493834170230125E-2</v>
      </c>
      <c r="K39" s="19">
        <f t="shared" si="42"/>
        <v>0.32366614027928103</v>
      </c>
      <c r="L39" s="19">
        <f t="shared" si="42"/>
        <v>0.40316364733228049</v>
      </c>
      <c r="M39" s="19">
        <f t="shared" si="42"/>
        <v>0.1584431945208396</v>
      </c>
      <c r="N39" s="19">
        <f t="shared" si="42"/>
        <v>6.2233183697368653E-2</v>
      </c>
      <c r="O39" s="19">
        <f t="shared" si="42"/>
        <v>1</v>
      </c>
      <c r="Q39" s="7" t="str">
        <f>$A$13</f>
        <v>Total</v>
      </c>
      <c r="R39" s="19">
        <f t="shared" si="43"/>
        <v>6.3760037427554872E-2</v>
      </c>
      <c r="S39" s="19">
        <f t="shared" si="43"/>
        <v>0.33331834899197005</v>
      </c>
      <c r="T39" s="19">
        <f t="shared" si="43"/>
        <v>0.36756922349478127</v>
      </c>
      <c r="U39" s="19">
        <f t="shared" si="43"/>
        <v>0.16943793735546353</v>
      </c>
      <c r="V39" s="19">
        <f t="shared" si="43"/>
        <v>6.591445273023025E-2</v>
      </c>
      <c r="W39" s="19">
        <f t="shared" si="43"/>
        <v>1</v>
      </c>
    </row>
    <row r="40" spans="1:23" x14ac:dyDescent="0.25">
      <c r="A40" s="14"/>
      <c r="B40" s="17"/>
      <c r="C40" s="82"/>
      <c r="D40" s="82"/>
      <c r="E40" s="82"/>
      <c r="F40" s="82"/>
      <c r="G40" s="82"/>
      <c r="I40" s="14"/>
      <c r="J40" s="82"/>
      <c r="K40" s="82"/>
      <c r="L40" s="82"/>
      <c r="M40" s="82"/>
      <c r="N40" s="82"/>
      <c r="O40" s="82"/>
      <c r="Q40" s="14"/>
      <c r="R40" s="82"/>
      <c r="S40" s="82"/>
      <c r="T40" s="82"/>
      <c r="U40" s="82"/>
      <c r="V40" s="82"/>
      <c r="W40" s="82"/>
    </row>
    <row r="42" spans="1:23" x14ac:dyDescent="0.25">
      <c r="Q42" s="1" t="s">
        <v>20</v>
      </c>
    </row>
    <row r="43" spans="1:23" ht="15.75" thickBot="1" x14ac:dyDescent="0.3">
      <c r="Q43" s="12"/>
      <c r="R43" s="10" t="s">
        <v>2</v>
      </c>
      <c r="S43" s="9"/>
      <c r="T43" s="9"/>
      <c r="U43" s="9"/>
      <c r="V43" s="9"/>
      <c r="W43" s="9"/>
    </row>
    <row r="44" spans="1:23" x14ac:dyDescent="0.25">
      <c r="Q44" s="11" t="s">
        <v>10</v>
      </c>
      <c r="R44" s="2">
        <v>0</v>
      </c>
      <c r="S44" s="2">
        <v>1</v>
      </c>
      <c r="T44" s="2">
        <v>2</v>
      </c>
      <c r="U44" s="2">
        <v>3</v>
      </c>
      <c r="V44" s="2" t="s">
        <v>3</v>
      </c>
      <c r="W44" s="2" t="s">
        <v>4</v>
      </c>
    </row>
    <row r="45" spans="1:23" x14ac:dyDescent="0.25">
      <c r="Q45" s="3" t="str">
        <f>$A$6</f>
        <v>Williamson</v>
      </c>
      <c r="R45" s="17">
        <f>R32-J32</f>
        <v>1.7638643511815738E-4</v>
      </c>
      <c r="S45" s="17">
        <f t="shared" ref="S45:W45" si="44">S32-K32</f>
        <v>3.456443049968571E-3</v>
      </c>
      <c r="T45" s="17">
        <f t="shared" si="44"/>
        <v>-5.1016895157959749E-3</v>
      </c>
      <c r="U45" s="17">
        <f t="shared" si="44"/>
        <v>5.850459828064189E-4</v>
      </c>
      <c r="V45" s="17">
        <f t="shared" si="44"/>
        <v>8.8381404790284501E-4</v>
      </c>
      <c r="W45" s="17">
        <f t="shared" si="44"/>
        <v>0</v>
      </c>
    </row>
    <row r="46" spans="1:23" x14ac:dyDescent="0.25">
      <c r="Q46" s="3" t="str">
        <f>$A$7</f>
        <v>Rutherford</v>
      </c>
      <c r="R46" s="17">
        <f t="shared" ref="R46:W46" si="45">R33-J33</f>
        <v>1.5528225750914637E-3</v>
      </c>
      <c r="S46" s="17">
        <f t="shared" si="45"/>
        <v>4.649317956892704E-3</v>
      </c>
      <c r="T46" s="17">
        <f t="shared" si="45"/>
        <v>-8.7990449296080492E-3</v>
      </c>
      <c r="U46" s="17">
        <f t="shared" si="45"/>
        <v>2.719060079893653E-3</v>
      </c>
      <c r="V46" s="17">
        <f t="shared" si="45"/>
        <v>-1.2215568226973603E-4</v>
      </c>
      <c r="W46" s="17">
        <f t="shared" si="45"/>
        <v>0</v>
      </c>
    </row>
    <row r="47" spans="1:23" x14ac:dyDescent="0.25">
      <c r="Q47" s="3" t="str">
        <f>$A$8</f>
        <v>Sumner</v>
      </c>
      <c r="R47" s="17">
        <f t="shared" ref="R47:R49" si="46">R34-J34</f>
        <v>-8.0496384222316806E-4</v>
      </c>
      <c r="S47" s="17">
        <f t="shared" ref="S47:S49" si="47">S34-K34</f>
        <v>9.6479480216499214E-4</v>
      </c>
      <c r="T47" s="17">
        <f t="shared" ref="T47:T49" si="48">T34-L34</f>
        <v>9.0129984935843205E-4</v>
      </c>
      <c r="U47" s="17">
        <f t="shared" ref="U47:U49" si="49">U34-M34</f>
        <v>-7.8737963185897611E-4</v>
      </c>
      <c r="V47" s="17">
        <f t="shared" ref="V47:V49" si="50">V34-N34</f>
        <v>-2.7375117744127091E-4</v>
      </c>
      <c r="W47" s="17">
        <f t="shared" ref="W47:W49" si="51">W34-O34</f>
        <v>0</v>
      </c>
    </row>
    <row r="48" spans="1:23" x14ac:dyDescent="0.25">
      <c r="Q48" s="3" t="str">
        <f>$A$9</f>
        <v>Roberston</v>
      </c>
      <c r="R48" s="17">
        <f t="shared" si="46"/>
        <v>-1.0174329089218369E-3</v>
      </c>
      <c r="S48" s="17">
        <f t="shared" si="47"/>
        <v>2.3001129484660036E-3</v>
      </c>
      <c r="T48" s="17">
        <f t="shared" si="48"/>
        <v>-6.3316278904968978E-4</v>
      </c>
      <c r="U48" s="17">
        <f t="shared" si="49"/>
        <v>9.9605000881228256E-5</v>
      </c>
      <c r="V48" s="17">
        <f t="shared" si="50"/>
        <v>-7.4912225137569594E-4</v>
      </c>
      <c r="W48" s="17">
        <f t="shared" si="51"/>
        <v>0</v>
      </c>
    </row>
    <row r="49" spans="1:23" x14ac:dyDescent="0.25">
      <c r="Q49" s="3" t="str">
        <f>$A$10</f>
        <v>Davidson</v>
      </c>
      <c r="R49" s="17">
        <f t="shared" si="46"/>
        <v>1.1757323574539146E-2</v>
      </c>
      <c r="S49" s="17">
        <f t="shared" si="47"/>
        <v>-8.0550806141891362E-3</v>
      </c>
      <c r="T49" s="17">
        <f t="shared" si="48"/>
        <v>-1.9406564064289727E-2</v>
      </c>
      <c r="U49" s="17">
        <f t="shared" si="49"/>
        <v>1.0666414622080657E-2</v>
      </c>
      <c r="V49" s="17">
        <f t="shared" si="50"/>
        <v>5.0379064818591272E-3</v>
      </c>
      <c r="W49" s="17">
        <f t="shared" si="51"/>
        <v>0</v>
      </c>
    </row>
    <row r="50" spans="1:23" x14ac:dyDescent="0.25">
      <c r="Q50" s="14" t="str">
        <f>$A$11</f>
        <v>Maury</v>
      </c>
      <c r="R50" s="82">
        <f t="shared" ref="R50:W50" si="52">R37-J37</f>
        <v>-4.4948419252067908E-4</v>
      </c>
      <c r="S50" s="82">
        <f t="shared" si="52"/>
        <v>1.1604613872575748E-3</v>
      </c>
      <c r="T50" s="82">
        <f t="shared" si="52"/>
        <v>-8.2068294389174914E-4</v>
      </c>
      <c r="U50" s="82">
        <f t="shared" si="52"/>
        <v>4.3180638819717738E-4</v>
      </c>
      <c r="V50" s="82">
        <f t="shared" si="52"/>
        <v>-3.221006390423122E-4</v>
      </c>
      <c r="W50" s="82">
        <f t="shared" si="52"/>
        <v>0</v>
      </c>
    </row>
    <row r="51" spans="1:23" x14ac:dyDescent="0.25">
      <c r="Q51" s="14" t="str">
        <f>$A$12</f>
        <v>Wilson</v>
      </c>
      <c r="R51" s="82">
        <f t="shared" ref="R51:W52" si="53">R38-J38</f>
        <v>-4.1112306394416962E-4</v>
      </c>
      <c r="S51" s="82">
        <f t="shared" si="53"/>
        <v>3.2978370463139541E-3</v>
      </c>
      <c r="T51" s="82">
        <f t="shared" si="53"/>
        <v>-9.7579878084920121E-4</v>
      </c>
      <c r="U51" s="82">
        <f t="shared" si="53"/>
        <v>-1.6649905943588242E-3</v>
      </c>
      <c r="V51" s="82">
        <f t="shared" si="53"/>
        <v>-2.4592460716174689E-4</v>
      </c>
      <c r="W51" s="82">
        <f t="shared" si="53"/>
        <v>0</v>
      </c>
    </row>
    <row r="52" spans="1:23" ht="15.75" thickBot="1" x14ac:dyDescent="0.3">
      <c r="Q52" s="7" t="str">
        <f>$A$13</f>
        <v>Total</v>
      </c>
      <c r="R52" s="19">
        <f t="shared" si="53"/>
        <v>1.1266203257324747E-2</v>
      </c>
      <c r="S52" s="19">
        <f t="shared" ref="S52" si="54">S39-K39</f>
        <v>9.6522087126890144E-3</v>
      </c>
      <c r="T52" s="19">
        <f t="shared" ref="T52" si="55">T39-L39</f>
        <v>-3.5594423837499223E-2</v>
      </c>
      <c r="U52" s="19">
        <f t="shared" ref="U52" si="56">U39-M39</f>
        <v>1.0994742834623927E-2</v>
      </c>
      <c r="V52" s="19">
        <f t="shared" ref="V52" si="57">V39-N39</f>
        <v>3.6812690328615963E-3</v>
      </c>
      <c r="W52" s="19">
        <f t="shared" ref="W52" si="58">W39-O39</f>
        <v>0</v>
      </c>
    </row>
    <row r="55" spans="1:23" ht="15.75" thickBot="1" x14ac:dyDescent="0.3">
      <c r="A55" s="20" t="s">
        <v>145</v>
      </c>
      <c r="B55" s="21"/>
      <c r="C55" s="22"/>
      <c r="D55" s="22"/>
      <c r="E55" s="22"/>
      <c r="F55" s="22"/>
      <c r="G55" s="22"/>
      <c r="I55" s="20" t="s">
        <v>26</v>
      </c>
      <c r="J55" s="21"/>
      <c r="K55" s="22"/>
      <c r="L55" s="22"/>
      <c r="M55" s="22"/>
      <c r="N55" s="22"/>
      <c r="O55" s="22"/>
      <c r="Q55" s="20" t="s">
        <v>27</v>
      </c>
      <c r="R55" s="26"/>
      <c r="S55" s="26"/>
      <c r="T55" s="26"/>
      <c r="U55" s="26"/>
      <c r="V55" s="26"/>
      <c r="W55" s="26"/>
    </row>
    <row r="56" spans="1:23" x14ac:dyDescent="0.25">
      <c r="A56" s="27"/>
      <c r="B56" s="28">
        <v>0</v>
      </c>
      <c r="C56" s="28">
        <v>1</v>
      </c>
      <c r="D56" s="28">
        <v>2</v>
      </c>
      <c r="E56" s="28">
        <v>3</v>
      </c>
      <c r="F56" s="28" t="s">
        <v>3</v>
      </c>
      <c r="G56" s="28" t="s">
        <v>4</v>
      </c>
      <c r="I56" s="27"/>
      <c r="J56" s="28">
        <v>0</v>
      </c>
      <c r="K56" s="28">
        <v>1</v>
      </c>
      <c r="L56" s="28">
        <v>2</v>
      </c>
      <c r="M56" s="28">
        <v>3</v>
      </c>
      <c r="N56" s="28" t="s">
        <v>3</v>
      </c>
      <c r="O56" s="28" t="s">
        <v>4</v>
      </c>
      <c r="Q56" s="27"/>
      <c r="R56" s="28">
        <v>0</v>
      </c>
      <c r="S56" s="28">
        <v>1</v>
      </c>
      <c r="T56" s="28">
        <v>2</v>
      </c>
      <c r="U56" s="28">
        <v>3</v>
      </c>
      <c r="V56" s="28" t="s">
        <v>3</v>
      </c>
      <c r="W56" s="28" t="s">
        <v>4</v>
      </c>
    </row>
    <row r="57" spans="1:23" x14ac:dyDescent="0.25">
      <c r="A57" s="3" t="str">
        <f>$A$6</f>
        <v>Williamson</v>
      </c>
      <c r="B57" s="23"/>
      <c r="C57" s="23"/>
      <c r="D57" s="23"/>
      <c r="E57" s="23"/>
      <c r="F57" s="23"/>
      <c r="G57" s="23"/>
      <c r="I57" s="3" t="str">
        <f>$A$6</f>
        <v>Williamson</v>
      </c>
      <c r="J57" s="23"/>
      <c r="K57" s="23"/>
      <c r="L57" s="23"/>
      <c r="M57" s="23"/>
      <c r="N57" s="23"/>
      <c r="O57" s="23"/>
      <c r="Q57" s="3" t="str">
        <f>$A$6</f>
        <v>Williamson</v>
      </c>
      <c r="R57" s="23"/>
      <c r="S57" s="23"/>
      <c r="T57" s="23"/>
      <c r="U57" s="23"/>
      <c r="V57" s="23"/>
      <c r="W57" s="23"/>
    </row>
    <row r="58" spans="1:23" x14ac:dyDescent="0.25">
      <c r="A58" s="3" t="str">
        <f>$A$7</f>
        <v>Rutherford</v>
      </c>
      <c r="B58" s="29"/>
      <c r="C58" s="29"/>
      <c r="D58" s="29"/>
      <c r="E58" s="29"/>
      <c r="F58" s="29"/>
      <c r="G58" s="29"/>
      <c r="I58" s="3" t="str">
        <f>$A$7</f>
        <v>Rutherford</v>
      </c>
      <c r="J58" s="29"/>
      <c r="K58" s="29"/>
      <c r="L58" s="29"/>
      <c r="M58" s="29"/>
      <c r="N58" s="29"/>
      <c r="O58" s="29"/>
      <c r="Q58" s="3" t="str">
        <f>$A$7</f>
        <v>Rutherford</v>
      </c>
      <c r="R58" s="29"/>
      <c r="S58" s="29"/>
      <c r="T58" s="29"/>
      <c r="U58" s="29"/>
      <c r="V58" s="29"/>
      <c r="W58" s="29"/>
    </row>
    <row r="59" spans="1:23" x14ac:dyDescent="0.25">
      <c r="A59" s="3" t="str">
        <f>$A$8</f>
        <v>Sumner</v>
      </c>
      <c r="B59" s="29"/>
      <c r="C59" s="29"/>
      <c r="D59" s="29"/>
      <c r="E59" s="29"/>
      <c r="F59" s="29"/>
      <c r="G59" s="29"/>
      <c r="I59" s="3" t="str">
        <f>$A$8</f>
        <v>Sumner</v>
      </c>
      <c r="J59" s="29"/>
      <c r="K59" s="29"/>
      <c r="L59" s="29"/>
      <c r="M59" s="29"/>
      <c r="N59" s="29"/>
      <c r="O59" s="29"/>
      <c r="Q59" s="3" t="str">
        <f>$A$8</f>
        <v>Sumner</v>
      </c>
      <c r="R59" s="29"/>
      <c r="S59" s="29"/>
      <c r="T59" s="29"/>
      <c r="U59" s="29"/>
      <c r="V59" s="29"/>
      <c r="W59" s="29"/>
    </row>
    <row r="60" spans="1:23" x14ac:dyDescent="0.25">
      <c r="A60" s="3" t="str">
        <f>$A$9</f>
        <v>Roberston</v>
      </c>
      <c r="B60" s="29"/>
      <c r="C60" s="29"/>
      <c r="D60" s="29"/>
      <c r="E60" s="29"/>
      <c r="F60" s="29"/>
      <c r="G60" s="29"/>
      <c r="I60" s="3" t="str">
        <f>$A$9</f>
        <v>Roberston</v>
      </c>
      <c r="J60" s="29"/>
      <c r="K60" s="29"/>
      <c r="L60" s="29"/>
      <c r="M60" s="29"/>
      <c r="N60" s="29"/>
      <c r="O60" s="29"/>
      <c r="Q60" s="3" t="str">
        <f>$A$9</f>
        <v>Roberston</v>
      </c>
      <c r="R60" s="29"/>
      <c r="S60" s="29"/>
      <c r="T60" s="29"/>
      <c r="U60" s="29"/>
      <c r="V60" s="29"/>
      <c r="W60" s="29"/>
    </row>
    <row r="61" spans="1:23" x14ac:dyDescent="0.25">
      <c r="A61" s="3" t="str">
        <f>$A$10</f>
        <v>Davidson</v>
      </c>
      <c r="B61" s="29"/>
      <c r="C61" s="29"/>
      <c r="D61" s="29"/>
      <c r="E61" s="29"/>
      <c r="F61" s="29"/>
      <c r="G61" s="29"/>
      <c r="I61" s="3" t="str">
        <f>$A$10</f>
        <v>Davidson</v>
      </c>
      <c r="J61" s="29"/>
      <c r="K61" s="29"/>
      <c r="L61" s="29"/>
      <c r="M61" s="29"/>
      <c r="N61" s="29"/>
      <c r="O61" s="29"/>
      <c r="Q61" s="3" t="str">
        <f>$A$10</f>
        <v>Davidson</v>
      </c>
      <c r="R61" s="29"/>
      <c r="S61" s="29"/>
      <c r="T61" s="29"/>
      <c r="U61" s="29"/>
      <c r="V61" s="29"/>
      <c r="W61" s="29"/>
    </row>
    <row r="62" spans="1:23" x14ac:dyDescent="0.25">
      <c r="A62" s="5" t="str">
        <f>$A$11</f>
        <v>Maury</v>
      </c>
      <c r="B62" s="23"/>
      <c r="C62" s="23"/>
      <c r="D62" s="23"/>
      <c r="E62" s="23"/>
      <c r="F62" s="23"/>
      <c r="G62" s="23"/>
      <c r="I62" s="5" t="str">
        <f>$A$11</f>
        <v>Maury</v>
      </c>
      <c r="J62" s="23"/>
      <c r="K62" s="23"/>
      <c r="L62" s="23"/>
      <c r="M62" s="23"/>
      <c r="N62" s="23"/>
      <c r="O62" s="23"/>
      <c r="Q62" s="5" t="str">
        <f>$A$11</f>
        <v>Maury</v>
      </c>
      <c r="R62" s="23"/>
      <c r="S62" s="23"/>
      <c r="T62" s="23"/>
      <c r="U62" s="23"/>
      <c r="V62" s="23"/>
      <c r="W62" s="23"/>
    </row>
    <row r="63" spans="1:23" ht="15.75" thickBot="1" x14ac:dyDescent="0.3">
      <c r="A63" s="24" t="s">
        <v>4</v>
      </c>
      <c r="B63" s="25"/>
      <c r="C63" s="25"/>
      <c r="D63" s="25"/>
      <c r="E63" s="25"/>
      <c r="F63" s="25"/>
      <c r="G63" s="25"/>
      <c r="I63" s="24" t="s">
        <v>4</v>
      </c>
      <c r="J63" s="25"/>
      <c r="K63" s="25"/>
      <c r="L63" s="25"/>
      <c r="M63" s="25"/>
      <c r="N63" s="25"/>
      <c r="O63" s="25"/>
      <c r="Q63" s="24" t="s">
        <v>4</v>
      </c>
      <c r="R63" s="25"/>
      <c r="S63" s="25"/>
      <c r="T63" s="25"/>
      <c r="U63" s="25"/>
      <c r="V63" s="25"/>
      <c r="W63" s="25"/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38"/>
  <sheetViews>
    <sheetView workbookViewId="0">
      <selection activeCell="J33" sqref="J33"/>
    </sheetView>
  </sheetViews>
  <sheetFormatPr defaultRowHeight="15" x14ac:dyDescent="0.25"/>
  <cols>
    <col min="1" max="23" customWidth="true" width="9.28515625" collapsed="true"/>
  </cols>
  <sheetData>
    <row r="1" spans="1:39" ht="21" x14ac:dyDescent="0.35">
      <c r="A1" s="13" t="s">
        <v>142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6" t="s">
        <v>11</v>
      </c>
      <c r="I3" s="16" t="s">
        <v>11</v>
      </c>
      <c r="Q3" s="16" t="s">
        <v>11</v>
      </c>
    </row>
    <row r="4" spans="1:39" ht="15.75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5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5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5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 t="s">
        <v>6</v>
      </c>
      <c r="B6" s="4" t="n">
        <v>25457.059708000103</v>
      </c>
      <c r="C6" s="4" t="n">
        <v>42129.383663876484</v>
      </c>
      <c r="D6" s="4" t="n">
        <v>13329.984564746932</v>
      </c>
      <c r="E6" s="4" t="n">
        <v>4930.342926808293</v>
      </c>
      <c r="F6" s="4" t="n">
        <v>2165.2296313359175</v>
      </c>
      <c r="G6" s="4">
        <f>SUM(B6:F6)</f>
        <v>88012.000494767723</v>
      </c>
      <c r="I6" s="3" t="s">
        <v>6</v>
      </c>
      <c r="J6">
        <v>17580</v>
      </c>
      <c r="K6">
        <v>32190</v>
      </c>
      <c r="L6">
        <v>9300</v>
      </c>
      <c r="M6">
        <v>1160</v>
      </c>
      <c r="N6">
        <v>435</v>
      </c>
      <c r="O6" s="4">
        <v>60665</v>
      </c>
      <c r="Q6" s="3" t="s">
        <v>6</v>
      </c>
      <c r="R6" s="60" t="n">
        <v>35500.0</v>
      </c>
      <c r="S6" s="64" t="n">
        <v>39000.0</v>
      </c>
      <c r="T6" s="68" t="n">
        <v>9000.0</v>
      </c>
      <c r="U6" s="72" t="n">
        <v>3500.0</v>
      </c>
      <c r="V6" s="76" t="n">
        <v>0.0</v>
      </c>
      <c r="W6" s="4">
        <f>SUM(R6:V6)</f>
        <v>88012</v>
      </c>
    </row>
    <row r="7" spans="1:39" x14ac:dyDescent="0.25">
      <c r="A7" s="3" t="s">
        <v>7</v>
      </c>
      <c r="B7" s="4" t="n">
        <v>11975.247659036399</v>
      </c>
      <c r="C7" s="4" t="n">
        <v>108180.6526356624</v>
      </c>
      <c r="D7" s="4" t="n">
        <v>63670.73497880334</v>
      </c>
      <c r="E7" s="4" t="n">
        <v>17789.08314090231</v>
      </c>
      <c r="F7" s="4" t="n">
        <v>6034.281239378122</v>
      </c>
      <c r="G7" s="4">
        <f t="shared" ref="G7:G10" si="0">SUM(B7:F7)</f>
        <v>207649.99965378255</v>
      </c>
      <c r="I7" s="3" t="s">
        <v>7</v>
      </c>
      <c r="J7">
        <v>12305</v>
      </c>
      <c r="K7">
        <v>101355</v>
      </c>
      <c r="L7">
        <v>61450</v>
      </c>
      <c r="M7">
        <v>11555</v>
      </c>
      <c r="N7">
        <v>3309</v>
      </c>
      <c r="O7" s="4">
        <v>189974</v>
      </c>
      <c r="Q7" s="3" t="s">
        <v>7</v>
      </c>
      <c r="R7" s="61" t="n">
        <v>11000.0</v>
      </c>
      <c r="S7" s="65" t="n">
        <v>107500.0</v>
      </c>
      <c r="T7" s="69" t="n">
        <v>75500.0</v>
      </c>
      <c r="U7" s="73" t="n">
        <v>20000.0</v>
      </c>
      <c r="V7" s="77" t="n">
        <v>8500.0</v>
      </c>
      <c r="W7" s="4">
        <f t="shared" ref="W7:W10" si="1">SUM(R7:V7)</f>
        <v>207650</v>
      </c>
    </row>
    <row r="8" spans="1:39" x14ac:dyDescent="0.25">
      <c r="A8" s="3" t="s">
        <v>8</v>
      </c>
      <c r="B8" s="4" t="n">
        <v>1518.722305069765</v>
      </c>
      <c r="C8" s="4" t="n">
        <v>26592.887957125058</v>
      </c>
      <c r="D8" s="4" t="n">
        <v>64251.09109223558</v>
      </c>
      <c r="E8" s="4" t="n">
        <v>17248.052440339343</v>
      </c>
      <c r="F8" s="4" t="n">
        <v>6140.247100794337</v>
      </c>
      <c r="G8" s="4">
        <f t="shared" si="0"/>
        <v>115751.0008955641</v>
      </c>
      <c r="I8" s="3" t="s">
        <v>8</v>
      </c>
      <c r="J8">
        <v>1810</v>
      </c>
      <c r="K8">
        <v>31835</v>
      </c>
      <c r="L8">
        <v>54020</v>
      </c>
      <c r="M8">
        <v>15945</v>
      </c>
      <c r="N8">
        <v>4540</v>
      </c>
      <c r="O8" s="4">
        <v>108150</v>
      </c>
      <c r="Q8" s="3" t="s">
        <v>8</v>
      </c>
      <c r="R8" s="62" t="n">
        <v>1000.0</v>
      </c>
      <c r="S8" s="66" t="n">
        <v>28500.0</v>
      </c>
      <c r="T8" s="70" t="n">
        <v>46000.0</v>
      </c>
      <c r="U8" s="74" t="n">
        <v>21000.0</v>
      </c>
      <c r="V8" s="78" t="n">
        <v>6000.0</v>
      </c>
      <c r="W8" s="4">
        <f t="shared" si="1"/>
        <v>115751</v>
      </c>
    </row>
    <row r="9" spans="1:39" x14ac:dyDescent="0.25">
      <c r="A9" s="5" t="s">
        <v>9</v>
      </c>
      <c r="B9" s="4" t="n">
        <v>249.81727</v>
      </c>
      <c r="C9" s="4" t="n">
        <v>20120.416147863536</v>
      </c>
      <c r="D9" s="4" t="n">
        <v>93026.15865709243</v>
      </c>
      <c r="E9" s="4" t="n">
        <v>54775.70056309218</v>
      </c>
      <c r="F9" s="4" t="n">
        <v>21041.908926335545</v>
      </c>
      <c r="G9" s="6">
        <f t="shared" si="0"/>
        <v>189214.00156438368</v>
      </c>
      <c r="I9" s="5" t="s">
        <v>9</v>
      </c>
      <c r="J9" s="80">
        <v>1648</v>
      </c>
      <c r="K9" s="80">
        <v>21530</v>
      </c>
      <c r="L9" s="80">
        <v>94210</v>
      </c>
      <c r="M9" s="80">
        <v>38565</v>
      </c>
      <c r="N9" s="80">
        <v>15230</v>
      </c>
      <c r="O9" s="6">
        <v>171183</v>
      </c>
      <c r="Q9" s="5" t="s">
        <v>9</v>
      </c>
      <c r="R9" s="63" t="n">
        <v>1500.0</v>
      </c>
      <c r="S9" s="67" t="n">
        <v>23500.0</v>
      </c>
      <c r="T9" s="71" t="n">
        <v>98000.0</v>
      </c>
      <c r="U9" s="75" t="n">
        <v>45500.0</v>
      </c>
      <c r="V9" s="79" t="n">
        <v>20000.0</v>
      </c>
      <c r="W9" s="6">
        <f t="shared" si="1"/>
        <v>189214</v>
      </c>
    </row>
    <row r="10" spans="1:39" ht="15.75" thickBot="1" x14ac:dyDescent="0.3">
      <c r="A10" s="7" t="s">
        <v>4</v>
      </c>
      <c r="B10" s="8">
        <f>SUM(B6:B9)</f>
        <v>39200.846942106262</v>
      </c>
      <c r="C10" s="8">
        <f t="shared" ref="C10:F10" si="2">SUM(C6:C9)</f>
        <v>197023.34040452749</v>
      </c>
      <c r="D10" s="8">
        <f t="shared" si="2"/>
        <v>234277.96929287829</v>
      </c>
      <c r="E10" s="8">
        <f t="shared" si="2"/>
        <v>94743.17907114212</v>
      </c>
      <c r="F10" s="8">
        <f t="shared" si="2"/>
        <v>35381.666897843919</v>
      </c>
      <c r="G10" s="8">
        <f t="shared" si="0"/>
        <v>600627.00260849809</v>
      </c>
      <c r="I10" s="7" t="s">
        <v>4</v>
      </c>
      <c r="J10" s="8">
        <v>33343</v>
      </c>
      <c r="K10" s="8">
        <v>186910</v>
      </c>
      <c r="L10" s="8">
        <v>218980</v>
      </c>
      <c r="M10" s="8">
        <v>67225</v>
      </c>
      <c r="N10" s="8">
        <v>23514</v>
      </c>
      <c r="O10" s="8">
        <v>529972</v>
      </c>
      <c r="Q10" s="7" t="s">
        <v>4</v>
      </c>
      <c r="R10" s="8">
        <f>SUM(R6:R9)</f>
        <v>38296</v>
      </c>
      <c r="S10" s="8">
        <f t="shared" ref="S10" si="3">SUM(S6:S9)</f>
        <v>200200</v>
      </c>
      <c r="T10" s="8">
        <f t="shared" ref="T10" si="4">SUM(T6:T9)</f>
        <v>220772</v>
      </c>
      <c r="U10" s="8">
        <f t="shared" ref="U10" si="5">SUM(U6:U9)</f>
        <v>101769</v>
      </c>
      <c r="V10" s="8">
        <f t="shared" ref="V10" si="6">SUM(V6:V9)</f>
        <v>39590</v>
      </c>
      <c r="W10" s="8">
        <f t="shared" si="1"/>
        <v>600627</v>
      </c>
    </row>
    <row r="13" spans="1:39" x14ac:dyDescent="0.25">
      <c r="A13" s="16" t="s">
        <v>11</v>
      </c>
      <c r="I13" s="16" t="s">
        <v>11</v>
      </c>
      <c r="Q13" s="16" t="s">
        <v>11</v>
      </c>
      <c r="Y13" s="1" t="s">
        <v>21</v>
      </c>
      <c r="AG13" s="1" t="s">
        <v>22</v>
      </c>
    </row>
    <row r="14" spans="1:39" ht="15.75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5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5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5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5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5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 t="s">
        <v>6</v>
      </c>
      <c r="B16" s="4">
        <f t="shared" ref="B16:G20" si="7">($W6/$G6)*B6</f>
        <v>25457.059564890853</v>
      </c>
      <c r="C16" s="4">
        <f t="shared" si="7"/>
        <v>42129.383427042201</v>
      </c>
      <c r="D16" s="4">
        <f t="shared" si="7"/>
        <v>13329.984489811173</v>
      </c>
      <c r="E16" s="4">
        <f t="shared" si="7"/>
        <v>4930.3428990919074</v>
      </c>
      <c r="F16" s="4">
        <f t="shared" si="7"/>
        <v>2165.2296191638757</v>
      </c>
      <c r="G16" s="4">
        <f t="shared" si="7"/>
        <v>88012</v>
      </c>
      <c r="I16" s="3" t="s">
        <v>6</v>
      </c>
      <c r="J16" s="4">
        <f t="shared" ref="J16:O20" si="8">($W6/$O6)*J6</f>
        <v>25504.837385642462</v>
      </c>
      <c r="K16" s="4">
        <f t="shared" si="8"/>
        <v>46700.837055963078</v>
      </c>
      <c r="L16" s="4">
        <f t="shared" si="8"/>
        <v>13492.32011868458</v>
      </c>
      <c r="M16" s="4">
        <f t="shared" si="8"/>
        <v>1682.9130470617326</v>
      </c>
      <c r="N16" s="4">
        <f t="shared" si="8"/>
        <v>631.09239264814971</v>
      </c>
      <c r="O16" s="4">
        <f t="shared" si="8"/>
        <v>88012</v>
      </c>
      <c r="Q16" s="3" t="s">
        <v>6</v>
      </c>
      <c r="R16" s="4">
        <f t="shared" ref="R16:V19" si="9">R6</f>
        <v>28860</v>
      </c>
      <c r="S16" s="4">
        <f t="shared" si="9"/>
        <v>49030</v>
      </c>
      <c r="T16" s="4">
        <f t="shared" si="9"/>
        <v>8591</v>
      </c>
      <c r="U16" s="4">
        <f t="shared" si="9"/>
        <v>1365</v>
      </c>
      <c r="V16" s="4">
        <f t="shared" si="9"/>
        <v>166</v>
      </c>
      <c r="W16" s="4">
        <f>SUM(R16:V16)</f>
        <v>88012</v>
      </c>
      <c r="Y16" s="3" t="s">
        <v>6</v>
      </c>
      <c r="Z16" s="4">
        <f>R16-J16</f>
        <v>3355.1626143575377</v>
      </c>
      <c r="AA16" s="4">
        <f t="shared" ref="AA16:AA20" si="10">S16-K16</f>
        <v>2329.1629440369215</v>
      </c>
      <c r="AB16" s="4">
        <f t="shared" ref="AB16:AB20" si="11">T16-L16</f>
        <v>-4901.3201186845799</v>
      </c>
      <c r="AC16" s="4">
        <f t="shared" ref="AC16:AC20" si="12">U16-M16</f>
        <v>-317.91304706173264</v>
      </c>
      <c r="AD16" s="4">
        <f t="shared" ref="AD16:AD20" si="13">V16-N16</f>
        <v>-465.09239264814971</v>
      </c>
      <c r="AE16" s="4">
        <f t="shared" ref="AE16:AE20" si="14">W16-O16</f>
        <v>0</v>
      </c>
      <c r="AG16" s="3" t="s">
        <v>6</v>
      </c>
      <c r="AH16" s="17">
        <f>Z16/J16</f>
        <v>0.13155004925639213</v>
      </c>
      <c r="AI16" s="17">
        <f t="shared" ref="AI16:AI20" si="15">AA16/K16</f>
        <v>4.9874115559123973E-2</v>
      </c>
      <c r="AJ16" s="17">
        <f t="shared" ref="AJ16:AJ20" si="16">AB16/L16</f>
        <v>-0.36326740512901712</v>
      </c>
      <c r="AK16" s="17">
        <f t="shared" ref="AK16:AK20" si="17">AC16/M16</f>
        <v>-0.18890640108637233</v>
      </c>
      <c r="AL16" s="17">
        <f t="shared" ref="AL16:AL20" si="18">AD16/N16</f>
        <v>-0.73696402946097739</v>
      </c>
      <c r="AM16" s="17">
        <f t="shared" ref="AM16:AM20" si="19">AE16/O16</f>
        <v>0</v>
      </c>
    </row>
    <row r="17" spans="1:39" x14ac:dyDescent="0.25">
      <c r="A17" s="3" t="s">
        <v>7</v>
      </c>
      <c r="B17" s="4">
        <f t="shared" si="7"/>
        <v>11975.24767900288</v>
      </c>
      <c r="C17" s="4">
        <f t="shared" si="7"/>
        <v>108180.65281603335</v>
      </c>
      <c r="D17" s="4">
        <f t="shared" si="7"/>
        <v>63670.735084962354</v>
      </c>
      <c r="E17" s="4">
        <f t="shared" si="7"/>
        <v>17789.08317056227</v>
      </c>
      <c r="F17" s="4">
        <f t="shared" si="7"/>
        <v>6034.2812494391546</v>
      </c>
      <c r="G17" s="4">
        <f t="shared" si="7"/>
        <v>207650</v>
      </c>
      <c r="I17" s="3" t="s">
        <v>7</v>
      </c>
      <c r="J17" s="4">
        <f t="shared" si="8"/>
        <v>13449.910250876435</v>
      </c>
      <c r="K17" s="4">
        <f t="shared" si="8"/>
        <v>110785.50617452915</v>
      </c>
      <c r="L17" s="4">
        <f t="shared" si="8"/>
        <v>67167.572931032671</v>
      </c>
      <c r="M17" s="4">
        <f t="shared" si="8"/>
        <v>12630.127017381326</v>
      </c>
      <c r="N17" s="4">
        <f t="shared" si="8"/>
        <v>3616.8836261804245</v>
      </c>
      <c r="O17" s="4">
        <f t="shared" si="8"/>
        <v>207650</v>
      </c>
      <c r="Q17" s="3" t="s">
        <v>7</v>
      </c>
      <c r="R17" s="4">
        <f t="shared" si="9"/>
        <v>6765</v>
      </c>
      <c r="S17" s="4">
        <f t="shared" si="9"/>
        <v>103756</v>
      </c>
      <c r="T17" s="4">
        <f t="shared" si="9"/>
        <v>65990</v>
      </c>
      <c r="U17" s="4">
        <f t="shared" si="9"/>
        <v>23890</v>
      </c>
      <c r="V17" s="4">
        <f t="shared" si="9"/>
        <v>7249</v>
      </c>
      <c r="W17" s="4">
        <f t="shared" ref="W17:W20" si="20">SUM(R17:V17)</f>
        <v>207650</v>
      </c>
      <c r="Y17" s="3" t="s">
        <v>7</v>
      </c>
      <c r="Z17" s="4">
        <f t="shared" ref="Z17:Z20" si="21">R17-J17</f>
        <v>-6684.9102508764354</v>
      </c>
      <c r="AA17" s="4">
        <f t="shared" si="10"/>
        <v>-7029.5061745291459</v>
      </c>
      <c r="AB17" s="4">
        <f t="shared" si="11"/>
        <v>-1177.5729310326715</v>
      </c>
      <c r="AC17" s="4">
        <f t="shared" si="12"/>
        <v>11259.872982618674</v>
      </c>
      <c r="AD17" s="4">
        <f t="shared" si="13"/>
        <v>3632.1163738195755</v>
      </c>
      <c r="AE17" s="4">
        <f t="shared" si="14"/>
        <v>0</v>
      </c>
      <c r="AG17" s="3" t="s">
        <v>7</v>
      </c>
      <c r="AH17" s="17">
        <f t="shared" ref="AH17:AH20" si="22">Z17/J17</f>
        <v>-0.49702266603904122</v>
      </c>
      <c r="AI17" s="17">
        <f t="shared" si="15"/>
        <v>-6.34514966556637E-2</v>
      </c>
      <c r="AJ17" s="17">
        <f t="shared" si="16"/>
        <v>-1.7531866638114162E-2</v>
      </c>
      <c r="AK17" s="17">
        <f t="shared" si="17"/>
        <v>0.89150908515195959</v>
      </c>
      <c r="AL17" s="17">
        <f t="shared" si="18"/>
        <v>1.0042115669768557</v>
      </c>
      <c r="AM17" s="17">
        <f t="shared" si="19"/>
        <v>0</v>
      </c>
    </row>
    <row r="18" spans="1:39" x14ac:dyDescent="0.25">
      <c r="A18" s="3" t="s">
        <v>8</v>
      </c>
      <c r="B18" s="4">
        <f t="shared" si="7"/>
        <v>1518.7222933194289</v>
      </c>
      <c r="C18" s="4">
        <f t="shared" si="7"/>
        <v>26592.887751376205</v>
      </c>
      <c r="D18" s="4">
        <f t="shared" si="7"/>
        <v>64251.090595125665</v>
      </c>
      <c r="E18" s="4">
        <f t="shared" si="7"/>
        <v>17248.052306891368</v>
      </c>
      <c r="F18" s="4">
        <f t="shared" si="7"/>
        <v>6140.2470532873194</v>
      </c>
      <c r="G18" s="4">
        <f t="shared" si="7"/>
        <v>115751</v>
      </c>
      <c r="I18" s="3" t="s">
        <v>8</v>
      </c>
      <c r="J18" s="4">
        <f t="shared" si="8"/>
        <v>1937.2104484512254</v>
      </c>
      <c r="K18" s="4">
        <f t="shared" si="8"/>
        <v>34072.427970411467</v>
      </c>
      <c r="L18" s="4">
        <f t="shared" si="8"/>
        <v>57816.634489135467</v>
      </c>
      <c r="M18" s="4">
        <f t="shared" si="8"/>
        <v>17065.646740638003</v>
      </c>
      <c r="N18" s="4">
        <f t="shared" si="8"/>
        <v>4859.0803513638466</v>
      </c>
      <c r="O18" s="4">
        <f t="shared" si="8"/>
        <v>115751.00000000001</v>
      </c>
      <c r="Q18" s="3" t="s">
        <v>8</v>
      </c>
      <c r="R18" s="4">
        <f t="shared" si="9"/>
        <v>913</v>
      </c>
      <c r="S18" s="4">
        <f t="shared" si="9"/>
        <v>24656</v>
      </c>
      <c r="T18" s="4">
        <f t="shared" si="9"/>
        <v>55587</v>
      </c>
      <c r="U18" s="4">
        <f t="shared" si="9"/>
        <v>25205</v>
      </c>
      <c r="V18" s="4">
        <f t="shared" si="9"/>
        <v>9390</v>
      </c>
      <c r="W18" s="4">
        <f t="shared" si="20"/>
        <v>115751</v>
      </c>
      <c r="Y18" s="3" t="s">
        <v>8</v>
      </c>
      <c r="Z18" s="4">
        <f t="shared" si="21"/>
        <v>-1024.2104484512254</v>
      </c>
      <c r="AA18" s="4">
        <f t="shared" si="10"/>
        <v>-9416.427970411467</v>
      </c>
      <c r="AB18" s="4">
        <f t="shared" si="11"/>
        <v>-2229.6344891354674</v>
      </c>
      <c r="AC18" s="4">
        <f t="shared" si="12"/>
        <v>8139.3532593619966</v>
      </c>
      <c r="AD18" s="4">
        <f t="shared" si="13"/>
        <v>4530.9196486361534</v>
      </c>
      <c r="AE18" s="4">
        <f t="shared" si="14"/>
        <v>0</v>
      </c>
      <c r="AG18" s="3" t="s">
        <v>8</v>
      </c>
      <c r="AH18" s="17">
        <f t="shared" si="22"/>
        <v>-0.52870376022908006</v>
      </c>
      <c r="AI18" s="17">
        <f t="shared" si="15"/>
        <v>-0.27636504151065205</v>
      </c>
      <c r="AJ18" s="17">
        <f t="shared" si="16"/>
        <v>-3.8563892707287314E-2</v>
      </c>
      <c r="AK18" s="17">
        <f t="shared" si="17"/>
        <v>0.47694373281382624</v>
      </c>
      <c r="AL18" s="17">
        <f t="shared" si="18"/>
        <v>0.93246444203467738</v>
      </c>
      <c r="AM18" s="17">
        <f t="shared" si="19"/>
        <v>0</v>
      </c>
    </row>
    <row r="19" spans="1:39" x14ac:dyDescent="0.25">
      <c r="A19" s="5" t="s">
        <v>9</v>
      </c>
      <c r="B19" s="4">
        <f t="shared" si="7"/>
        <v>249.81726793456056</v>
      </c>
      <c r="C19" s="4">
        <f t="shared" si="7"/>
        <v>20120.415981511942</v>
      </c>
      <c r="D19" s="4">
        <f t="shared" si="7"/>
        <v>93026.157887970665</v>
      </c>
      <c r="E19" s="4">
        <f t="shared" si="7"/>
        <v>54775.700110217593</v>
      </c>
      <c r="F19" s="4">
        <f t="shared" si="7"/>
        <v>21041.908752365231</v>
      </c>
      <c r="G19" s="6">
        <f t="shared" si="7"/>
        <v>189214</v>
      </c>
      <c r="I19" s="5" t="s">
        <v>9</v>
      </c>
      <c r="J19" s="6">
        <f t="shared" si="8"/>
        <v>1821.5866762470571</v>
      </c>
      <c r="K19" s="6">
        <f t="shared" si="8"/>
        <v>23797.791953640255</v>
      </c>
      <c r="L19" s="6">
        <f t="shared" si="8"/>
        <v>104133.30143764275</v>
      </c>
      <c r="M19" s="6">
        <f t="shared" si="8"/>
        <v>42627.117821278982</v>
      </c>
      <c r="N19" s="6">
        <f t="shared" si="8"/>
        <v>16834.202111190945</v>
      </c>
      <c r="O19" s="6">
        <f t="shared" si="8"/>
        <v>189213.99999999997</v>
      </c>
      <c r="Q19" s="5" t="s">
        <v>9</v>
      </c>
      <c r="R19" s="4">
        <f t="shared" si="9"/>
        <v>1758</v>
      </c>
      <c r="S19" s="4">
        <f t="shared" si="9"/>
        <v>22758</v>
      </c>
      <c r="T19" s="4">
        <f t="shared" si="9"/>
        <v>90604</v>
      </c>
      <c r="U19" s="4">
        <f t="shared" si="9"/>
        <v>51309</v>
      </c>
      <c r="V19" s="4">
        <f t="shared" si="9"/>
        <v>22785</v>
      </c>
      <c r="W19" s="6">
        <f t="shared" si="20"/>
        <v>189214</v>
      </c>
      <c r="Y19" s="5" t="s">
        <v>9</v>
      </c>
      <c r="Z19" s="4">
        <f t="shared" si="21"/>
        <v>-63.586676247057085</v>
      </c>
      <c r="AA19" s="4">
        <f t="shared" si="10"/>
        <v>-1039.7919536402551</v>
      </c>
      <c r="AB19" s="4">
        <f t="shared" si="11"/>
        <v>-13529.301437642745</v>
      </c>
      <c r="AC19" s="4">
        <f t="shared" si="12"/>
        <v>8681.8821787210181</v>
      </c>
      <c r="AD19" s="4">
        <f t="shared" si="13"/>
        <v>5950.7978888090547</v>
      </c>
      <c r="AE19" s="6">
        <f t="shared" si="14"/>
        <v>0</v>
      </c>
      <c r="AG19" s="5" t="s">
        <v>9</v>
      </c>
      <c r="AH19" s="17">
        <f t="shared" si="22"/>
        <v>-3.4907302011047969E-2</v>
      </c>
      <c r="AI19" s="17">
        <f t="shared" si="15"/>
        <v>-4.3692791149105001E-2</v>
      </c>
      <c r="AJ19" s="17">
        <f t="shared" si="16"/>
        <v>-0.12992290891443964</v>
      </c>
      <c r="AK19" s="17">
        <f t="shared" si="17"/>
        <v>0.2036704009668493</v>
      </c>
      <c r="AL19" s="17">
        <f t="shared" si="18"/>
        <v>0.35349450181859926</v>
      </c>
      <c r="AM19" s="18">
        <f t="shared" si="19"/>
        <v>0</v>
      </c>
    </row>
    <row r="20" spans="1:39" ht="15.75" thickBot="1" x14ac:dyDescent="0.3">
      <c r="A20" s="7" t="s">
        <v>4</v>
      </c>
      <c r="B20" s="8">
        <f t="shared" si="7"/>
        <v>39200.846771858611</v>
      </c>
      <c r="C20" s="8">
        <f t="shared" si="7"/>
        <v>197023.33954886333</v>
      </c>
      <c r="D20" s="8">
        <f t="shared" si="7"/>
        <v>234277.9682754188</v>
      </c>
      <c r="E20" s="8">
        <f t="shared" si="7"/>
        <v>94743.178659676429</v>
      </c>
      <c r="F20" s="8">
        <f t="shared" si="7"/>
        <v>35381.66674418281</v>
      </c>
      <c r="G20" s="8">
        <f t="shared" si="7"/>
        <v>600627</v>
      </c>
      <c r="I20" s="7" t="s">
        <v>4</v>
      </c>
      <c r="J20" s="8">
        <f t="shared" si="8"/>
        <v>37788.234210486589</v>
      </c>
      <c r="K20" s="8">
        <f t="shared" si="8"/>
        <v>211828.53541319165</v>
      </c>
      <c r="L20" s="8">
        <f t="shared" si="8"/>
        <v>248174.05534632018</v>
      </c>
      <c r="M20" s="8">
        <f t="shared" si="8"/>
        <v>76187.327019163276</v>
      </c>
      <c r="N20" s="8">
        <f t="shared" si="8"/>
        <v>26648.848010838308</v>
      </c>
      <c r="O20" s="8">
        <f t="shared" si="8"/>
        <v>600627</v>
      </c>
      <c r="Q20" s="7" t="s">
        <v>4</v>
      </c>
      <c r="R20" s="8">
        <f>SUM(R16:R19)</f>
        <v>38296</v>
      </c>
      <c r="S20" s="8">
        <f t="shared" ref="S20:V20" si="23">SUM(S16:S19)</f>
        <v>200200</v>
      </c>
      <c r="T20" s="8">
        <f t="shared" si="23"/>
        <v>220772</v>
      </c>
      <c r="U20" s="8">
        <f t="shared" si="23"/>
        <v>101769</v>
      </c>
      <c r="V20" s="8">
        <f t="shared" si="23"/>
        <v>39590</v>
      </c>
      <c r="W20" s="8">
        <f t="shared" si="20"/>
        <v>600627</v>
      </c>
      <c r="Y20" s="7" t="s">
        <v>4</v>
      </c>
      <c r="Z20" s="8">
        <f t="shared" si="21"/>
        <v>507.76578951341071</v>
      </c>
      <c r="AA20" s="8">
        <f t="shared" si="10"/>
        <v>-11628.535413191654</v>
      </c>
      <c r="AB20" s="8">
        <f t="shared" si="11"/>
        <v>-27402.05534632018</v>
      </c>
      <c r="AC20" s="8">
        <f t="shared" si="12"/>
        <v>25581.672980836724</v>
      </c>
      <c r="AD20" s="8">
        <f t="shared" si="13"/>
        <v>12941.151989161692</v>
      </c>
      <c r="AE20" s="8">
        <f t="shared" si="14"/>
        <v>0</v>
      </c>
      <c r="AG20" s="7" t="s">
        <v>4</v>
      </c>
      <c r="AH20" s="19">
        <f t="shared" si="22"/>
        <v>1.3437139896113509E-2</v>
      </c>
      <c r="AI20" s="19">
        <f t="shared" si="15"/>
        <v>-5.489598174537294E-2</v>
      </c>
      <c r="AJ20" s="19">
        <f t="shared" si="16"/>
        <v>-0.11041466565907283</v>
      </c>
      <c r="AK20" s="19">
        <f t="shared" si="17"/>
        <v>0.33577333635031198</v>
      </c>
      <c r="AL20" s="19">
        <f t="shared" si="18"/>
        <v>0.4856176891360714</v>
      </c>
      <c r="AM20" s="19">
        <f t="shared" si="19"/>
        <v>0</v>
      </c>
    </row>
    <row r="23" spans="1:39" ht="15.75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5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5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5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 t="s">
        <v>6</v>
      </c>
      <c r="B25" s="17">
        <f>B16/$G$20</f>
        <v>4.2384141180617674E-2</v>
      </c>
      <c r="C25" s="17">
        <f t="shared" ref="C25:G25" si="24">C16/$G$20</f>
        <v>7.0142340299457401E-2</v>
      </c>
      <c r="D25" s="17">
        <f t="shared" si="24"/>
        <v>2.2193448662499643E-2</v>
      </c>
      <c r="E25" s="17">
        <f t="shared" si="24"/>
        <v>8.2086601153326562E-3</v>
      </c>
      <c r="F25" s="17">
        <f t="shared" si="24"/>
        <v>3.6049488603806948E-3</v>
      </c>
      <c r="G25" s="17">
        <f t="shared" si="24"/>
        <v>0.14653353911828806</v>
      </c>
      <c r="I25" s="3" t="s">
        <v>6</v>
      </c>
      <c r="J25" s="17">
        <f>J16/$O$20</f>
        <v>4.2463687755699399E-2</v>
      </c>
      <c r="K25" s="17">
        <f t="shared" ref="K25:O25" si="25">K16/$O$20</f>
        <v>7.7753476044139E-2</v>
      </c>
      <c r="L25" s="17">
        <f t="shared" si="25"/>
        <v>2.2463725604550878E-2</v>
      </c>
      <c r="M25" s="17">
        <f t="shared" si="25"/>
        <v>2.8019270646536579E-3</v>
      </c>
      <c r="N25" s="17">
        <f t="shared" si="25"/>
        <v>1.0507226492451217E-3</v>
      </c>
      <c r="O25" s="17">
        <f t="shared" si="25"/>
        <v>0.14653353911828806</v>
      </c>
      <c r="Q25" s="3" t="s">
        <v>6</v>
      </c>
      <c r="R25" s="17">
        <f t="shared" ref="R25:W29" si="26">R6/$W$10</f>
        <v>4.804978797156971E-2</v>
      </c>
      <c r="S25" s="17">
        <f t="shared" si="26"/>
        <v>8.1631361893487978E-2</v>
      </c>
      <c r="T25" s="17">
        <f t="shared" si="26"/>
        <v>1.4303386294655418E-2</v>
      </c>
      <c r="U25" s="17">
        <f t="shared" si="26"/>
        <v>2.2726251067634322E-3</v>
      </c>
      <c r="V25" s="17">
        <f t="shared" si="26"/>
        <v>2.7637785181152362E-4</v>
      </c>
      <c r="W25" s="17">
        <f t="shared" si="26"/>
        <v>0.14653353911828806</v>
      </c>
    </row>
    <row r="26" spans="1:39" x14ac:dyDescent="0.25">
      <c r="A26" s="3" t="s">
        <v>7</v>
      </c>
      <c r="B26" s="17">
        <f t="shared" ref="B26:G26" si="27">B17/$G$20</f>
        <v>1.9937911014661146E-2</v>
      </c>
      <c r="C26" s="17">
        <f t="shared" si="27"/>
        <v>0.18011287007749127</v>
      </c>
      <c r="D26" s="17">
        <f t="shared" si="27"/>
        <v>0.10600711437375002</v>
      </c>
      <c r="E26" s="17">
        <f t="shared" si="27"/>
        <v>2.9617521640822455E-2</v>
      </c>
      <c r="F26" s="17">
        <f t="shared" si="27"/>
        <v>1.0046636680400905E-2</v>
      </c>
      <c r="G26" s="17">
        <f t="shared" si="27"/>
        <v>0.34572205378712578</v>
      </c>
      <c r="I26" s="3" t="s">
        <v>7</v>
      </c>
      <c r="J26" s="17">
        <f t="shared" ref="J26:O26" si="28">J17/$O$20</f>
        <v>2.2393116278283252E-2</v>
      </c>
      <c r="K26" s="17">
        <f t="shared" si="28"/>
        <v>0.18444976029137741</v>
      </c>
      <c r="L26" s="17">
        <f t="shared" si="28"/>
        <v>0.11182909348236537</v>
      </c>
      <c r="M26" s="17">
        <f t="shared" si="28"/>
        <v>2.1028237187774319E-2</v>
      </c>
      <c r="N26" s="17">
        <f t="shared" si="28"/>
        <v>6.0218465473254193E-3</v>
      </c>
      <c r="O26" s="17">
        <f t="shared" si="28"/>
        <v>0.34572205378712578</v>
      </c>
      <c r="Q26" s="3" t="s">
        <v>7</v>
      </c>
      <c r="R26" s="17">
        <f t="shared" si="26"/>
        <v>1.1263229924728658E-2</v>
      </c>
      <c r="S26" s="17">
        <f t="shared" si="26"/>
        <v>0.17274614694311111</v>
      </c>
      <c r="T26" s="17">
        <f t="shared" si="26"/>
        <v>0.10986852072917135</v>
      </c>
      <c r="U26" s="17">
        <f t="shared" si="26"/>
        <v>3.977510168540542E-2</v>
      </c>
      <c r="V26" s="17">
        <f t="shared" si="26"/>
        <v>1.2069054504709246E-2</v>
      </c>
      <c r="W26" s="17">
        <f t="shared" si="26"/>
        <v>0.34572205378712578</v>
      </c>
    </row>
    <row r="27" spans="1:39" x14ac:dyDescent="0.25">
      <c r="A27" s="3" t="s">
        <v>8</v>
      </c>
      <c r="B27" s="17">
        <f t="shared" ref="B27:G27" si="29">B18/$G$20</f>
        <v>2.5285614754571952E-3</v>
      </c>
      <c r="C27" s="17">
        <f t="shared" si="29"/>
        <v>4.4275211989098402E-2</v>
      </c>
      <c r="D27" s="17">
        <f t="shared" si="29"/>
        <v>0.10697336382667723</v>
      </c>
      <c r="E27" s="17">
        <f t="shared" si="29"/>
        <v>2.8716744846454402E-2</v>
      </c>
      <c r="F27" s="17">
        <f t="shared" si="29"/>
        <v>1.0223061989033659E-2</v>
      </c>
      <c r="G27" s="17">
        <f t="shared" si="29"/>
        <v>0.19271694412672091</v>
      </c>
      <c r="I27" s="3" t="s">
        <v>8</v>
      </c>
      <c r="J27" s="17">
        <f t="shared" ref="J27:O27" si="30">J18/$O$20</f>
        <v>3.225313628010771E-3</v>
      </c>
      <c r="K27" s="17">
        <f t="shared" si="30"/>
        <v>5.6728099087139716E-2</v>
      </c>
      <c r="L27" s="17">
        <f t="shared" si="30"/>
        <v>9.6260465295658487E-2</v>
      </c>
      <c r="M27" s="17">
        <f t="shared" si="30"/>
        <v>2.841305292742085E-2</v>
      </c>
      <c r="N27" s="17">
        <f t="shared" si="30"/>
        <v>8.0900131884911047E-3</v>
      </c>
      <c r="O27" s="17">
        <f t="shared" si="30"/>
        <v>0.19271694412672094</v>
      </c>
      <c r="Q27" s="3" t="s">
        <v>8</v>
      </c>
      <c r="R27" s="17">
        <f t="shared" si="26"/>
        <v>1.5200781849633799E-3</v>
      </c>
      <c r="S27" s="17">
        <f t="shared" si="26"/>
        <v>4.1050435628101969E-2</v>
      </c>
      <c r="T27" s="17">
        <f t="shared" si="26"/>
        <v>9.2548287040043156E-2</v>
      </c>
      <c r="U27" s="17">
        <f t="shared" si="26"/>
        <v>4.1964480451261763E-2</v>
      </c>
      <c r="V27" s="17">
        <f t="shared" si="26"/>
        <v>1.5633662822350642E-2</v>
      </c>
      <c r="W27" s="17">
        <f t="shared" si="26"/>
        <v>0.19271694412672091</v>
      </c>
    </row>
    <row r="28" spans="1:39" x14ac:dyDescent="0.25">
      <c r="A28" s="5" t="s">
        <v>9</v>
      </c>
      <c r="B28" s="18">
        <f t="shared" ref="B28:G28" si="31">B19/$G$20</f>
        <v>4.1592746901914261E-4</v>
      </c>
      <c r="C28" s="18">
        <f t="shared" si="31"/>
        <v>3.3499020159786258E-2</v>
      </c>
      <c r="D28" s="18">
        <f t="shared" si="31"/>
        <v>0.1548817450563672</v>
      </c>
      <c r="E28" s="18">
        <f t="shared" si="31"/>
        <v>9.1197532095989006E-2</v>
      </c>
      <c r="F28" s="18">
        <f t="shared" si="31"/>
        <v>3.5033238186703612E-2</v>
      </c>
      <c r="G28" s="18">
        <f t="shared" si="31"/>
        <v>0.31502746296786527</v>
      </c>
      <c r="I28" s="5" t="s">
        <v>9</v>
      </c>
      <c r="J28" s="18">
        <f t="shared" ref="J28:O28" si="32">J19/$O$20</f>
        <v>3.0328085088533433E-3</v>
      </c>
      <c r="K28" s="18">
        <f t="shared" si="32"/>
        <v>3.9621582036172623E-2</v>
      </c>
      <c r="L28" s="18">
        <f t="shared" si="32"/>
        <v>0.17337432622516594</v>
      </c>
      <c r="M28" s="18">
        <f t="shared" si="32"/>
        <v>7.0971031640733734E-2</v>
      </c>
      <c r="N28" s="18">
        <f t="shared" si="32"/>
        <v>2.8027714556939573E-2</v>
      </c>
      <c r="O28" s="18">
        <f t="shared" si="32"/>
        <v>0.31502746296786521</v>
      </c>
      <c r="Q28" s="5" t="s">
        <v>9</v>
      </c>
      <c r="R28" s="18">
        <f t="shared" si="26"/>
        <v>2.9269413462931237E-3</v>
      </c>
      <c r="S28" s="18">
        <f t="shared" si="26"/>
        <v>3.7890404527269002E-2</v>
      </c>
      <c r="T28" s="18">
        <f t="shared" si="26"/>
        <v>0.15084902943091136</v>
      </c>
      <c r="U28" s="18">
        <f t="shared" si="26"/>
        <v>8.542573011203293E-2</v>
      </c>
      <c r="V28" s="18">
        <f t="shared" si="26"/>
        <v>3.793535755135883E-2</v>
      </c>
      <c r="W28" s="18">
        <f t="shared" si="26"/>
        <v>0.31502746296786527</v>
      </c>
    </row>
    <row r="29" spans="1:39" ht="15.75" thickBot="1" x14ac:dyDescent="0.3">
      <c r="A29" s="7" t="s">
        <v>4</v>
      </c>
      <c r="B29" s="19">
        <f t="shared" ref="B29:G29" si="33">B20/$G$20</f>
        <v>6.526654108433122E-2</v>
      </c>
      <c r="C29" s="19">
        <f t="shared" si="33"/>
        <v>0.32802944181474247</v>
      </c>
      <c r="D29" s="19">
        <f t="shared" si="33"/>
        <v>0.39005567228149718</v>
      </c>
      <c r="E29" s="19">
        <f t="shared" si="33"/>
        <v>0.1577404589864865</v>
      </c>
      <c r="F29" s="19">
        <f t="shared" si="33"/>
        <v>5.890788583294259E-2</v>
      </c>
      <c r="G29" s="19">
        <f t="shared" si="33"/>
        <v>1</v>
      </c>
      <c r="I29" s="7" t="s">
        <v>4</v>
      </c>
      <c r="J29" s="19">
        <f t="shared" ref="J29:O29" si="34">J20/$O$20</f>
        <v>6.2914644547259091E-2</v>
      </c>
      <c r="K29" s="19">
        <f t="shared" si="34"/>
        <v>0.3526790094571034</v>
      </c>
      <c r="L29" s="19">
        <f t="shared" si="34"/>
        <v>0.41319164031307315</v>
      </c>
      <c r="M29" s="19">
        <f t="shared" si="34"/>
        <v>0.12684632395673734</v>
      </c>
      <c r="N29" s="19">
        <f t="shared" si="34"/>
        <v>4.4368381725827022E-2</v>
      </c>
      <c r="O29" s="19">
        <f t="shared" si="34"/>
        <v>1</v>
      </c>
      <c r="Q29" s="7" t="s">
        <v>4</v>
      </c>
      <c r="R29" s="19">
        <f t="shared" si="26"/>
        <v>6.3760037427554872E-2</v>
      </c>
      <c r="S29" s="19">
        <f t="shared" si="26"/>
        <v>0.33331834899197005</v>
      </c>
      <c r="T29" s="19">
        <f t="shared" si="26"/>
        <v>0.36756922349478127</v>
      </c>
      <c r="U29" s="19">
        <f t="shared" si="26"/>
        <v>0.16943793735546353</v>
      </c>
      <c r="V29" s="19">
        <f t="shared" si="26"/>
        <v>6.591445273023025E-2</v>
      </c>
      <c r="W29" s="19">
        <f t="shared" si="26"/>
        <v>1</v>
      </c>
    </row>
    <row r="32" spans="1:39" ht="15.75" thickBot="1" x14ac:dyDescent="0.3">
      <c r="Q32" s="12"/>
      <c r="R32" s="10" t="s">
        <v>2</v>
      </c>
      <c r="S32" s="9"/>
      <c r="T32" s="9"/>
      <c r="U32" s="9"/>
      <c r="V32" s="9"/>
      <c r="W32" s="9"/>
    </row>
    <row r="33" spans="17:23" x14ac:dyDescent="0.25">
      <c r="Q33" s="11" t="s">
        <v>5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</row>
    <row r="34" spans="17:23" x14ac:dyDescent="0.25">
      <c r="Q34" s="3" t="s">
        <v>6</v>
      </c>
      <c r="R34" s="17">
        <f>R25-J25</f>
        <v>5.5861002158703113E-3</v>
      </c>
      <c r="S34" s="17">
        <f t="shared" ref="S34:W34" si="35">S25-K25</f>
        <v>3.8778858493489776E-3</v>
      </c>
      <c r="T34" s="17">
        <f t="shared" si="35"/>
        <v>-8.1603393098954608E-3</v>
      </c>
      <c r="U34" s="17">
        <f t="shared" si="35"/>
        <v>-5.2930195789022572E-4</v>
      </c>
      <c r="V34" s="17">
        <f t="shared" si="35"/>
        <v>-7.7434479743359805E-4</v>
      </c>
      <c r="W34" s="17">
        <f t="shared" si="35"/>
        <v>0</v>
      </c>
    </row>
    <row r="35" spans="17:23" x14ac:dyDescent="0.25">
      <c r="Q35" s="3" t="s">
        <v>7</v>
      </c>
      <c r="R35" s="17">
        <f t="shared" ref="R35:W38" si="36">R26-J26</f>
        <v>-1.1129886353554594E-2</v>
      </c>
      <c r="S35" s="17">
        <f t="shared" si="36"/>
        <v>-1.1703613348266306E-2</v>
      </c>
      <c r="T35" s="17">
        <f t="shared" si="36"/>
        <v>-1.9605727531940287E-3</v>
      </c>
      <c r="U35" s="17">
        <f t="shared" si="36"/>
        <v>1.8746864497631101E-2</v>
      </c>
      <c r="V35" s="17">
        <f t="shared" si="36"/>
        <v>6.0472079573838265E-3</v>
      </c>
      <c r="W35" s="17">
        <f t="shared" si="36"/>
        <v>0</v>
      </c>
    </row>
    <row r="36" spans="17:23" x14ac:dyDescent="0.25">
      <c r="Q36" s="3" t="s">
        <v>8</v>
      </c>
      <c r="R36" s="17">
        <f t="shared" si="36"/>
        <v>-1.7052354430473911E-3</v>
      </c>
      <c r="S36" s="17">
        <f t="shared" si="36"/>
        <v>-1.5677663459037747E-2</v>
      </c>
      <c r="T36" s="17">
        <f t="shared" si="36"/>
        <v>-3.712178255615331E-3</v>
      </c>
      <c r="U36" s="17">
        <f t="shared" si="36"/>
        <v>1.3551427523840913E-2</v>
      </c>
      <c r="V36" s="17">
        <f t="shared" si="36"/>
        <v>7.5436496338595373E-3</v>
      </c>
      <c r="W36" s="17">
        <f t="shared" si="36"/>
        <v>0</v>
      </c>
    </row>
    <row r="37" spans="17:23" x14ac:dyDescent="0.25">
      <c r="Q37" s="5" t="s">
        <v>9</v>
      </c>
      <c r="R37" s="18">
        <f t="shared" si="36"/>
        <v>-1.0586716256021957E-4</v>
      </c>
      <c r="S37" s="18">
        <f t="shared" si="36"/>
        <v>-1.731177508903621E-3</v>
      </c>
      <c r="T37" s="18">
        <f t="shared" si="36"/>
        <v>-2.2525296794254579E-2</v>
      </c>
      <c r="U37" s="18">
        <f t="shared" si="36"/>
        <v>1.4454698471299196E-2</v>
      </c>
      <c r="V37" s="18">
        <f t="shared" si="36"/>
        <v>9.9076429944192565E-3</v>
      </c>
      <c r="W37" s="18">
        <f t="shared" si="36"/>
        <v>0</v>
      </c>
    </row>
    <row r="38" spans="17:23" ht="15.75" thickBot="1" x14ac:dyDescent="0.3">
      <c r="Q38" s="7" t="s">
        <v>4</v>
      </c>
      <c r="R38" s="19">
        <f t="shared" si="36"/>
        <v>8.4539288029578108E-4</v>
      </c>
      <c r="S38" s="19">
        <f t="shared" si="36"/>
        <v>-1.936066046513335E-2</v>
      </c>
      <c r="T38" s="19">
        <f t="shared" si="36"/>
        <v>-4.5622416818291878E-2</v>
      </c>
      <c r="U38" s="19">
        <f t="shared" si="36"/>
        <v>4.2591613398726191E-2</v>
      </c>
      <c r="V38" s="19">
        <f t="shared" si="36"/>
        <v>2.1546071004403228E-2</v>
      </c>
      <c r="W38" s="19">
        <f t="shared" si="36"/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38"/>
  <sheetViews>
    <sheetView tabSelected="1" topLeftCell="A4" workbookViewId="0">
      <selection activeCell="A23" sqref="A23"/>
    </sheetView>
  </sheetViews>
  <sheetFormatPr defaultRowHeight="15" x14ac:dyDescent="0.25"/>
  <cols>
    <col min="1" max="23" customWidth="true" width="9.28515625" collapsed="true"/>
  </cols>
  <sheetData>
    <row r="1" spans="1:39" ht="21" x14ac:dyDescent="0.35">
      <c r="A1" s="13" t="s">
        <v>142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" t="s">
        <v>0</v>
      </c>
      <c r="I3" s="1" t="s">
        <v>0</v>
      </c>
      <c r="Q3" s="1" t="s">
        <v>0</v>
      </c>
    </row>
    <row r="4" spans="1:39" ht="15.75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>
        <v>1</v>
      </c>
      <c r="B6" s="4" t="n">
        <v>30986.161369205798</v>
      </c>
      <c r="C6" s="4" t="n">
        <v>134959.2906839861</v>
      </c>
      <c r="D6" s="4" t="n">
        <v>18987.07598153593</v>
      </c>
      <c r="E6" s="4" t="n">
        <v>3033.8874319140873</v>
      </c>
      <c r="F6" s="4" t="n">
        <v>1217.5342797483</v>
      </c>
      <c r="G6" s="4">
        <f>SUM(B6:F6)</f>
        <v>189183.94974639019</v>
      </c>
      <c r="I6" s="3">
        <v>1</v>
      </c>
      <c r="J6">
        <v>23835</v>
      </c>
      <c r="K6">
        <v>125435</v>
      </c>
      <c r="L6">
        <v>22995</v>
      </c>
      <c r="M6">
        <v>2445</v>
      </c>
      <c r="N6">
        <v>735</v>
      </c>
      <c r="O6" s="4">
        <v>175445</v>
      </c>
      <c r="Q6" s="3">
        <v>1</v>
      </c>
      <c r="R6" s="40" t="n">
        <v>38000.0</v>
      </c>
      <c r="S6" s="44" t="n">
        <v>136000.0</v>
      </c>
      <c r="T6" s="48" t="n">
        <v>26500.0</v>
      </c>
      <c r="U6" s="52" t="n">
        <v>3500.0</v>
      </c>
      <c r="V6" s="56" t="n">
        <v>1500.0</v>
      </c>
      <c r="W6" s="4">
        <f>SUM(R6:V6)</f>
        <v>203586</v>
      </c>
    </row>
    <row r="7" spans="1:39" x14ac:dyDescent="0.25">
      <c r="A7" s="3">
        <v>2</v>
      </c>
      <c r="B7" s="4" t="n">
        <v>4315.763415934534</v>
      </c>
      <c r="C7" s="4" t="n">
        <v>47763.86547711414</v>
      </c>
      <c r="D7" s="4" t="n">
        <v>194719.25509938312</v>
      </c>
      <c r="E7" s="4" t="n">
        <v>50504.17376114185</v>
      </c>
      <c r="F7" s="4" t="n">
        <v>16413.618020255486</v>
      </c>
      <c r="G7" s="4">
        <f t="shared" ref="G7:G10" si="0">SUM(B7:F7)</f>
        <v>313716.67577382911</v>
      </c>
      <c r="I7" s="3">
        <v>2</v>
      </c>
      <c r="J7">
        <v>7325</v>
      </c>
      <c r="K7">
        <v>51560</v>
      </c>
      <c r="L7">
        <v>168890</v>
      </c>
      <c r="M7">
        <v>32395</v>
      </c>
      <c r="N7">
        <v>6210</v>
      </c>
      <c r="O7" s="4">
        <v>266380</v>
      </c>
      <c r="Q7" s="3">
        <v>2</v>
      </c>
      <c r="R7" s="41" t="n">
        <v>10000.0</v>
      </c>
      <c r="S7" s="45" t="n">
        <v>55000.0</v>
      </c>
      <c r="T7" s="49" t="n">
        <v>175500.0</v>
      </c>
      <c r="U7" s="53" t="n">
        <v>46500.0</v>
      </c>
      <c r="V7" s="57" t="n">
        <v>11500.0</v>
      </c>
      <c r="W7" s="4">
        <f t="shared" ref="W7:W10" si="1">SUM(R7:V7)</f>
        <v>290690</v>
      </c>
    </row>
    <row r="8" spans="1:39" x14ac:dyDescent="0.25">
      <c r="A8" s="3">
        <v>3</v>
      </c>
      <c r="B8" s="4" t="n">
        <v>640.733935121945</v>
      </c>
      <c r="C8" s="4" t="n">
        <v>4109.672400944599</v>
      </c>
      <c r="D8" s="4" t="n">
        <v>14127.102321834005</v>
      </c>
      <c r="E8" s="4" t="n">
        <v>29776.914444318343</v>
      </c>
      <c r="F8" s="4" t="n">
        <v>9808.493645483732</v>
      </c>
      <c r="G8" s="4">
        <f t="shared" si="0"/>
        <v>58462.91674770262</v>
      </c>
      <c r="I8" s="3">
        <v>3</v>
      </c>
      <c r="J8">
        <v>1520</v>
      </c>
      <c r="K8">
        <v>8235</v>
      </c>
      <c r="L8">
        <v>21750</v>
      </c>
      <c r="M8">
        <v>25910</v>
      </c>
      <c r="N8">
        <v>7240</v>
      </c>
      <c r="O8" s="4">
        <v>64655</v>
      </c>
      <c r="Q8" s="3">
        <v>3</v>
      </c>
      <c r="R8" s="42" t="n">
        <v>500.0</v>
      </c>
      <c r="S8" s="46" t="n">
        <v>5500.0</v>
      </c>
      <c r="T8" s="50" t="n">
        <v>19500.0</v>
      </c>
      <c r="U8" s="54" t="n">
        <v>34500.0</v>
      </c>
      <c r="V8" s="58" t="n">
        <v>10500.0</v>
      </c>
      <c r="W8" s="4">
        <f t="shared" si="1"/>
        <v>73315</v>
      </c>
    </row>
    <row r="9" spans="1:39" x14ac:dyDescent="0.25">
      <c r="A9" s="5" t="s">
        <v>3</v>
      </c>
      <c r="B9" s="4" t="n">
        <v>104.7232</v>
      </c>
      <c r="C9" s="4" t="n">
        <v>2893.21637</v>
      </c>
      <c r="D9" s="4" t="n">
        <v>2949.709611650148</v>
      </c>
      <c r="E9" s="4" t="n">
        <v>10358.81348386268</v>
      </c>
      <c r="F9" s="4" t="n">
        <v>7667.922299828844</v>
      </c>
      <c r="G9" s="6">
        <f t="shared" si="0"/>
        <v>23974.384965341669</v>
      </c>
      <c r="I9" s="5" t="s">
        <v>3</v>
      </c>
      <c r="J9" s="80">
        <v>660</v>
      </c>
      <c r="K9" s="80">
        <v>1680</v>
      </c>
      <c r="L9" s="80">
        <v>5340</v>
      </c>
      <c r="M9" s="80">
        <v>6475</v>
      </c>
      <c r="N9" s="80">
        <v>9340</v>
      </c>
      <c r="O9" s="6">
        <v>23495</v>
      </c>
      <c r="Q9" s="5" t="s">
        <v>3</v>
      </c>
      <c r="R9" s="43" t="n">
        <v>500.0</v>
      </c>
      <c r="S9" s="47" t="n">
        <v>2000.0</v>
      </c>
      <c r="T9" s="51" t="n">
        <v>7000.0</v>
      </c>
      <c r="U9" s="55" t="n">
        <v>5500.0</v>
      </c>
      <c r="V9" s="59" t="n">
        <v>11000.0</v>
      </c>
      <c r="W9" s="6">
        <f t="shared" si="1"/>
        <v>32974</v>
      </c>
    </row>
    <row r="10" spans="1:39" ht="15.75" thickBot="1" x14ac:dyDescent="0.3">
      <c r="A10" s="7" t="s">
        <v>4</v>
      </c>
      <c r="B10" s="8">
        <f>SUM(B6:B9)</f>
        <v>36047.381920262276</v>
      </c>
      <c r="C10" s="8">
        <f t="shared" ref="C10:F10" si="2">SUM(C6:C9)</f>
        <v>189726.04493204484</v>
      </c>
      <c r="D10" s="8">
        <f t="shared" si="2"/>
        <v>230783.14301440321</v>
      </c>
      <c r="E10" s="8">
        <f t="shared" si="2"/>
        <v>93673.789121236972</v>
      </c>
      <c r="F10" s="8">
        <f t="shared" si="2"/>
        <v>35107.568245316361</v>
      </c>
      <c r="G10" s="8">
        <f t="shared" si="0"/>
        <v>585337.92723326373</v>
      </c>
      <c r="I10" s="7" t="s">
        <v>4</v>
      </c>
      <c r="J10" s="8">
        <v>33340</v>
      </c>
      <c r="K10" s="8">
        <v>186910</v>
      </c>
      <c r="L10" s="8">
        <v>218975</v>
      </c>
      <c r="M10" s="8">
        <v>67225</v>
      </c>
      <c r="N10" s="8">
        <v>23525</v>
      </c>
      <c r="O10" s="8">
        <v>529975</v>
      </c>
      <c r="Q10" s="7" t="s">
        <v>4</v>
      </c>
      <c r="R10" s="8">
        <f>SUM(R6:R9)</f>
        <v>38252</v>
      </c>
      <c r="S10" s="8">
        <f t="shared" ref="S10" si="3">SUM(S6:S9)</f>
        <v>200195</v>
      </c>
      <c r="T10" s="8">
        <f t="shared" ref="T10" si="4">SUM(T6:T9)</f>
        <v>220767</v>
      </c>
      <c r="U10" s="8">
        <f t="shared" ref="U10" si="5">SUM(U6:U9)</f>
        <v>101761</v>
      </c>
      <c r="V10" s="8">
        <f t="shared" ref="V10" si="6">SUM(V6:V9)</f>
        <v>39590</v>
      </c>
      <c r="W10" s="8">
        <f t="shared" si="1"/>
        <v>600565</v>
      </c>
    </row>
    <row r="11" spans="1:39" x14ac:dyDescent="0.25">
      <c r="A11" s="14"/>
      <c r="B11" s="15"/>
      <c r="C11" s="15"/>
      <c r="D11" s="15"/>
      <c r="E11" s="15"/>
      <c r="F11" s="15"/>
      <c r="G11" s="15"/>
      <c r="I11" s="14"/>
      <c r="J11" s="15"/>
      <c r="K11" s="15"/>
      <c r="L11" s="15"/>
      <c r="M11" s="15"/>
      <c r="N11" s="15"/>
      <c r="O11" s="15"/>
      <c r="Q11" s="14"/>
      <c r="R11" s="15"/>
      <c r="S11" s="15"/>
      <c r="T11" s="15"/>
      <c r="U11" s="15"/>
      <c r="V11" s="15"/>
      <c r="W11" s="15"/>
    </row>
    <row r="12" spans="1:39" x14ac:dyDescent="0.25">
      <c r="A12" s="14"/>
      <c r="B12" s="15"/>
      <c r="C12" s="15"/>
      <c r="D12" s="15"/>
      <c r="E12" s="15"/>
      <c r="F12" s="15"/>
      <c r="G12" s="15"/>
      <c r="I12" s="14"/>
      <c r="J12" s="15"/>
      <c r="K12" s="15"/>
      <c r="L12" s="15"/>
      <c r="M12" s="15"/>
      <c r="N12" s="15"/>
      <c r="O12" s="15"/>
      <c r="Q12" s="14"/>
      <c r="R12" s="15"/>
      <c r="S12" s="15"/>
      <c r="T12" s="15"/>
      <c r="U12" s="15"/>
      <c r="V12" s="15"/>
      <c r="W12" s="15"/>
    </row>
    <row r="13" spans="1:39" x14ac:dyDescent="0.25">
      <c r="A13" s="1" t="s">
        <v>0</v>
      </c>
      <c r="I13" s="1" t="s">
        <v>0</v>
      </c>
      <c r="Q13" s="1" t="s">
        <v>0</v>
      </c>
      <c r="Y13" s="1" t="s">
        <v>24</v>
      </c>
      <c r="AG13" s="1" t="s">
        <v>25</v>
      </c>
    </row>
    <row r="14" spans="1:39" ht="15.75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1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1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1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1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1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>
        <v>1</v>
      </c>
      <c r="B16" s="4">
        <f>($W6/$G6)*B6</f>
        <v>33345.05203516347</v>
      </c>
      <c r="C16" s="4">
        <f t="shared" ref="C16:F16" si="7">($W6/$G6)*C6</f>
        <v>145233.36778845458</v>
      </c>
      <c r="D16" s="4">
        <f t="shared" si="7"/>
        <v>20432.509501777815</v>
      </c>
      <c r="E16" s="4">
        <f t="shared" si="7"/>
        <v>3264.84888142815</v>
      </c>
      <c r="F16" s="4">
        <f t="shared" si="7"/>
        <v>1310.2217931760199</v>
      </c>
      <c r="G16" s="4">
        <f>($W6/$G6)*G6</f>
        <v>203586</v>
      </c>
      <c r="I16" s="3">
        <v>1</v>
      </c>
      <c r="J16" s="4">
        <f>($W6/$O6)*J6</f>
        <v>27658.082646983388</v>
      </c>
      <c r="K16" s="4">
        <f t="shared" ref="K16:O16" si="8">($W6/$O6)*K6</f>
        <v>145554.50374761323</v>
      </c>
      <c r="L16" s="4">
        <f t="shared" si="8"/>
        <v>26683.348456781328</v>
      </c>
      <c r="M16" s="4">
        <f t="shared" si="8"/>
        <v>2837.1727321952749</v>
      </c>
      <c r="N16" s="4">
        <f t="shared" si="8"/>
        <v>852.89241642680054</v>
      </c>
      <c r="O16" s="4">
        <f t="shared" si="8"/>
        <v>203586</v>
      </c>
      <c r="Q16" s="3">
        <v>1</v>
      </c>
      <c r="R16" s="4">
        <f>R6</f>
        <v>33413</v>
      </c>
      <c r="S16" s="4">
        <f t="shared" ref="S16:V16" si="9">S6</f>
        <v>145979</v>
      </c>
      <c r="T16" s="4">
        <f t="shared" si="9"/>
        <v>20856</v>
      </c>
      <c r="U16" s="4">
        <f t="shared" si="9"/>
        <v>3338</v>
      </c>
      <c r="V16" s="4">
        <f t="shared" si="9"/>
        <v>0</v>
      </c>
      <c r="W16" s="4">
        <f>SUM(R16:V16)</f>
        <v>203586</v>
      </c>
      <c r="Y16" s="3">
        <v>1</v>
      </c>
      <c r="Z16" s="4">
        <f>R16-J16</f>
        <v>5754.9173530166117</v>
      </c>
      <c r="AA16" s="4">
        <f t="shared" ref="AA16:AA20" si="10">S16-K16</f>
        <v>424.49625238677254</v>
      </c>
      <c r="AB16" s="4">
        <f t="shared" ref="AB16:AB20" si="11">T16-L16</f>
        <v>-5827.3484567813284</v>
      </c>
      <c r="AC16" s="4">
        <f t="shared" ref="AC16:AC20" si="12">U16-M16</f>
        <v>500.82726780472512</v>
      </c>
      <c r="AD16" s="4">
        <f t="shared" ref="AD16:AD20" si="13">V16-N16</f>
        <v>-852.89241642680054</v>
      </c>
      <c r="AE16" s="4">
        <f t="shared" ref="AE16:AE19" si="14">W16-O16</f>
        <v>0</v>
      </c>
      <c r="AG16" s="3">
        <v>1</v>
      </c>
      <c r="AH16" s="17">
        <f>Z16/J16</f>
        <v>0.208073619074397</v>
      </c>
      <c r="AI16" s="17">
        <f t="shared" ref="AI16:AI20" si="15">AA16/K16</f>
        <v>2.9164075412110588E-3</v>
      </c>
      <c r="AJ16" s="17">
        <f t="shared" ref="AJ16:AJ20" si="16">AB16/L16</f>
        <v>-0.21838895018066451</v>
      </c>
      <c r="AK16" s="17">
        <f t="shared" ref="AK16:AK20" si="17">AC16/M16</f>
        <v>0.17652336148642167</v>
      </c>
      <c r="AL16" s="17">
        <f t="shared" ref="AL16:AL20" si="18">AD16/N16</f>
        <v>-1</v>
      </c>
      <c r="AM16" s="17">
        <f t="shared" ref="AM16:AM20" si="19">AE16/O16</f>
        <v>0</v>
      </c>
    </row>
    <row r="17" spans="1:39" x14ac:dyDescent="0.25">
      <c r="A17" s="3">
        <v>2</v>
      </c>
      <c r="B17" s="4">
        <f t="shared" ref="B17:G17" si="20">($W7/$G7)*B7</f>
        <v>3998.9881452220425</v>
      </c>
      <c r="C17" s="4">
        <f t="shared" si="20"/>
        <v>44258.017274007405</v>
      </c>
      <c r="D17" s="4">
        <f t="shared" si="20"/>
        <v>180426.94136427419</v>
      </c>
      <c r="E17" s="4">
        <f t="shared" si="20"/>
        <v>46797.188050055986</v>
      </c>
      <c r="F17" s="4">
        <f t="shared" si="20"/>
        <v>15208.865166440402</v>
      </c>
      <c r="G17" s="4">
        <f t="shared" si="20"/>
        <v>290690</v>
      </c>
      <c r="I17" s="3">
        <v>2</v>
      </c>
      <c r="J17" s="4">
        <f t="shared" ref="J17:O17" si="21">($W7/$O7)*J7</f>
        <v>7993.4839327276832</v>
      </c>
      <c r="K17" s="4">
        <f t="shared" si="21"/>
        <v>56265.396801561685</v>
      </c>
      <c r="L17" s="4">
        <f t="shared" si="21"/>
        <v>184303.00360387418</v>
      </c>
      <c r="M17" s="4">
        <f t="shared" si="21"/>
        <v>35351.387303851647</v>
      </c>
      <c r="N17" s="4">
        <f t="shared" si="21"/>
        <v>6776.7283579848345</v>
      </c>
      <c r="O17" s="4">
        <f t="shared" si="21"/>
        <v>290690</v>
      </c>
      <c r="Q17" s="3">
        <v>2</v>
      </c>
      <c r="R17" s="4">
        <f t="shared" ref="R17:V17" si="22">R7</f>
        <v>3939</v>
      </c>
      <c r="S17" s="4">
        <f t="shared" si="22"/>
        <v>45629</v>
      </c>
      <c r="T17" s="4">
        <f t="shared" si="22"/>
        <v>178373</v>
      </c>
      <c r="U17" s="4">
        <f t="shared" si="22"/>
        <v>47280</v>
      </c>
      <c r="V17" s="4">
        <f t="shared" si="22"/>
        <v>15469</v>
      </c>
      <c r="W17" s="4">
        <f t="shared" ref="W17:W20" si="23">SUM(R17:V17)</f>
        <v>290690</v>
      </c>
      <c r="Y17" s="3">
        <v>2</v>
      </c>
      <c r="Z17" s="4">
        <f t="shared" ref="Z17:Z20" si="24">R17-J17</f>
        <v>-4054.4839327276832</v>
      </c>
      <c r="AA17" s="4">
        <f t="shared" si="10"/>
        <v>-10636.396801561685</v>
      </c>
      <c r="AB17" s="4">
        <f t="shared" si="11"/>
        <v>-5930.0036038741819</v>
      </c>
      <c r="AC17" s="4">
        <f t="shared" si="12"/>
        <v>11928.612696148353</v>
      </c>
      <c r="AD17" s="4">
        <f t="shared" si="13"/>
        <v>8692.2716420151664</v>
      </c>
      <c r="AE17" s="4">
        <f t="shared" si="14"/>
        <v>0</v>
      </c>
      <c r="AG17" s="3">
        <v>2</v>
      </c>
      <c r="AH17" s="17">
        <f t="shared" ref="AH17:AH20" si="25">Z17/J17</f>
        <v>-0.5072236295024537</v>
      </c>
      <c r="AI17" s="17">
        <f t="shared" si="15"/>
        <v>-0.18903975455952821</v>
      </c>
      <c r="AJ17" s="17">
        <f t="shared" si="16"/>
        <v>-3.2175295507498335E-2</v>
      </c>
      <c r="AK17" s="17">
        <f t="shared" si="17"/>
        <v>0.33742983248775338</v>
      </c>
      <c r="AL17" s="17">
        <f t="shared" si="18"/>
        <v>1.2826649059606026</v>
      </c>
      <c r="AM17" s="17">
        <f t="shared" si="19"/>
        <v>0</v>
      </c>
    </row>
    <row r="18" spans="1:39" x14ac:dyDescent="0.25">
      <c r="A18" s="3">
        <v>3</v>
      </c>
      <c r="B18" s="4">
        <f t="shared" ref="B18:G18" si="26">($W8/$G8)*B8</f>
        <v>803.50778008884345</v>
      </c>
      <c r="C18" s="4">
        <f t="shared" si="26"/>
        <v>5153.7050978061798</v>
      </c>
      <c r="D18" s="4">
        <f t="shared" si="26"/>
        <v>17715.990996394488</v>
      </c>
      <c r="E18" s="4">
        <f t="shared" si="26"/>
        <v>37341.525259616596</v>
      </c>
      <c r="F18" s="4">
        <f t="shared" si="26"/>
        <v>12300.270866093902</v>
      </c>
      <c r="G18" s="4">
        <f t="shared" si="26"/>
        <v>73315</v>
      </c>
      <c r="I18" s="3">
        <v>3</v>
      </c>
      <c r="J18" s="4">
        <f t="shared" ref="J18:O18" si="27">($W8/$O8)*J8</f>
        <v>1723.5913695769857</v>
      </c>
      <c r="K18" s="4">
        <f t="shared" si="27"/>
        <v>9338.0098213595247</v>
      </c>
      <c r="L18" s="4">
        <f t="shared" si="27"/>
        <v>24663.23176861805</v>
      </c>
      <c r="M18" s="4">
        <f t="shared" si="27"/>
        <v>29380.42920114454</v>
      </c>
      <c r="N18" s="4">
        <f t="shared" si="27"/>
        <v>8209.7378393009058</v>
      </c>
      <c r="O18" s="4">
        <f t="shared" si="27"/>
        <v>73315</v>
      </c>
      <c r="Q18" s="3">
        <v>3</v>
      </c>
      <c r="R18" s="4">
        <f t="shared" ref="R18:V18" si="28">R8</f>
        <v>787</v>
      </c>
      <c r="S18" s="4">
        <f t="shared" si="28"/>
        <v>4974</v>
      </c>
      <c r="T18" s="4">
        <f t="shared" si="28"/>
        <v>17789</v>
      </c>
      <c r="U18" s="4">
        <f t="shared" si="28"/>
        <v>37915</v>
      </c>
      <c r="V18" s="4">
        <f t="shared" si="28"/>
        <v>11850</v>
      </c>
      <c r="W18" s="4">
        <f t="shared" si="23"/>
        <v>73315</v>
      </c>
      <c r="Y18" s="3">
        <v>3</v>
      </c>
      <c r="Z18" s="4">
        <f t="shared" si="24"/>
        <v>-936.5913695769857</v>
      </c>
      <c r="AA18" s="4">
        <f t="shared" si="10"/>
        <v>-4364.0098213595247</v>
      </c>
      <c r="AB18" s="4">
        <f t="shared" si="11"/>
        <v>-6874.2317686180504</v>
      </c>
      <c r="AC18" s="4">
        <f t="shared" si="12"/>
        <v>8534.5707988554605</v>
      </c>
      <c r="AD18" s="4">
        <f t="shared" si="13"/>
        <v>3640.2621606990942</v>
      </c>
      <c r="AE18" s="4">
        <f t="shared" si="14"/>
        <v>0</v>
      </c>
      <c r="AG18" s="3">
        <v>3</v>
      </c>
      <c r="AH18" s="17">
        <f t="shared" si="25"/>
        <v>-0.54339525371773567</v>
      </c>
      <c r="AI18" s="17">
        <f t="shared" si="15"/>
        <v>-0.46733831992523722</v>
      </c>
      <c r="AJ18" s="17">
        <f t="shared" si="16"/>
        <v>-0.27872388473293874</v>
      </c>
      <c r="AK18" s="17">
        <f t="shared" si="17"/>
        <v>0.29048489184504456</v>
      </c>
      <c r="AL18" s="17">
        <f t="shared" si="18"/>
        <v>0.44340784467839695</v>
      </c>
      <c r="AM18" s="17">
        <f t="shared" si="19"/>
        <v>0</v>
      </c>
    </row>
    <row r="19" spans="1:39" x14ac:dyDescent="0.25">
      <c r="A19" s="5" t="s">
        <v>3</v>
      </c>
      <c r="B19" s="4">
        <f t="shared" ref="B19:G19" si="29">($W9/$G9)*B9</f>
        <v>144.03467708523084</v>
      </c>
      <c r="C19" s="4">
        <f t="shared" si="29"/>
        <v>3979.2852547539965</v>
      </c>
      <c r="D19" s="4">
        <f t="shared" si="29"/>
        <v>4056.9851896163477</v>
      </c>
      <c r="E19" s="4">
        <f t="shared" si="29"/>
        <v>14247.352593640147</v>
      </c>
      <c r="F19" s="4">
        <f t="shared" si="29"/>
        <v>10546.342284904282</v>
      </c>
      <c r="G19" s="6">
        <f t="shared" si="29"/>
        <v>32974</v>
      </c>
      <c r="I19" s="5" t="s">
        <v>3</v>
      </c>
      <c r="J19" s="6">
        <f t="shared" ref="J19:O19" si="30">($W9/$O9)*J9</f>
        <v>926.2753777399447</v>
      </c>
      <c r="K19" s="6">
        <f t="shared" si="30"/>
        <v>2357.7918706107685</v>
      </c>
      <c r="L19" s="6">
        <f t="shared" si="30"/>
        <v>7494.4098744413704</v>
      </c>
      <c r="M19" s="6">
        <f t="shared" si="30"/>
        <v>9087.322834645669</v>
      </c>
      <c r="N19" s="6">
        <f t="shared" si="30"/>
        <v>13108.200042562248</v>
      </c>
      <c r="O19" s="6">
        <f t="shared" si="30"/>
        <v>32974</v>
      </c>
      <c r="Q19" s="5" t="s">
        <v>3</v>
      </c>
      <c r="R19" s="4">
        <f t="shared" ref="R19:V19" si="31">R9</f>
        <v>113</v>
      </c>
      <c r="S19" s="4">
        <f t="shared" si="31"/>
        <v>3613</v>
      </c>
      <c r="T19" s="4">
        <f t="shared" si="31"/>
        <v>3749</v>
      </c>
      <c r="U19" s="4">
        <f t="shared" si="31"/>
        <v>13228</v>
      </c>
      <c r="V19" s="4">
        <f t="shared" si="31"/>
        <v>12271</v>
      </c>
      <c r="W19" s="6">
        <f t="shared" si="23"/>
        <v>32974</v>
      </c>
      <c r="Y19" s="5" t="s">
        <v>3</v>
      </c>
      <c r="Z19" s="4">
        <f t="shared" si="24"/>
        <v>-813.2753777399447</v>
      </c>
      <c r="AA19" s="4">
        <f t="shared" si="10"/>
        <v>1255.2081293892315</v>
      </c>
      <c r="AB19" s="4">
        <f t="shared" si="11"/>
        <v>-3745.4098744413704</v>
      </c>
      <c r="AC19" s="4">
        <f t="shared" si="12"/>
        <v>4140.677165354331</v>
      </c>
      <c r="AD19" s="4">
        <f t="shared" si="13"/>
        <v>-837.2000425622482</v>
      </c>
      <c r="AE19" s="6">
        <f t="shared" si="14"/>
        <v>0</v>
      </c>
      <c r="AG19" s="5" t="s">
        <v>3</v>
      </c>
      <c r="AH19" s="17">
        <f t="shared" si="25"/>
        <v>-0.87800604149090833</v>
      </c>
      <c r="AI19" s="17">
        <f t="shared" si="15"/>
        <v>0.53236595860519242</v>
      </c>
      <c r="AJ19" s="17">
        <f t="shared" si="16"/>
        <v>-0.49976047976966986</v>
      </c>
      <c r="AK19" s="17">
        <f t="shared" si="17"/>
        <v>0.45565423840428393</v>
      </c>
      <c r="AL19" s="17">
        <f t="shared" si="18"/>
        <v>-6.3868421281630172E-2</v>
      </c>
      <c r="AM19" s="18">
        <f t="shared" si="19"/>
        <v>0</v>
      </c>
    </row>
    <row r="20" spans="1:39" ht="15.75" thickBot="1" x14ac:dyDescent="0.3">
      <c r="A20" s="7" t="s">
        <v>4</v>
      </c>
      <c r="B20" s="8">
        <f>SUM(B16:B19)</f>
        <v>38291.582637559593</v>
      </c>
      <c r="C20" s="8">
        <f t="shared" ref="C20:G20" si="32">SUM(C16:C19)</f>
        <v>198624.37541502216</v>
      </c>
      <c r="D20" s="8">
        <f t="shared" si="32"/>
        <v>222632.42705206285</v>
      </c>
      <c r="E20" s="8">
        <f t="shared" si="32"/>
        <v>101650.91478474087</v>
      </c>
      <c r="F20" s="8">
        <f t="shared" si="32"/>
        <v>39365.700110614605</v>
      </c>
      <c r="G20" s="8">
        <f t="shared" si="32"/>
        <v>600565</v>
      </c>
      <c r="I20" s="7" t="s">
        <v>4</v>
      </c>
      <c r="J20" s="8">
        <f t="shared" ref="J20:O20" si="33">($W10/$O10)*J10</f>
        <v>37780.720033963866</v>
      </c>
      <c r="K20" s="8">
        <f t="shared" si="33"/>
        <v>211805.47035237512</v>
      </c>
      <c r="L20" s="8">
        <f t="shared" si="33"/>
        <v>248141.36680975519</v>
      </c>
      <c r="M20" s="8">
        <f t="shared" si="33"/>
        <v>76179.031322232186</v>
      </c>
      <c r="N20" s="8">
        <f t="shared" si="33"/>
        <v>26658.411481673666</v>
      </c>
      <c r="O20" s="8">
        <f t="shared" si="33"/>
        <v>600565</v>
      </c>
      <c r="Q20" s="7" t="s">
        <v>4</v>
      </c>
      <c r="R20" s="8">
        <f>SUM(R16:R19)</f>
        <v>38252</v>
      </c>
      <c r="S20" s="8">
        <f t="shared" ref="S20:V20" si="34">SUM(S16:S19)</f>
        <v>200195</v>
      </c>
      <c r="T20" s="8">
        <f t="shared" si="34"/>
        <v>220767</v>
      </c>
      <c r="U20" s="8">
        <f t="shared" si="34"/>
        <v>101761</v>
      </c>
      <c r="V20" s="8">
        <f t="shared" si="34"/>
        <v>39590</v>
      </c>
      <c r="W20" s="8">
        <f t="shared" si="23"/>
        <v>600565</v>
      </c>
      <c r="Y20" s="7" t="s">
        <v>4</v>
      </c>
      <c r="Z20" s="8">
        <f t="shared" si="24"/>
        <v>471.27996603613428</v>
      </c>
      <c r="AA20" s="8">
        <f t="shared" si="10"/>
        <v>-11610.470352375123</v>
      </c>
      <c r="AB20" s="8">
        <f t="shared" si="11"/>
        <v>-27374.366809755185</v>
      </c>
      <c r="AC20" s="8">
        <f t="shared" si="12"/>
        <v>25581.968677767814</v>
      </c>
      <c r="AD20" s="8">
        <f t="shared" si="13"/>
        <v>12931.588518326334</v>
      </c>
      <c r="AE20" s="8">
        <f>W20-O20</f>
        <v>0</v>
      </c>
      <c r="AG20" s="7" t="s">
        <v>4</v>
      </c>
      <c r="AH20" s="19">
        <f t="shared" si="25"/>
        <v>1.2474086402071377E-2</v>
      </c>
      <c r="AI20" s="19">
        <f t="shared" si="15"/>
        <v>-5.4816668960717081E-2</v>
      </c>
      <c r="AJ20" s="19">
        <f t="shared" si="16"/>
        <v>-0.11031762725294626</v>
      </c>
      <c r="AK20" s="19">
        <f t="shared" si="17"/>
        <v>0.33581378279224638</v>
      </c>
      <c r="AL20" s="19">
        <f t="shared" si="18"/>
        <v>0.48508473684623554</v>
      </c>
      <c r="AM20" s="19">
        <f t="shared" si="19"/>
        <v>0</v>
      </c>
    </row>
    <row r="21" spans="1:39" x14ac:dyDescent="0.25">
      <c r="A21" s="14"/>
      <c r="B21" s="15"/>
      <c r="C21" s="15"/>
      <c r="D21" s="15"/>
      <c r="E21" s="15"/>
      <c r="F21" s="15"/>
      <c r="G21" s="15"/>
      <c r="I21" s="14"/>
      <c r="J21" s="15"/>
      <c r="K21" s="15"/>
      <c r="L21" s="15"/>
      <c r="M21" s="15"/>
      <c r="N21" s="15"/>
      <c r="O21" s="15"/>
      <c r="Q21" t="s">
        <v>15</v>
      </c>
      <c r="R21" s="15"/>
      <c r="S21" s="15"/>
      <c r="T21" s="15"/>
      <c r="U21" s="15"/>
      <c r="V21" s="15"/>
      <c r="W21" s="15"/>
    </row>
    <row r="22" spans="1:39" x14ac:dyDescent="0.25">
      <c r="A22" s="1" t="s">
        <v>178</v>
      </c>
      <c r="Q22" s="1" t="s">
        <v>176</v>
      </c>
    </row>
    <row r="23" spans="1:39" ht="15.75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1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1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1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>
        <v>1</v>
      </c>
      <c r="B25" s="17">
        <f>B16/$G$20</f>
        <v>5.5522802752680345E-2</v>
      </c>
      <c r="C25" s="17">
        <f t="shared" ref="C25:G25" si="35">C16/$G$20</f>
        <v>0.24182789171605834</v>
      </c>
      <c r="D25" s="17">
        <f t="shared" si="35"/>
        <v>3.4022144983103936E-2</v>
      </c>
      <c r="E25" s="17">
        <f t="shared" si="35"/>
        <v>5.4362956240009827E-3</v>
      </c>
      <c r="F25" s="17">
        <f t="shared" si="35"/>
        <v>2.1816486028590075E-3</v>
      </c>
      <c r="G25" s="17">
        <f t="shared" si="35"/>
        <v>0.33899078367870256</v>
      </c>
      <c r="I25" s="3">
        <v>1</v>
      </c>
      <c r="J25" s="17">
        <f>J16/$O$20</f>
        <v>4.6053437424730691E-2</v>
      </c>
      <c r="K25" s="17">
        <f t="shared" ref="K25:O25" si="36">K16/$O$20</f>
        <v>0.24236261478376733</v>
      </c>
      <c r="L25" s="17">
        <f t="shared" si="36"/>
        <v>4.4430408793022118E-2</v>
      </c>
      <c r="M25" s="17">
        <f t="shared" si="36"/>
        <v>4.7241726244374458E-3</v>
      </c>
      <c r="N25" s="17">
        <f t="shared" si="36"/>
        <v>1.4201500527449994E-3</v>
      </c>
      <c r="O25" s="17">
        <f t="shared" si="36"/>
        <v>0.33899078367870256</v>
      </c>
      <c r="Q25" s="3">
        <v>1</v>
      </c>
      <c r="R25" s="17">
        <f>R6/$W$10</f>
        <v>5.5635942820510688E-2</v>
      </c>
      <c r="S25" s="17">
        <f t="shared" ref="S25:W25" si="37">S6/$W$10</f>
        <v>0.24306944294123034</v>
      </c>
      <c r="T25" s="17">
        <f t="shared" si="37"/>
        <v>3.472729846061625E-2</v>
      </c>
      <c r="U25" s="17">
        <f t="shared" si="37"/>
        <v>5.5580994563452744E-3</v>
      </c>
      <c r="V25" s="17">
        <f t="shared" si="37"/>
        <v>0</v>
      </c>
      <c r="W25" s="17">
        <f t="shared" si="37"/>
        <v>0.33899078367870256</v>
      </c>
    </row>
    <row r="26" spans="1:39" x14ac:dyDescent="0.25">
      <c r="A26" s="3">
        <v>2</v>
      </c>
      <c r="B26" s="17">
        <f t="shared" ref="B26:G26" si="38">B17/$G$20</f>
        <v>6.6587099568273913E-3</v>
      </c>
      <c r="C26" s="17">
        <f t="shared" si="38"/>
        <v>7.3693966971114536E-2</v>
      </c>
      <c r="D26" s="17">
        <f t="shared" si="38"/>
        <v>0.30042866528065104</v>
      </c>
      <c r="E26" s="17">
        <f t="shared" si="38"/>
        <v>7.7921936926154511E-2</v>
      </c>
      <c r="F26" s="17">
        <f t="shared" si="38"/>
        <v>2.5324261597729474E-2</v>
      </c>
      <c r="G26" s="17">
        <f t="shared" si="38"/>
        <v>0.48402754073247689</v>
      </c>
      <c r="I26" s="3">
        <v>2</v>
      </c>
      <c r="J26" s="17">
        <f t="shared" ref="J26:O26" si="39">J17/$O$20</f>
        <v>1.3309939694666994E-2</v>
      </c>
      <c r="K26" s="17">
        <f t="shared" si="39"/>
        <v>9.3687438997546779E-2</v>
      </c>
      <c r="L26" s="17">
        <f t="shared" si="39"/>
        <v>0.30688269147198749</v>
      </c>
      <c r="M26" s="17">
        <f t="shared" si="39"/>
        <v>5.8863548997779833E-2</v>
      </c>
      <c r="N26" s="17">
        <f t="shared" si="39"/>
        <v>1.128392157049584E-2</v>
      </c>
      <c r="O26" s="17">
        <f t="shared" si="39"/>
        <v>0.48402754073247689</v>
      </c>
      <c r="Q26" s="3">
        <v>2</v>
      </c>
      <c r="R26" s="17">
        <f t="shared" ref="R26:W26" si="40">R7/$W$10</f>
        <v>6.5588237742792207E-3</v>
      </c>
      <c r="S26" s="17">
        <f t="shared" si="40"/>
        <v>7.5976788524139763E-2</v>
      </c>
      <c r="T26" s="17">
        <f t="shared" si="40"/>
        <v>0.29700865018773986</v>
      </c>
      <c r="U26" s="17">
        <f t="shared" si="40"/>
        <v>7.8725866475735345E-2</v>
      </c>
      <c r="V26" s="17">
        <f t="shared" si="40"/>
        <v>2.5757411770582703E-2</v>
      </c>
      <c r="W26" s="17">
        <f t="shared" si="40"/>
        <v>0.48402754073247689</v>
      </c>
    </row>
    <row r="27" spans="1:39" x14ac:dyDescent="0.25">
      <c r="A27" s="3">
        <v>3</v>
      </c>
      <c r="B27" s="17">
        <f t="shared" ref="B27:G27" si="41">B18/$G$20</f>
        <v>1.3379197590416415E-3</v>
      </c>
      <c r="C27" s="17">
        <f t="shared" si="41"/>
        <v>8.5814276519713597E-3</v>
      </c>
      <c r="D27" s="17">
        <f t="shared" si="41"/>
        <v>2.949887355472678E-2</v>
      </c>
      <c r="E27" s="17">
        <f t="shared" si="41"/>
        <v>6.2177325118208011E-2</v>
      </c>
      <c r="F27" s="17">
        <f t="shared" si="41"/>
        <v>2.0481165013102501E-2</v>
      </c>
      <c r="G27" s="17">
        <f t="shared" si="41"/>
        <v>0.12207671109705028</v>
      </c>
      <c r="I27" s="3">
        <v>3</v>
      </c>
      <c r="J27" s="17">
        <f t="shared" ref="J27:O27" si="42">J18/$O$20</f>
        <v>2.8699497466169121E-3</v>
      </c>
      <c r="K27" s="17">
        <f t="shared" si="42"/>
        <v>1.5548708002230441E-2</v>
      </c>
      <c r="L27" s="17">
        <f t="shared" si="42"/>
        <v>4.1066715124288049E-2</v>
      </c>
      <c r="M27" s="17">
        <f t="shared" si="42"/>
        <v>4.8921314430818548E-2</v>
      </c>
      <c r="N27" s="17">
        <f t="shared" si="42"/>
        <v>1.3670023793096344E-2</v>
      </c>
      <c r="O27" s="17">
        <f t="shared" si="42"/>
        <v>0.12207671109705028</v>
      </c>
      <c r="Q27" s="3">
        <v>3</v>
      </c>
      <c r="R27" s="17">
        <f t="shared" ref="R27:W27" si="43">R8/$W$10</f>
        <v>1.3104326758968637E-3</v>
      </c>
      <c r="S27" s="17">
        <f t="shared" si="43"/>
        <v>8.2822009274599751E-3</v>
      </c>
      <c r="T27" s="17">
        <f t="shared" si="43"/>
        <v>2.9620440751625551E-2</v>
      </c>
      <c r="U27" s="17">
        <f t="shared" si="43"/>
        <v>6.3132217162172294E-2</v>
      </c>
      <c r="V27" s="17">
        <f t="shared" si="43"/>
        <v>1.9731419579895597E-2</v>
      </c>
      <c r="W27" s="17">
        <f t="shared" si="43"/>
        <v>0.12207671109705028</v>
      </c>
    </row>
    <row r="28" spans="1:39" x14ac:dyDescent="0.25">
      <c r="A28" s="5" t="s">
        <v>3</v>
      </c>
      <c r="B28" s="18">
        <f t="shared" ref="B28:G28" si="44">B19/$G$20</f>
        <v>2.3983195338594631E-4</v>
      </c>
      <c r="C28" s="18">
        <f t="shared" si="44"/>
        <v>6.6259026995479199E-3</v>
      </c>
      <c r="D28" s="18">
        <f t="shared" si="44"/>
        <v>6.7552807599782667E-3</v>
      </c>
      <c r="E28" s="18">
        <f t="shared" si="44"/>
        <v>2.3723248263951693E-2</v>
      </c>
      <c r="F28" s="18">
        <f t="shared" si="44"/>
        <v>1.7560700814906433E-2</v>
      </c>
      <c r="G28" s="18">
        <f t="shared" si="44"/>
        <v>5.490496449177025E-2</v>
      </c>
      <c r="I28" s="5" t="s">
        <v>3</v>
      </c>
      <c r="J28" s="18">
        <f t="shared" ref="J28:O28" si="45">J19/$O$20</f>
        <v>1.5423399261361296E-3</v>
      </c>
      <c r="K28" s="18">
        <f t="shared" si="45"/>
        <v>3.9259561756192392E-3</v>
      </c>
      <c r="L28" s="18">
        <f t="shared" si="45"/>
        <v>1.2478932129646866E-2</v>
      </c>
      <c r="M28" s="18">
        <f t="shared" si="45"/>
        <v>1.5131289426865816E-2</v>
      </c>
      <c r="N28" s="18">
        <f t="shared" si="45"/>
        <v>2.1826446833502201E-2</v>
      </c>
      <c r="O28" s="18">
        <f t="shared" si="45"/>
        <v>5.490496449177025E-2</v>
      </c>
      <c r="Q28" s="5" t="s">
        <v>3</v>
      </c>
      <c r="R28" s="18">
        <f t="shared" ref="R28:W28" si="46">R9/$W$10</f>
        <v>1.8815615295596647E-4</v>
      </c>
      <c r="S28" s="18">
        <f t="shared" si="46"/>
        <v>6.0160015984947511E-3</v>
      </c>
      <c r="T28" s="18">
        <f t="shared" si="46"/>
        <v>6.242455021521401E-3</v>
      </c>
      <c r="U28" s="18">
        <f t="shared" si="46"/>
        <v>2.2025925586739156E-2</v>
      </c>
      <c r="V28" s="18">
        <f t="shared" si="46"/>
        <v>2.0432426132058978E-2</v>
      </c>
      <c r="W28" s="18">
        <f t="shared" si="46"/>
        <v>5.490496449177025E-2</v>
      </c>
    </row>
    <row r="29" spans="1:39" ht="15.75" thickBot="1" x14ac:dyDescent="0.3">
      <c r="A29" s="7" t="s">
        <v>4</v>
      </c>
      <c r="B29" s="19">
        <f t="shared" ref="B29:G29" si="47">B20/$G$20</f>
        <v>6.375926442193533E-2</v>
      </c>
      <c r="C29" s="19">
        <f t="shared" si="47"/>
        <v>0.3307291890386922</v>
      </c>
      <c r="D29" s="19">
        <f t="shared" si="47"/>
        <v>0.37070496457846003</v>
      </c>
      <c r="E29" s="19">
        <f t="shared" si="47"/>
        <v>0.16925880593231518</v>
      </c>
      <c r="F29" s="19">
        <f t="shared" si="47"/>
        <v>6.5547776028597418E-2</v>
      </c>
      <c r="G29" s="19">
        <f t="shared" si="47"/>
        <v>1</v>
      </c>
      <c r="I29" s="7" t="s">
        <v>4</v>
      </c>
      <c r="J29" s="19">
        <f t="shared" ref="J29:O29" si="48">J20/$O$20</f>
        <v>6.2908627765460634E-2</v>
      </c>
      <c r="K29" s="19">
        <f t="shared" si="48"/>
        <v>0.35267701306665411</v>
      </c>
      <c r="L29" s="19">
        <f t="shared" si="48"/>
        <v>0.41317986697485731</v>
      </c>
      <c r="M29" s="19">
        <f t="shared" si="48"/>
        <v>0.12684560592480779</v>
      </c>
      <c r="N29" s="19">
        <f t="shared" si="48"/>
        <v>4.4388886268220198E-2</v>
      </c>
      <c r="O29" s="19">
        <f t="shared" si="48"/>
        <v>1</v>
      </c>
      <c r="Q29" s="7" t="s">
        <v>4</v>
      </c>
      <c r="R29" s="19">
        <f t="shared" ref="R29:W29" si="49">R10/$W$10</f>
        <v>6.3693355423642739E-2</v>
      </c>
      <c r="S29" s="19">
        <f t="shared" si="49"/>
        <v>0.33334443399132485</v>
      </c>
      <c r="T29" s="19">
        <f t="shared" si="49"/>
        <v>0.36759884442150309</v>
      </c>
      <c r="U29" s="19">
        <f t="shared" si="49"/>
        <v>0.16944210868099208</v>
      </c>
      <c r="V29" s="19">
        <f t="shared" si="49"/>
        <v>6.5921257482537271E-2</v>
      </c>
      <c r="W29" s="19">
        <f t="shared" si="49"/>
        <v>1</v>
      </c>
    </row>
    <row r="31" spans="1:39" x14ac:dyDescent="0.25">
      <c r="Q31" s="107" t="s">
        <v>177</v>
      </c>
    </row>
    <row r="32" spans="1:39" ht="15.75" thickBot="1" x14ac:dyDescent="0.3">
      <c r="Q32" s="12"/>
      <c r="R32" s="10" t="s">
        <v>2</v>
      </c>
      <c r="S32" s="9"/>
      <c r="T32" s="9"/>
      <c r="U32" s="9"/>
      <c r="V32" s="9"/>
      <c r="W32" s="9"/>
      <c r="Y32" t="s">
        <v>175</v>
      </c>
    </row>
    <row r="33" spans="17:26" x14ac:dyDescent="0.25">
      <c r="Q33" s="11" t="s">
        <v>1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  <c r="Y33" s="105" t="s">
        <v>142</v>
      </c>
      <c r="Z33" s="105" t="s">
        <v>174</v>
      </c>
    </row>
    <row r="34" spans="17:26" x14ac:dyDescent="0.25">
      <c r="Q34" s="3">
        <v>1</v>
      </c>
      <c r="R34" s="17">
        <f>R25-B25</f>
        <v>1.1314006783034319E-4</v>
      </c>
      <c r="S34" s="17">
        <f t="shared" ref="S34:W34" si="50">S25-C25</f>
        <v>1.2415512251719996E-3</v>
      </c>
      <c r="T34" s="17">
        <f t="shared" si="50"/>
        <v>7.0515347751231444E-4</v>
      </c>
      <c r="U34" s="17">
        <f t="shared" si="50"/>
        <v>1.2180383234429177E-4</v>
      </c>
      <c r="V34" s="17">
        <f t="shared" si="50"/>
        <v>-2.1816486028590075E-3</v>
      </c>
      <c r="W34" s="17">
        <f t="shared" si="50"/>
        <v>0</v>
      </c>
      <c r="Y34" s="4">
        <f>B16+B17+C17+B18+C18+D18+B19+C19+D19+E19</f>
        <v>127702.91904377814</v>
      </c>
      <c r="Z34" s="4">
        <f>R16+R17+S17+R18+S18+T18+R19+S19+T19+U19</f>
        <v>127234</v>
      </c>
    </row>
    <row r="35" spans="17:26" x14ac:dyDescent="0.25">
      <c r="Q35" s="3">
        <v>2</v>
      </c>
      <c r="R35" s="17">
        <f t="shared" ref="R35:W35" si="51">R26-B26</f>
        <v>-9.9886182548170575E-5</v>
      </c>
      <c r="S35" s="17">
        <f t="shared" si="51"/>
        <v>2.2828215530252272E-3</v>
      </c>
      <c r="T35" s="17">
        <f t="shared" si="51"/>
        <v>-3.4200150929111772E-3</v>
      </c>
      <c r="U35" s="17">
        <f t="shared" si="51"/>
        <v>8.0392954958083407E-4</v>
      </c>
      <c r="V35" s="17">
        <f t="shared" si="51"/>
        <v>4.3315017285322846E-4</v>
      </c>
      <c r="W35" s="17">
        <f t="shared" si="51"/>
        <v>0</v>
      </c>
      <c r="Z35" s="106">
        <f>(Z34-Y34)/G20</f>
        <v>-7.8079648960251808E-4</v>
      </c>
    </row>
    <row r="36" spans="17:26" x14ac:dyDescent="0.25">
      <c r="Q36" s="3">
        <v>3</v>
      </c>
      <c r="R36" s="17">
        <f t="shared" ref="R36:W36" si="52">R27-B27</f>
        <v>-2.7487083144777822E-5</v>
      </c>
      <c r="S36" s="17">
        <f t="shared" si="52"/>
        <v>-2.9922672451138457E-4</v>
      </c>
      <c r="T36" s="17">
        <f t="shared" si="52"/>
        <v>1.215671968987711E-4</v>
      </c>
      <c r="U36" s="17">
        <f t="shared" si="52"/>
        <v>9.5489204396428246E-4</v>
      </c>
      <c r="V36" s="17">
        <f t="shared" si="52"/>
        <v>-7.4974543320690396E-4</v>
      </c>
      <c r="W36" s="17">
        <f t="shared" si="52"/>
        <v>0</v>
      </c>
    </row>
    <row r="37" spans="17:26" x14ac:dyDescent="0.25">
      <c r="Q37" s="5" t="s">
        <v>3</v>
      </c>
      <c r="R37" s="18">
        <f t="shared" ref="R37:W37" si="53">R28-B28</f>
        <v>-5.1675800429979834E-5</v>
      </c>
      <c r="S37" s="18">
        <f t="shared" si="53"/>
        <v>-6.099011010531688E-4</v>
      </c>
      <c r="T37" s="18">
        <f t="shared" si="53"/>
        <v>-5.1282573845686571E-4</v>
      </c>
      <c r="U37" s="18">
        <f t="shared" si="53"/>
        <v>-1.6973226772125372E-3</v>
      </c>
      <c r="V37" s="18">
        <f t="shared" si="53"/>
        <v>2.8717253171525459E-3</v>
      </c>
      <c r="W37" s="18">
        <f t="shared" si="53"/>
        <v>0</v>
      </c>
    </row>
    <row r="38" spans="17:26" ht="15.75" thickBot="1" x14ac:dyDescent="0.3">
      <c r="Q38" s="7" t="s">
        <v>4</v>
      </c>
      <c r="R38" s="19">
        <f t="shared" ref="R38:W38" si="54">R29-B29</f>
        <v>-6.5908998292590892E-5</v>
      </c>
      <c r="S38" s="19">
        <f t="shared" si="54"/>
        <v>2.615244952632656E-3</v>
      </c>
      <c r="T38" s="19">
        <f t="shared" si="54"/>
        <v>-3.1061201569569374E-3</v>
      </c>
      <c r="U38" s="19">
        <f t="shared" si="54"/>
        <v>1.8330274867689456E-4</v>
      </c>
      <c r="V38" s="19">
        <f t="shared" si="54"/>
        <v>3.7348145393985288E-4</v>
      </c>
      <c r="W38" s="19">
        <f t="shared" si="54"/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1"/>
  <sheetViews>
    <sheetView workbookViewId="0">
      <selection activeCell="O18" sqref="O18"/>
    </sheetView>
  </sheetViews>
  <sheetFormatPr defaultRowHeight="15" x14ac:dyDescent="0.25"/>
  <cols>
    <col min="6" max="6" bestFit="true" customWidth="true" width="84.7109375" collapsed="true"/>
  </cols>
  <sheetData>
    <row r="1" spans="1:7" x14ac:dyDescent="0.25">
      <c r="A1" t="s">
        <v>96</v>
      </c>
      <c r="B1" t="s">
        <v>97</v>
      </c>
      <c r="F1" t="s">
        <v>98</v>
      </c>
      <c r="G1" t="s">
        <v>146</v>
      </c>
    </row>
    <row r="2" spans="1:7" x14ac:dyDescent="0.25">
      <c r="A2">
        <v>1</v>
      </c>
      <c r="B2" t="s">
        <v>35</v>
      </c>
      <c r="C2" t="s">
        <v>36</v>
      </c>
      <c r="D2">
        <v>-2.88892731349</v>
      </c>
      <c r="E2">
        <v>0.48543234191599999</v>
      </c>
      <c r="F2" t="s">
        <v>99</v>
      </c>
      <c r="G2" t="s">
        <v>118</v>
      </c>
    </row>
    <row r="3" spans="1:7" x14ac:dyDescent="0.25">
      <c r="A3">
        <v>2</v>
      </c>
      <c r="B3" t="s">
        <v>37</v>
      </c>
      <c r="C3" t="s">
        <v>36</v>
      </c>
      <c r="D3">
        <v>-1.84920255786</v>
      </c>
      <c r="E3">
        <v>0.120667788954</v>
      </c>
      <c r="F3" t="s">
        <v>99</v>
      </c>
      <c r="G3" t="s">
        <v>127</v>
      </c>
    </row>
    <row r="4" spans="1:7" x14ac:dyDescent="0.25">
      <c r="A4">
        <v>3</v>
      </c>
      <c r="B4" t="s">
        <v>38</v>
      </c>
      <c r="C4" t="s">
        <v>36</v>
      </c>
      <c r="D4">
        <v>-3.06909125469</v>
      </c>
      <c r="E4">
        <v>0.18162390207699999</v>
      </c>
      <c r="F4" t="s">
        <v>99</v>
      </c>
      <c r="G4" t="s">
        <v>132</v>
      </c>
    </row>
    <row r="5" spans="1:7" x14ac:dyDescent="0.25">
      <c r="A5">
        <v>4</v>
      </c>
      <c r="B5" t="s">
        <v>39</v>
      </c>
      <c r="C5" t="s">
        <v>36</v>
      </c>
      <c r="D5">
        <v>-4.8440472338499996</v>
      </c>
      <c r="E5">
        <v>0.34758296123299998</v>
      </c>
      <c r="F5" t="s">
        <v>99</v>
      </c>
      <c r="G5" t="s">
        <v>138</v>
      </c>
    </row>
    <row r="6" spans="1:7" x14ac:dyDescent="0.25">
      <c r="A6">
        <v>5</v>
      </c>
      <c r="B6" t="s">
        <v>40</v>
      </c>
      <c r="C6" t="s">
        <v>36</v>
      </c>
      <c r="D6">
        <v>-3.7501392251399999</v>
      </c>
      <c r="E6">
        <v>0.48593392329200003</v>
      </c>
      <c r="F6" t="s">
        <v>100</v>
      </c>
      <c r="G6" t="s">
        <v>118</v>
      </c>
    </row>
    <row r="7" spans="1:7" x14ac:dyDescent="0.25">
      <c r="A7">
        <v>6</v>
      </c>
      <c r="B7" t="s">
        <v>41</v>
      </c>
      <c r="C7" t="s">
        <v>36</v>
      </c>
      <c r="D7">
        <v>-1.54083688408</v>
      </c>
      <c r="E7">
        <v>0.17120485389099999</v>
      </c>
      <c r="F7" t="s">
        <v>100</v>
      </c>
      <c r="G7" t="s">
        <v>119</v>
      </c>
    </row>
    <row r="8" spans="1:7" x14ac:dyDescent="0.25">
      <c r="A8">
        <v>7</v>
      </c>
      <c r="B8" t="s">
        <v>42</v>
      </c>
      <c r="C8" t="s">
        <v>36</v>
      </c>
      <c r="D8">
        <v>-1.50533715645</v>
      </c>
      <c r="E8">
        <v>0.108778102305</v>
      </c>
      <c r="F8" t="s">
        <v>100</v>
      </c>
      <c r="G8" t="s">
        <v>132</v>
      </c>
    </row>
    <row r="9" spans="1:7" x14ac:dyDescent="0.25">
      <c r="A9">
        <v>8</v>
      </c>
      <c r="B9" t="s">
        <v>43</v>
      </c>
      <c r="C9" t="s">
        <v>36</v>
      </c>
      <c r="D9">
        <v>-2.6342137133099999</v>
      </c>
      <c r="E9">
        <v>0.162199862</v>
      </c>
      <c r="F9" t="s">
        <v>100</v>
      </c>
      <c r="G9" t="s">
        <v>138</v>
      </c>
    </row>
    <row r="10" spans="1:7" x14ac:dyDescent="0.25">
      <c r="A10">
        <v>9</v>
      </c>
      <c r="B10" t="s">
        <v>44</v>
      </c>
      <c r="C10" t="s">
        <v>36</v>
      </c>
      <c r="D10">
        <v>-3.1293105723300001</v>
      </c>
      <c r="E10">
        <v>0.68731231591800002</v>
      </c>
      <c r="F10" t="s">
        <v>101</v>
      </c>
      <c r="G10" t="s">
        <v>118</v>
      </c>
    </row>
    <row r="11" spans="1:7" x14ac:dyDescent="0.25">
      <c r="A11">
        <v>10</v>
      </c>
      <c r="B11" t="s">
        <v>45</v>
      </c>
      <c r="C11" t="s">
        <v>36</v>
      </c>
      <c r="D11">
        <v>-1.2916609235900001</v>
      </c>
      <c r="E11">
        <v>0.26131690816499997</v>
      </c>
      <c r="F11" t="s">
        <v>101</v>
      </c>
      <c r="G11" t="s">
        <v>119</v>
      </c>
    </row>
    <row r="12" spans="1:7" x14ac:dyDescent="0.25">
      <c r="A12">
        <v>11</v>
      </c>
      <c r="B12" t="s">
        <v>46</v>
      </c>
      <c r="C12" t="s">
        <v>36</v>
      </c>
      <c r="D12">
        <v>-0.36600413520000002</v>
      </c>
      <c r="E12">
        <v>0.204749856644</v>
      </c>
      <c r="F12" t="s">
        <v>101</v>
      </c>
      <c r="G12" t="s">
        <v>127</v>
      </c>
    </row>
    <row r="13" spans="1:7" x14ac:dyDescent="0.25">
      <c r="A13">
        <v>12</v>
      </c>
      <c r="B13" t="s">
        <v>47</v>
      </c>
      <c r="C13" t="s">
        <v>36</v>
      </c>
      <c r="D13">
        <v>-0.96396736597999999</v>
      </c>
      <c r="E13">
        <v>0.203518529877</v>
      </c>
      <c r="F13" t="s">
        <v>101</v>
      </c>
      <c r="G13" t="s">
        <v>138</v>
      </c>
    </row>
    <row r="14" spans="1:7" x14ac:dyDescent="0.25">
      <c r="A14">
        <v>13</v>
      </c>
      <c r="B14" t="s">
        <v>48</v>
      </c>
      <c r="C14" t="s">
        <v>36</v>
      </c>
      <c r="D14">
        <v>-4.3599306108100002</v>
      </c>
      <c r="E14">
        <v>1.2200761253100001</v>
      </c>
      <c r="F14" t="s">
        <v>102</v>
      </c>
      <c r="G14" t="s">
        <v>118</v>
      </c>
    </row>
    <row r="15" spans="1:7" x14ac:dyDescent="0.25">
      <c r="A15">
        <v>14</v>
      </c>
      <c r="B15" t="s">
        <v>49</v>
      </c>
      <c r="C15" t="s">
        <v>36</v>
      </c>
      <c r="D15">
        <v>-1.1985630522499999</v>
      </c>
      <c r="E15">
        <v>0.39337121020799998</v>
      </c>
      <c r="F15" t="s">
        <v>102</v>
      </c>
      <c r="G15" t="s">
        <v>119</v>
      </c>
    </row>
    <row r="16" spans="1:7" x14ac:dyDescent="0.25">
      <c r="A16">
        <v>15</v>
      </c>
      <c r="B16" t="s">
        <v>50</v>
      </c>
      <c r="C16" t="s">
        <v>36</v>
      </c>
      <c r="D16">
        <v>-1.15121947805</v>
      </c>
      <c r="E16">
        <v>0.30214458233000002</v>
      </c>
      <c r="F16" t="s">
        <v>102</v>
      </c>
      <c r="G16" t="s">
        <v>127</v>
      </c>
    </row>
    <row r="17" spans="1:15" x14ac:dyDescent="0.25">
      <c r="A17">
        <v>16</v>
      </c>
      <c r="B17" t="s">
        <v>51</v>
      </c>
      <c r="C17" t="s">
        <v>36</v>
      </c>
      <c r="D17">
        <v>-1.4377901695099999</v>
      </c>
      <c r="E17">
        <v>0.30270627538400002</v>
      </c>
      <c r="F17" t="s">
        <v>102</v>
      </c>
      <c r="G17" t="s">
        <v>132</v>
      </c>
    </row>
    <row r="18" spans="1:15" s="87" customFormat="1" x14ac:dyDescent="0.25">
      <c r="A18" s="87">
        <v>18</v>
      </c>
      <c r="B18" s="87" t="s">
        <v>52</v>
      </c>
      <c r="C18" s="87" t="s">
        <v>36</v>
      </c>
      <c r="D18" s="87">
        <v>0.39953921787000002</v>
      </c>
      <c r="E18" s="87">
        <v>0.124608088395</v>
      </c>
      <c r="F18" s="87" t="s">
        <v>103</v>
      </c>
      <c r="G18" s="87" t="s">
        <v>118</v>
      </c>
      <c r="H18" s="87" t="s">
        <v>119</v>
      </c>
      <c r="I18" s="87" t="s">
        <v>120</v>
      </c>
      <c r="J18" s="87" t="s">
        <v>127</v>
      </c>
      <c r="K18" s="87" t="s">
        <v>126</v>
      </c>
      <c r="L18" s="87" t="s">
        <v>132</v>
      </c>
      <c r="M18" s="87" t="s">
        <v>131</v>
      </c>
      <c r="N18" s="87" t="s">
        <v>138</v>
      </c>
      <c r="O18" s="87" t="s">
        <v>137</v>
      </c>
    </row>
    <row r="19" spans="1:15" x14ac:dyDescent="0.25">
      <c r="A19" s="88">
        <v>19</v>
      </c>
      <c r="B19" s="88" t="s">
        <v>53</v>
      </c>
      <c r="C19" s="88" t="s">
        <v>36</v>
      </c>
      <c r="D19" s="88">
        <v>0.69903044631199995</v>
      </c>
      <c r="E19" s="88">
        <v>0.40297798012199998</v>
      </c>
      <c r="F19" s="88" t="s">
        <v>104</v>
      </c>
      <c r="G19" s="88" t="s">
        <v>118</v>
      </c>
      <c r="H19" s="88"/>
      <c r="I19" s="88"/>
      <c r="J19" s="88"/>
      <c r="K19" s="88"/>
      <c r="L19" s="88"/>
      <c r="M19" s="88"/>
    </row>
    <row r="20" spans="1:15" x14ac:dyDescent="0.25">
      <c r="A20">
        <v>20</v>
      </c>
      <c r="B20" t="s">
        <v>54</v>
      </c>
      <c r="C20" t="s">
        <v>36</v>
      </c>
      <c r="D20">
        <v>0.32485446959800002</v>
      </c>
      <c r="E20">
        <v>0.204037451392</v>
      </c>
      <c r="F20" t="s">
        <v>104</v>
      </c>
      <c r="G20" t="s">
        <v>119</v>
      </c>
    </row>
    <row r="21" spans="1:15" x14ac:dyDescent="0.25">
      <c r="A21">
        <v>22</v>
      </c>
      <c r="B21" t="s">
        <v>55</v>
      </c>
      <c r="C21" t="s">
        <v>36</v>
      </c>
      <c r="D21">
        <v>-0.43856128772000003</v>
      </c>
      <c r="E21">
        <v>0.318213047774</v>
      </c>
      <c r="F21" t="s">
        <v>104</v>
      </c>
      <c r="G21" t="s">
        <v>138</v>
      </c>
    </row>
    <row r="22" spans="1:15" x14ac:dyDescent="0.25">
      <c r="A22">
        <v>24</v>
      </c>
      <c r="B22" t="s">
        <v>56</v>
      </c>
      <c r="C22" t="s">
        <v>36</v>
      </c>
      <c r="D22">
        <v>0.239019734309</v>
      </c>
      <c r="E22">
        <v>0.118684885778</v>
      </c>
      <c r="F22" t="s">
        <v>121</v>
      </c>
      <c r="G22" t="s">
        <v>119</v>
      </c>
    </row>
    <row r="23" spans="1:15" x14ac:dyDescent="0.25">
      <c r="A23">
        <v>25</v>
      </c>
      <c r="B23" t="s">
        <v>57</v>
      </c>
      <c r="C23" t="s">
        <v>36</v>
      </c>
      <c r="D23">
        <v>-0.30115653367700002</v>
      </c>
      <c r="E23">
        <v>0.15726577946500001</v>
      </c>
      <c r="F23" t="s">
        <v>121</v>
      </c>
      <c r="G23" t="s">
        <v>132</v>
      </c>
    </row>
    <row r="24" spans="1:15" x14ac:dyDescent="0.25">
      <c r="A24">
        <v>26</v>
      </c>
      <c r="B24" t="s">
        <v>58</v>
      </c>
      <c r="C24" t="s">
        <v>36</v>
      </c>
      <c r="D24">
        <v>-0.56373515910799998</v>
      </c>
      <c r="E24">
        <v>0.25328633007399998</v>
      </c>
      <c r="F24" t="s">
        <v>121</v>
      </c>
      <c r="G24" t="s">
        <v>138</v>
      </c>
    </row>
    <row r="25" spans="1:15" x14ac:dyDescent="0.25">
      <c r="A25">
        <v>28</v>
      </c>
      <c r="B25" t="s">
        <v>59</v>
      </c>
      <c r="C25" t="s">
        <v>36</v>
      </c>
      <c r="D25">
        <v>0.31959884056900001</v>
      </c>
      <c r="E25">
        <v>0.22861927141800001</v>
      </c>
      <c r="F25" t="s">
        <v>122</v>
      </c>
      <c r="G25" t="s">
        <v>119</v>
      </c>
    </row>
    <row r="26" spans="1:15" x14ac:dyDescent="0.25">
      <c r="A26">
        <v>29</v>
      </c>
      <c r="B26" t="s">
        <v>60</v>
      </c>
      <c r="C26" t="s">
        <v>36</v>
      </c>
      <c r="D26">
        <v>0.57068696704599997</v>
      </c>
      <c r="E26">
        <v>0.28285417099100002</v>
      </c>
      <c r="F26" t="s">
        <v>122</v>
      </c>
      <c r="G26" t="s">
        <v>132</v>
      </c>
    </row>
    <row r="27" spans="1:15" x14ac:dyDescent="0.25">
      <c r="A27">
        <v>31</v>
      </c>
      <c r="B27" t="s">
        <v>61</v>
      </c>
      <c r="C27" t="s">
        <v>36</v>
      </c>
      <c r="D27">
        <v>2.9250059989500001</v>
      </c>
      <c r="E27">
        <v>1.2854634766599999</v>
      </c>
      <c r="F27" t="s">
        <v>105</v>
      </c>
      <c r="G27" t="s">
        <v>118</v>
      </c>
    </row>
    <row r="28" spans="1:15" x14ac:dyDescent="0.25">
      <c r="A28">
        <v>32</v>
      </c>
      <c r="B28" t="s">
        <v>62</v>
      </c>
      <c r="C28" t="s">
        <v>36</v>
      </c>
      <c r="D28">
        <v>1.2969669216299999</v>
      </c>
      <c r="E28">
        <v>0.553290083268</v>
      </c>
      <c r="F28" t="s">
        <v>105</v>
      </c>
      <c r="G28" t="s">
        <v>119</v>
      </c>
    </row>
    <row r="29" spans="1:15" x14ac:dyDescent="0.25">
      <c r="A29">
        <v>34</v>
      </c>
      <c r="B29" t="s">
        <v>63</v>
      </c>
      <c r="C29" t="s">
        <v>36</v>
      </c>
      <c r="D29">
        <v>-2.59112200624</v>
      </c>
      <c r="E29">
        <v>0.67748006502500002</v>
      </c>
      <c r="F29" t="s">
        <v>105</v>
      </c>
      <c r="G29" t="s">
        <v>138</v>
      </c>
    </row>
    <row r="30" spans="1:15" x14ac:dyDescent="0.25">
      <c r="A30">
        <v>35</v>
      </c>
      <c r="B30" t="s">
        <v>64</v>
      </c>
      <c r="C30" t="s">
        <v>36</v>
      </c>
      <c r="D30">
        <v>-1.0636437007299999</v>
      </c>
      <c r="E30">
        <v>0.67287579243399998</v>
      </c>
      <c r="F30" t="s">
        <v>106</v>
      </c>
      <c r="G30" t="s">
        <v>118</v>
      </c>
    </row>
    <row r="31" spans="1:15" x14ac:dyDescent="0.25">
      <c r="A31">
        <v>36</v>
      </c>
      <c r="B31" t="s">
        <v>65</v>
      </c>
      <c r="C31" t="s">
        <v>36</v>
      </c>
      <c r="D31">
        <v>-0.53660640919000002</v>
      </c>
      <c r="E31">
        <v>0.28655587340499999</v>
      </c>
      <c r="F31" t="s">
        <v>106</v>
      </c>
      <c r="G31" t="s">
        <v>119</v>
      </c>
    </row>
    <row r="32" spans="1:15" x14ac:dyDescent="0.25">
      <c r="A32">
        <v>37</v>
      </c>
      <c r="B32" t="s">
        <v>66</v>
      </c>
      <c r="C32" t="s">
        <v>36</v>
      </c>
      <c r="D32">
        <v>0.28589368992800002</v>
      </c>
      <c r="E32">
        <v>0.26930228656600003</v>
      </c>
      <c r="F32" t="s">
        <v>106</v>
      </c>
      <c r="G32" t="s">
        <v>132</v>
      </c>
    </row>
    <row r="33" spans="1:7" x14ac:dyDescent="0.25">
      <c r="A33">
        <v>38</v>
      </c>
      <c r="B33" t="s">
        <v>67</v>
      </c>
      <c r="C33" t="s">
        <v>36</v>
      </c>
      <c r="D33">
        <v>0.64783551265499995</v>
      </c>
      <c r="E33">
        <v>0.37530750296900001</v>
      </c>
      <c r="F33" t="s">
        <v>106</v>
      </c>
      <c r="G33" t="s">
        <v>138</v>
      </c>
    </row>
    <row r="34" spans="1:7" x14ac:dyDescent="0.25">
      <c r="A34">
        <v>41</v>
      </c>
      <c r="B34" t="s">
        <v>68</v>
      </c>
      <c r="C34" t="s">
        <v>36</v>
      </c>
      <c r="D34">
        <v>-0.47288768158</v>
      </c>
      <c r="E34">
        <v>0.28996962859499997</v>
      </c>
      <c r="F34" t="s">
        <v>133</v>
      </c>
      <c r="G34" t="s">
        <v>132</v>
      </c>
    </row>
    <row r="35" spans="1:7" x14ac:dyDescent="0.25">
      <c r="A35">
        <v>42</v>
      </c>
      <c r="B35" t="s">
        <v>69</v>
      </c>
      <c r="C35" t="s">
        <v>36</v>
      </c>
      <c r="D35">
        <v>-1.73045435445</v>
      </c>
      <c r="E35">
        <v>0.60204136834499999</v>
      </c>
      <c r="F35" t="s">
        <v>133</v>
      </c>
      <c r="G35" t="s">
        <v>138</v>
      </c>
    </row>
    <row r="36" spans="1:7" x14ac:dyDescent="0.25">
      <c r="A36">
        <v>43</v>
      </c>
      <c r="B36" t="s">
        <v>70</v>
      </c>
      <c r="C36" t="s">
        <v>36</v>
      </c>
      <c r="D36">
        <v>2.0718120356499998</v>
      </c>
      <c r="E36">
        <v>0.25112785750200001</v>
      </c>
      <c r="F36" t="s">
        <v>107</v>
      </c>
      <c r="G36" t="s">
        <v>118</v>
      </c>
    </row>
    <row r="37" spans="1:7" x14ac:dyDescent="0.25">
      <c r="A37">
        <v>44</v>
      </c>
      <c r="B37" t="s">
        <v>71</v>
      </c>
      <c r="C37" t="s">
        <v>36</v>
      </c>
      <c r="D37">
        <v>0.60728378971399999</v>
      </c>
      <c r="E37">
        <v>0.181439147627</v>
      </c>
      <c r="F37" t="s">
        <v>107</v>
      </c>
      <c r="G37" t="s">
        <v>119</v>
      </c>
    </row>
    <row r="38" spans="1:7" x14ac:dyDescent="0.25">
      <c r="A38">
        <v>45</v>
      </c>
      <c r="B38" t="s">
        <v>72</v>
      </c>
      <c r="C38" t="s">
        <v>36</v>
      </c>
      <c r="D38">
        <v>-0.71462161389500001</v>
      </c>
      <c r="E38">
        <v>0.32036605145399999</v>
      </c>
      <c r="F38" t="s">
        <v>107</v>
      </c>
      <c r="G38" t="s">
        <v>132</v>
      </c>
    </row>
    <row r="39" spans="1:7" x14ac:dyDescent="0.25">
      <c r="A39">
        <v>46</v>
      </c>
      <c r="B39" t="s">
        <v>73</v>
      </c>
      <c r="C39" t="s">
        <v>36</v>
      </c>
      <c r="D39">
        <v>-1.4356778668800001</v>
      </c>
      <c r="E39">
        <v>0.571538197034</v>
      </c>
      <c r="F39" t="s">
        <v>107</v>
      </c>
      <c r="G39" t="s">
        <v>138</v>
      </c>
    </row>
    <row r="40" spans="1:7" x14ac:dyDescent="0.25">
      <c r="A40">
        <v>47</v>
      </c>
      <c r="B40" t="s">
        <v>74</v>
      </c>
      <c r="C40" t="s">
        <v>36</v>
      </c>
      <c r="D40">
        <v>-1.45349726543</v>
      </c>
      <c r="E40">
        <v>0.40356684826</v>
      </c>
      <c r="F40" t="s">
        <v>108</v>
      </c>
      <c r="G40" t="s">
        <v>118</v>
      </c>
    </row>
    <row r="41" spans="1:7" x14ac:dyDescent="0.25">
      <c r="A41">
        <v>48</v>
      </c>
      <c r="B41" t="s">
        <v>75</v>
      </c>
      <c r="C41" t="s">
        <v>36</v>
      </c>
      <c r="D41">
        <v>-1.0930755785699999</v>
      </c>
      <c r="E41">
        <v>0.126439275741</v>
      </c>
      <c r="F41" t="s">
        <v>108</v>
      </c>
      <c r="G41" t="s">
        <v>119</v>
      </c>
    </row>
    <row r="42" spans="1:7" x14ac:dyDescent="0.25">
      <c r="A42">
        <v>49</v>
      </c>
      <c r="B42" t="s">
        <v>76</v>
      </c>
      <c r="C42" t="s">
        <v>36</v>
      </c>
      <c r="D42">
        <v>0.14078168516299999</v>
      </c>
      <c r="E42">
        <v>0.12041492006899999</v>
      </c>
      <c r="F42" t="s">
        <v>108</v>
      </c>
      <c r="G42" t="s">
        <v>132</v>
      </c>
    </row>
    <row r="43" spans="1:7" x14ac:dyDescent="0.25">
      <c r="A43">
        <v>50</v>
      </c>
      <c r="B43" t="s">
        <v>77</v>
      </c>
      <c r="C43" t="s">
        <v>36</v>
      </c>
      <c r="D43">
        <v>0.188609995585</v>
      </c>
      <c r="E43">
        <v>0.169738586315</v>
      </c>
      <c r="F43" t="s">
        <v>108</v>
      </c>
      <c r="G43" t="s">
        <v>138</v>
      </c>
    </row>
    <row r="44" spans="1:7" x14ac:dyDescent="0.25">
      <c r="A44">
        <v>51</v>
      </c>
      <c r="B44" t="s">
        <v>78</v>
      </c>
      <c r="C44" t="s">
        <v>36</v>
      </c>
      <c r="D44">
        <v>-0.58492078305700002</v>
      </c>
      <c r="E44">
        <v>0.39231975258899998</v>
      </c>
      <c r="F44" t="s">
        <v>109</v>
      </c>
      <c r="G44" t="s">
        <v>118</v>
      </c>
    </row>
    <row r="45" spans="1:7" x14ac:dyDescent="0.25">
      <c r="A45">
        <v>52</v>
      </c>
      <c r="B45" t="s">
        <v>79</v>
      </c>
      <c r="C45" t="s">
        <v>36</v>
      </c>
      <c r="D45">
        <v>-1.0058660612699999</v>
      </c>
      <c r="E45">
        <v>0.1591759079</v>
      </c>
      <c r="F45" t="s">
        <v>109</v>
      </c>
      <c r="G45" t="s">
        <v>119</v>
      </c>
    </row>
    <row r="46" spans="1:7" x14ac:dyDescent="0.25">
      <c r="A46">
        <v>53</v>
      </c>
      <c r="B46" t="s">
        <v>80</v>
      </c>
      <c r="C46" t="s">
        <v>36</v>
      </c>
      <c r="D46">
        <v>0.22559840834</v>
      </c>
      <c r="E46">
        <v>0.13586187288400001</v>
      </c>
      <c r="F46" t="s">
        <v>109</v>
      </c>
      <c r="G46" t="s">
        <v>132</v>
      </c>
    </row>
    <row r="47" spans="1:7" x14ac:dyDescent="0.25">
      <c r="A47">
        <v>54</v>
      </c>
      <c r="B47" t="s">
        <v>81</v>
      </c>
      <c r="C47" t="s">
        <v>36</v>
      </c>
      <c r="D47">
        <v>0.34302043279099997</v>
      </c>
      <c r="E47">
        <v>0.18564049817600001</v>
      </c>
      <c r="F47" t="s">
        <v>109</v>
      </c>
      <c r="G47" t="s">
        <v>138</v>
      </c>
    </row>
    <row r="48" spans="1:7" x14ac:dyDescent="0.25">
      <c r="A48">
        <v>55</v>
      </c>
      <c r="B48" t="s">
        <v>82</v>
      </c>
      <c r="C48" t="s">
        <v>36</v>
      </c>
      <c r="D48">
        <v>-0.53538167154600003</v>
      </c>
      <c r="E48">
        <v>0.46253383393000003</v>
      </c>
      <c r="F48" t="s">
        <v>110</v>
      </c>
      <c r="G48" t="s">
        <v>118</v>
      </c>
    </row>
    <row r="49" spans="1:13" x14ac:dyDescent="0.25">
      <c r="A49">
        <v>56</v>
      </c>
      <c r="B49" t="s">
        <v>83</v>
      </c>
      <c r="C49" t="s">
        <v>36</v>
      </c>
      <c r="D49">
        <v>-0.52697142353899995</v>
      </c>
      <c r="E49">
        <v>0.21878082256199999</v>
      </c>
      <c r="F49" t="s">
        <v>110</v>
      </c>
      <c r="G49" t="s">
        <v>119</v>
      </c>
    </row>
    <row r="50" spans="1:13" x14ac:dyDescent="0.25">
      <c r="A50">
        <v>57</v>
      </c>
      <c r="B50" t="s">
        <v>84</v>
      </c>
      <c r="C50" t="s">
        <v>36</v>
      </c>
      <c r="D50">
        <v>0.21517789340999999</v>
      </c>
      <c r="E50">
        <v>0.24686726698100001</v>
      </c>
      <c r="F50" t="s">
        <v>110</v>
      </c>
      <c r="G50" t="s">
        <v>132</v>
      </c>
    </row>
    <row r="51" spans="1:13" x14ac:dyDescent="0.25">
      <c r="A51">
        <v>58</v>
      </c>
      <c r="B51" t="s">
        <v>85</v>
      </c>
      <c r="C51" t="s">
        <v>36</v>
      </c>
      <c r="D51">
        <v>-0.978212790971</v>
      </c>
      <c r="E51">
        <v>0.55972952825599998</v>
      </c>
      <c r="F51" t="s">
        <v>110</v>
      </c>
      <c r="G51" t="s">
        <v>138</v>
      </c>
    </row>
    <row r="52" spans="1:13" x14ac:dyDescent="0.25">
      <c r="A52">
        <v>59</v>
      </c>
      <c r="B52" t="s">
        <v>86</v>
      </c>
      <c r="C52" t="s">
        <v>36</v>
      </c>
      <c r="D52">
        <v>-0.42495698544999999</v>
      </c>
      <c r="E52" s="86">
        <v>9.3174665093100004E-2</v>
      </c>
      <c r="F52" t="s">
        <v>111</v>
      </c>
      <c r="G52" t="s">
        <v>118</v>
      </c>
    </row>
    <row r="53" spans="1:13" s="87" customFormat="1" x14ac:dyDescent="0.25">
      <c r="A53" s="87">
        <v>60</v>
      </c>
      <c r="B53" s="87" t="s">
        <v>87</v>
      </c>
      <c r="C53" s="87" t="s">
        <v>36</v>
      </c>
      <c r="D53" s="87">
        <v>-0.11124462416</v>
      </c>
      <c r="E53" s="89">
        <v>1.9324554676499999E-2</v>
      </c>
      <c r="F53" s="87" t="s">
        <v>123</v>
      </c>
      <c r="G53" s="87" t="s">
        <v>119</v>
      </c>
      <c r="H53" s="87" t="s">
        <v>127</v>
      </c>
      <c r="I53" s="87" t="s">
        <v>128</v>
      </c>
      <c r="J53" s="87" t="s">
        <v>132</v>
      </c>
      <c r="K53" s="87" t="s">
        <v>134</v>
      </c>
      <c r="L53" s="87" t="s">
        <v>138</v>
      </c>
      <c r="M53" s="87" t="s">
        <v>139</v>
      </c>
    </row>
    <row r="54" spans="1:13" x14ac:dyDescent="0.25">
      <c r="A54">
        <v>63</v>
      </c>
      <c r="B54" t="s">
        <v>88</v>
      </c>
      <c r="C54" t="s">
        <v>36</v>
      </c>
      <c r="D54">
        <v>-1.2627495896200001</v>
      </c>
      <c r="E54">
        <v>1.15568726918</v>
      </c>
      <c r="F54" t="s">
        <v>112</v>
      </c>
      <c r="G54" t="s">
        <v>118</v>
      </c>
    </row>
    <row r="55" spans="1:13" x14ac:dyDescent="0.25">
      <c r="A55">
        <v>69</v>
      </c>
      <c r="B55" t="s">
        <v>89</v>
      </c>
      <c r="C55" t="s">
        <v>36</v>
      </c>
      <c r="D55">
        <v>-0.182881856812</v>
      </c>
      <c r="E55" s="86">
        <v>9.1832192679999994E-2</v>
      </c>
      <c r="F55" t="s">
        <v>113</v>
      </c>
      <c r="G55" t="s">
        <v>118</v>
      </c>
    </row>
    <row r="56" spans="1:13" s="87" customFormat="1" x14ac:dyDescent="0.25">
      <c r="A56" s="87">
        <v>72</v>
      </c>
      <c r="B56" s="87" t="s">
        <v>90</v>
      </c>
      <c r="C56" s="87" t="s">
        <v>36</v>
      </c>
      <c r="D56" s="87">
        <v>0.14811075420100001</v>
      </c>
      <c r="E56" s="89">
        <v>5.9982749063499999E-2</v>
      </c>
      <c r="F56" s="87" t="s">
        <v>124</v>
      </c>
      <c r="G56" s="87" t="s">
        <v>119</v>
      </c>
      <c r="H56" s="87" t="s">
        <v>127</v>
      </c>
      <c r="I56" s="87" t="s">
        <v>129</v>
      </c>
      <c r="J56" s="87" t="s">
        <v>132</v>
      </c>
      <c r="K56" s="87" t="s">
        <v>135</v>
      </c>
      <c r="L56" s="87" t="s">
        <v>138</v>
      </c>
      <c r="M56" s="87" t="s">
        <v>140</v>
      </c>
    </row>
    <row r="57" spans="1:13" x14ac:dyDescent="0.25">
      <c r="A57">
        <v>73</v>
      </c>
      <c r="B57" t="s">
        <v>91</v>
      </c>
      <c r="C57" t="s">
        <v>36</v>
      </c>
      <c r="D57" s="86">
        <v>7.1458236224400005E-4</v>
      </c>
      <c r="E57" s="86">
        <v>1.9087285637099999E-4</v>
      </c>
      <c r="F57" t="s">
        <v>114</v>
      </c>
      <c r="G57" t="s">
        <v>118</v>
      </c>
    </row>
    <row r="58" spans="1:13" x14ac:dyDescent="0.25">
      <c r="A58">
        <v>75</v>
      </c>
      <c r="B58" t="s">
        <v>92</v>
      </c>
      <c r="C58" t="s">
        <v>36</v>
      </c>
      <c r="D58">
        <v>0.29597958689600001</v>
      </c>
      <c r="E58" s="86">
        <v>7.8942367252999995E-2</v>
      </c>
      <c r="F58" t="s">
        <v>115</v>
      </c>
      <c r="G58" t="s">
        <v>118</v>
      </c>
    </row>
    <row r="59" spans="1:13" s="87" customFormat="1" x14ac:dyDescent="0.25">
      <c r="A59" s="87">
        <v>76</v>
      </c>
      <c r="B59" s="87" t="s">
        <v>93</v>
      </c>
      <c r="C59" s="87" t="s">
        <v>36</v>
      </c>
      <c r="D59" s="87">
        <v>0.19796492273399999</v>
      </c>
      <c r="E59" s="89">
        <v>3.4156307751499998E-2</v>
      </c>
      <c r="F59" s="87" t="s">
        <v>125</v>
      </c>
      <c r="G59" s="87" t="s">
        <v>119</v>
      </c>
      <c r="H59" s="87" t="s">
        <v>127</v>
      </c>
      <c r="I59" s="87" t="s">
        <v>130</v>
      </c>
      <c r="J59" s="87" t="s">
        <v>132</v>
      </c>
      <c r="K59" s="87" t="s">
        <v>136</v>
      </c>
      <c r="L59" s="87" t="s">
        <v>138</v>
      </c>
      <c r="M59" s="87" t="s">
        <v>141</v>
      </c>
    </row>
    <row r="60" spans="1:13" x14ac:dyDescent="0.25">
      <c r="A60">
        <v>77</v>
      </c>
      <c r="B60" t="s">
        <v>94</v>
      </c>
      <c r="C60" t="s">
        <v>36</v>
      </c>
      <c r="D60">
        <v>0.27817460170199998</v>
      </c>
      <c r="E60">
        <v>0.17839332841300001</v>
      </c>
      <c r="F60" t="s">
        <v>117</v>
      </c>
      <c r="G60" t="s">
        <v>118</v>
      </c>
    </row>
    <row r="61" spans="1:13" x14ac:dyDescent="0.25">
      <c r="A61">
        <v>83</v>
      </c>
      <c r="B61" t="s">
        <v>95</v>
      </c>
      <c r="C61" t="s">
        <v>36</v>
      </c>
      <c r="D61">
        <v>-0.77256225305799997</v>
      </c>
      <c r="E61">
        <v>0.454505526996</v>
      </c>
      <c r="F61" t="s">
        <v>116</v>
      </c>
      <c r="G61" t="s">
        <v>118</v>
      </c>
    </row>
  </sheetData>
  <sortState ref="A2:O61">
    <sortCondition ref="A2:A6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92" t="s">
        <v>165</v>
      </c>
    </row>
    <row r="2" spans="1:10" x14ac:dyDescent="0.25">
      <c r="A2">
        <v>1</v>
      </c>
      <c r="B2" t="s">
        <v>166</v>
      </c>
    </row>
    <row r="3" spans="1:10" x14ac:dyDescent="0.25">
      <c r="A3">
        <v>2</v>
      </c>
      <c r="B3" t="s">
        <v>167</v>
      </c>
    </row>
    <row r="4" spans="1:10" x14ac:dyDescent="0.25">
      <c r="A4">
        <v>3</v>
      </c>
      <c r="B4" t="s">
        <v>168</v>
      </c>
    </row>
    <row r="5" spans="1:10" x14ac:dyDescent="0.25">
      <c r="A5">
        <v>4</v>
      </c>
      <c r="B5" t="s">
        <v>169</v>
      </c>
    </row>
    <row r="8" spans="1:10" x14ac:dyDescent="0.25">
      <c r="A8" t="s">
        <v>154</v>
      </c>
      <c r="B8" t="s">
        <v>155</v>
      </c>
      <c r="C8" t="s">
        <v>156</v>
      </c>
    </row>
    <row r="9" spans="1:10" x14ac:dyDescent="0.25">
      <c r="A9" t="s">
        <v>157</v>
      </c>
      <c r="B9" t="s">
        <v>158</v>
      </c>
      <c r="C9" t="s">
        <v>159</v>
      </c>
      <c r="D9" t="s">
        <v>160</v>
      </c>
      <c r="E9">
        <v>4</v>
      </c>
      <c r="F9" s="95">
        <v>0.46995370370370365</v>
      </c>
      <c r="G9" t="s">
        <v>161</v>
      </c>
      <c r="H9">
        <v>3</v>
      </c>
      <c r="I9" t="s">
        <v>162</v>
      </c>
      <c r="J9">
        <v>12</v>
      </c>
    </row>
    <row r="10" spans="1:10" x14ac:dyDescent="0.25">
      <c r="A10" t="s">
        <v>163</v>
      </c>
    </row>
    <row r="11" spans="1:10" x14ac:dyDescent="0.25">
      <c r="B11">
        <v>1</v>
      </c>
      <c r="C11" t="s">
        <v>35</v>
      </c>
      <c r="D11" t="s">
        <v>36</v>
      </c>
      <c r="E11">
        <v>-3.7471395627100001</v>
      </c>
      <c r="F11">
        <v>0.48543234191599999</v>
      </c>
    </row>
    <row r="12" spans="1:10" x14ac:dyDescent="0.25">
      <c r="B12">
        <v>2</v>
      </c>
      <c r="C12" t="s">
        <v>37</v>
      </c>
      <c r="D12" t="s">
        <v>36</v>
      </c>
      <c r="E12">
        <v>-2.1297115852199999</v>
      </c>
      <c r="F12">
        <v>0.120667788954</v>
      </c>
    </row>
    <row r="13" spans="1:10" x14ac:dyDescent="0.25">
      <c r="B13">
        <v>3</v>
      </c>
      <c r="C13" t="s">
        <v>38</v>
      </c>
      <c r="D13" t="s">
        <v>36</v>
      </c>
      <c r="E13">
        <v>-3.96633437255</v>
      </c>
      <c r="F13">
        <v>0.18162390207699999</v>
      </c>
    </row>
    <row r="14" spans="1:10" x14ac:dyDescent="0.25">
      <c r="B14">
        <v>4</v>
      </c>
      <c r="C14" t="s">
        <v>39</v>
      </c>
      <c r="D14" t="s">
        <v>36</v>
      </c>
      <c r="E14">
        <v>-11.219392631330001</v>
      </c>
      <c r="F14">
        <v>0.34758296123299998</v>
      </c>
    </row>
    <row r="15" spans="1:10" x14ac:dyDescent="0.25">
      <c r="B15">
        <v>5</v>
      </c>
      <c r="C15" t="s">
        <v>40</v>
      </c>
      <c r="D15" t="s">
        <v>36</v>
      </c>
      <c r="E15">
        <v>-5.0125223934900003</v>
      </c>
      <c r="F15">
        <v>0.48593392329200003</v>
      </c>
    </row>
    <row r="16" spans="1:10" x14ac:dyDescent="0.25">
      <c r="B16">
        <v>6</v>
      </c>
      <c r="C16" t="s">
        <v>41</v>
      </c>
      <c r="D16" t="s">
        <v>36</v>
      </c>
      <c r="E16">
        <v>-1.8563745465099999</v>
      </c>
      <c r="F16">
        <v>0.17120485389099999</v>
      </c>
    </row>
    <row r="17" spans="2:6" x14ac:dyDescent="0.25">
      <c r="B17">
        <v>7</v>
      </c>
      <c r="C17" t="s">
        <v>42</v>
      </c>
      <c r="D17" t="s">
        <v>36</v>
      </c>
      <c r="E17">
        <v>-1.3964239432800001</v>
      </c>
      <c r="F17">
        <v>0.108778102305</v>
      </c>
    </row>
    <row r="18" spans="2:6" x14ac:dyDescent="0.25">
      <c r="B18">
        <v>8</v>
      </c>
      <c r="C18" t="s">
        <v>43</v>
      </c>
      <c r="D18" t="s">
        <v>36</v>
      </c>
      <c r="E18">
        <v>-2.3942936803500001</v>
      </c>
      <c r="F18">
        <v>0.162199862</v>
      </c>
    </row>
    <row r="19" spans="2:6" x14ac:dyDescent="0.25">
      <c r="B19">
        <v>9</v>
      </c>
      <c r="C19" t="s">
        <v>44</v>
      </c>
      <c r="D19" t="s">
        <v>36</v>
      </c>
      <c r="E19">
        <v>-4.9201833156500001</v>
      </c>
      <c r="F19">
        <v>0.68731231591800002</v>
      </c>
    </row>
    <row r="20" spans="2:6" x14ac:dyDescent="0.25">
      <c r="B20">
        <v>10</v>
      </c>
      <c r="C20" t="s">
        <v>45</v>
      </c>
      <c r="D20" t="s">
        <v>36</v>
      </c>
      <c r="E20">
        <v>-2.29401614977</v>
      </c>
      <c r="F20">
        <v>0.26131690816499997</v>
      </c>
    </row>
    <row r="21" spans="2:6" x14ac:dyDescent="0.25">
      <c r="B21">
        <v>11</v>
      </c>
      <c r="C21" t="s">
        <v>46</v>
      </c>
      <c r="D21" t="s">
        <v>36</v>
      </c>
      <c r="E21">
        <v>-1.4446352364099999</v>
      </c>
      <c r="F21">
        <v>0.204749856644</v>
      </c>
    </row>
    <row r="22" spans="2:6" x14ac:dyDescent="0.25">
      <c r="B22">
        <v>12</v>
      </c>
      <c r="C22" t="s">
        <v>47</v>
      </c>
      <c r="D22" t="s">
        <v>36</v>
      </c>
      <c r="E22">
        <v>-0.81535992723999995</v>
      </c>
      <c r="F22">
        <v>0.203518529877</v>
      </c>
    </row>
    <row r="23" spans="2:6" x14ac:dyDescent="0.25">
      <c r="B23">
        <v>13</v>
      </c>
      <c r="C23" t="s">
        <v>48</v>
      </c>
      <c r="D23" t="s">
        <v>36</v>
      </c>
      <c r="E23">
        <v>-5.3216543706600001</v>
      </c>
      <c r="F23">
        <v>1.2200761253100001</v>
      </c>
    </row>
    <row r="24" spans="2:6" x14ac:dyDescent="0.25">
      <c r="B24">
        <v>14</v>
      </c>
      <c r="C24" t="s">
        <v>49</v>
      </c>
      <c r="D24" t="s">
        <v>36</v>
      </c>
      <c r="E24">
        <v>-1.1261276811700001</v>
      </c>
      <c r="F24">
        <v>0.39337121020799998</v>
      </c>
    </row>
    <row r="25" spans="2:6" x14ac:dyDescent="0.25">
      <c r="B25">
        <v>15</v>
      </c>
      <c r="C25" t="s">
        <v>50</v>
      </c>
      <c r="D25" t="s">
        <v>36</v>
      </c>
      <c r="E25">
        <v>-1.6372198765899999</v>
      </c>
      <c r="F25">
        <v>0.30214458233000002</v>
      </c>
    </row>
    <row r="26" spans="2:6" x14ac:dyDescent="0.25">
      <c r="B26">
        <v>16</v>
      </c>
      <c r="C26" t="s">
        <v>51</v>
      </c>
      <c r="D26" t="s">
        <v>36</v>
      </c>
      <c r="E26">
        <v>-0.59991414110999997</v>
      </c>
      <c r="F26">
        <v>0.30270627538400002</v>
      </c>
    </row>
    <row r="27" spans="2:6" x14ac:dyDescent="0.25">
      <c r="B27">
        <v>18</v>
      </c>
      <c r="C27" t="s">
        <v>52</v>
      </c>
      <c r="D27" t="s">
        <v>36</v>
      </c>
      <c r="E27">
        <v>0.39953921787000002</v>
      </c>
      <c r="F27">
        <v>0.124608088395</v>
      </c>
    </row>
    <row r="28" spans="2:6" x14ac:dyDescent="0.25">
      <c r="B28">
        <v>19</v>
      </c>
      <c r="C28" t="s">
        <v>53</v>
      </c>
      <c r="D28" t="s">
        <v>36</v>
      </c>
      <c r="E28">
        <v>0.69903044631199995</v>
      </c>
      <c r="F28">
        <v>0.40297798012199998</v>
      </c>
    </row>
    <row r="29" spans="2:6" x14ac:dyDescent="0.25">
      <c r="B29">
        <v>20</v>
      </c>
      <c r="C29" t="s">
        <v>54</v>
      </c>
      <c r="D29" t="s">
        <v>36</v>
      </c>
      <c r="E29">
        <v>0.32485446959800002</v>
      </c>
      <c r="F29">
        <v>0.204037451392</v>
      </c>
    </row>
    <row r="30" spans="2:6" x14ac:dyDescent="0.25">
      <c r="B30">
        <v>22</v>
      </c>
      <c r="C30" t="s">
        <v>55</v>
      </c>
      <c r="D30" t="s">
        <v>36</v>
      </c>
      <c r="E30">
        <v>-0.43856128772000003</v>
      </c>
      <c r="F30">
        <v>0.318213047774</v>
      </c>
    </row>
    <row r="31" spans="2:6" x14ac:dyDescent="0.25">
      <c r="B31">
        <v>24</v>
      </c>
      <c r="C31" t="s">
        <v>56</v>
      </c>
      <c r="D31" t="s">
        <v>36</v>
      </c>
      <c r="E31">
        <v>0.239019734309</v>
      </c>
      <c r="F31">
        <v>0.118684885778</v>
      </c>
    </row>
    <row r="32" spans="2:6" x14ac:dyDescent="0.25">
      <c r="B32">
        <v>25</v>
      </c>
      <c r="C32" t="s">
        <v>57</v>
      </c>
      <c r="D32" t="s">
        <v>36</v>
      </c>
      <c r="E32">
        <v>-0.30115653367700002</v>
      </c>
      <c r="F32">
        <v>0.15726577946500001</v>
      </c>
    </row>
    <row r="33" spans="2:6" x14ac:dyDescent="0.25">
      <c r="B33">
        <v>26</v>
      </c>
      <c r="C33" t="s">
        <v>58</v>
      </c>
      <c r="D33" t="s">
        <v>36</v>
      </c>
      <c r="E33">
        <v>-0.56373515910799998</v>
      </c>
      <c r="F33">
        <v>0.25328633007399998</v>
      </c>
    </row>
    <row r="34" spans="2:6" x14ac:dyDescent="0.25">
      <c r="B34">
        <v>28</v>
      </c>
      <c r="C34" t="s">
        <v>59</v>
      </c>
      <c r="D34" t="s">
        <v>36</v>
      </c>
      <c r="E34">
        <v>0.31959884056900001</v>
      </c>
      <c r="F34">
        <v>0.22861927141800001</v>
      </c>
    </row>
    <row r="35" spans="2:6" x14ac:dyDescent="0.25">
      <c r="B35">
        <v>29</v>
      </c>
      <c r="C35" t="s">
        <v>60</v>
      </c>
      <c r="D35" t="s">
        <v>36</v>
      </c>
      <c r="E35">
        <v>0.57068696704599997</v>
      </c>
      <c r="F35">
        <v>0.28285417099100002</v>
      </c>
    </row>
    <row r="36" spans="2:6" x14ac:dyDescent="0.25">
      <c r="B36">
        <v>31</v>
      </c>
      <c r="C36" t="s">
        <v>61</v>
      </c>
      <c r="D36" t="s">
        <v>36</v>
      </c>
      <c r="E36">
        <v>2.9250059989500001</v>
      </c>
      <c r="F36">
        <v>1.2854634766599999</v>
      </c>
    </row>
    <row r="37" spans="2:6" x14ac:dyDescent="0.25">
      <c r="B37">
        <v>32</v>
      </c>
      <c r="C37" t="s">
        <v>62</v>
      </c>
      <c r="D37" t="s">
        <v>36</v>
      </c>
      <c r="E37">
        <v>1.2969669216299999</v>
      </c>
      <c r="F37">
        <v>0.553290083268</v>
      </c>
    </row>
    <row r="38" spans="2:6" x14ac:dyDescent="0.25">
      <c r="B38">
        <v>34</v>
      </c>
      <c r="C38" t="s">
        <v>63</v>
      </c>
      <c r="D38" t="s">
        <v>36</v>
      </c>
      <c r="E38">
        <v>-2.59112200624</v>
      </c>
      <c r="F38">
        <v>0.67748006502500002</v>
      </c>
    </row>
    <row r="39" spans="2:6" x14ac:dyDescent="0.25">
      <c r="B39">
        <v>35</v>
      </c>
      <c r="C39" t="s">
        <v>64</v>
      </c>
      <c r="D39" t="s">
        <v>36</v>
      </c>
      <c r="E39">
        <v>-1.0636437007299999</v>
      </c>
      <c r="F39">
        <v>0.67287579243399998</v>
      </c>
    </row>
    <row r="40" spans="2:6" x14ac:dyDescent="0.25">
      <c r="B40">
        <v>36</v>
      </c>
      <c r="C40" t="s">
        <v>65</v>
      </c>
      <c r="D40" t="s">
        <v>36</v>
      </c>
      <c r="E40">
        <v>-0.53660640919000002</v>
      </c>
      <c r="F40">
        <v>0.28655587340499999</v>
      </c>
    </row>
    <row r="41" spans="2:6" x14ac:dyDescent="0.25">
      <c r="B41">
        <v>37</v>
      </c>
      <c r="C41" t="s">
        <v>66</v>
      </c>
      <c r="D41" t="s">
        <v>36</v>
      </c>
      <c r="E41">
        <v>0.28589368992800002</v>
      </c>
      <c r="F41">
        <v>0.26930228656600003</v>
      </c>
    </row>
    <row r="42" spans="2:6" x14ac:dyDescent="0.25">
      <c r="B42">
        <v>38</v>
      </c>
      <c r="C42" t="s">
        <v>67</v>
      </c>
      <c r="D42" t="s">
        <v>36</v>
      </c>
      <c r="E42">
        <v>0.64783551265499995</v>
      </c>
      <c r="F42">
        <v>0.37530750296900001</v>
      </c>
    </row>
    <row r="43" spans="2:6" x14ac:dyDescent="0.25">
      <c r="B43">
        <v>41</v>
      </c>
      <c r="C43" t="s">
        <v>68</v>
      </c>
      <c r="D43" t="s">
        <v>36</v>
      </c>
      <c r="E43">
        <v>-0.47288768158</v>
      </c>
      <c r="F43">
        <v>0.28996962859499997</v>
      </c>
    </row>
    <row r="44" spans="2:6" x14ac:dyDescent="0.25">
      <c r="B44">
        <v>42</v>
      </c>
      <c r="C44" t="s">
        <v>69</v>
      </c>
      <c r="D44" t="s">
        <v>36</v>
      </c>
      <c r="E44">
        <v>-1.73045435445</v>
      </c>
      <c r="F44">
        <v>0.60204136834499999</v>
      </c>
    </row>
    <row r="45" spans="2:6" x14ac:dyDescent="0.25">
      <c r="B45">
        <v>43</v>
      </c>
      <c r="C45" t="s">
        <v>70</v>
      </c>
      <c r="D45" t="s">
        <v>36</v>
      </c>
      <c r="E45">
        <v>2.0718120356499998</v>
      </c>
      <c r="F45">
        <v>0.25112785750200001</v>
      </c>
    </row>
    <row r="46" spans="2:6" x14ac:dyDescent="0.25">
      <c r="B46">
        <v>44</v>
      </c>
      <c r="C46" t="s">
        <v>71</v>
      </c>
      <c r="D46" t="s">
        <v>36</v>
      </c>
      <c r="E46">
        <v>0.60728378971399999</v>
      </c>
      <c r="F46">
        <v>0.181439147627</v>
      </c>
    </row>
    <row r="47" spans="2:6" x14ac:dyDescent="0.25">
      <c r="B47">
        <v>45</v>
      </c>
      <c r="C47" t="s">
        <v>72</v>
      </c>
      <c r="D47" t="s">
        <v>36</v>
      </c>
      <c r="E47">
        <v>-0.71462161389500001</v>
      </c>
      <c r="F47">
        <v>0.32036605145399999</v>
      </c>
    </row>
    <row r="48" spans="2:6" x14ac:dyDescent="0.25">
      <c r="B48">
        <v>46</v>
      </c>
      <c r="C48" t="s">
        <v>73</v>
      </c>
      <c r="D48" t="s">
        <v>36</v>
      </c>
      <c r="E48">
        <v>-1.4356778668800001</v>
      </c>
      <c r="F48">
        <v>0.571538197034</v>
      </c>
    </row>
    <row r="49" spans="2:6" x14ac:dyDescent="0.25">
      <c r="B49">
        <v>47</v>
      </c>
      <c r="C49" t="s">
        <v>74</v>
      </c>
      <c r="D49" t="s">
        <v>36</v>
      </c>
      <c r="E49">
        <v>-1.45349726543</v>
      </c>
      <c r="F49">
        <v>0.40356684826</v>
      </c>
    </row>
    <row r="50" spans="2:6" x14ac:dyDescent="0.25">
      <c r="B50">
        <v>48</v>
      </c>
      <c r="C50" t="s">
        <v>75</v>
      </c>
      <c r="D50" t="s">
        <v>36</v>
      </c>
      <c r="E50">
        <v>-1.0930755785699999</v>
      </c>
      <c r="F50">
        <v>0.126439275741</v>
      </c>
    </row>
    <row r="51" spans="2:6" x14ac:dyDescent="0.25">
      <c r="B51">
        <v>49</v>
      </c>
      <c r="C51" t="s">
        <v>76</v>
      </c>
      <c r="D51" t="s">
        <v>36</v>
      </c>
      <c r="E51">
        <v>0.14078168516299999</v>
      </c>
      <c r="F51">
        <v>0.12041492006899999</v>
      </c>
    </row>
    <row r="52" spans="2:6" x14ac:dyDescent="0.25">
      <c r="B52">
        <v>50</v>
      </c>
      <c r="C52" t="s">
        <v>77</v>
      </c>
      <c r="D52" t="s">
        <v>36</v>
      </c>
      <c r="E52">
        <v>0.188609995585</v>
      </c>
      <c r="F52">
        <v>0.169738586315</v>
      </c>
    </row>
    <row r="53" spans="2:6" x14ac:dyDescent="0.25">
      <c r="B53">
        <v>51</v>
      </c>
      <c r="C53" t="s">
        <v>78</v>
      </c>
      <c r="D53" t="s">
        <v>36</v>
      </c>
      <c r="E53">
        <v>-0.58492078305700002</v>
      </c>
      <c r="F53">
        <v>0.39231975258899998</v>
      </c>
    </row>
    <row r="54" spans="2:6" x14ac:dyDescent="0.25">
      <c r="B54">
        <v>52</v>
      </c>
      <c r="C54" t="s">
        <v>79</v>
      </c>
      <c r="D54" t="s">
        <v>36</v>
      </c>
      <c r="E54">
        <v>-1.0058660612699999</v>
      </c>
      <c r="F54">
        <v>0.1591759079</v>
      </c>
    </row>
    <row r="55" spans="2:6" x14ac:dyDescent="0.25">
      <c r="B55">
        <v>53</v>
      </c>
      <c r="C55" t="s">
        <v>80</v>
      </c>
      <c r="D55" t="s">
        <v>36</v>
      </c>
      <c r="E55">
        <v>0.22559840834</v>
      </c>
      <c r="F55">
        <v>0.13586187288400001</v>
      </c>
    </row>
    <row r="56" spans="2:6" x14ac:dyDescent="0.25">
      <c r="B56">
        <v>54</v>
      </c>
      <c r="C56" t="s">
        <v>81</v>
      </c>
      <c r="D56" t="s">
        <v>36</v>
      </c>
      <c r="E56">
        <v>0.34302043279099997</v>
      </c>
      <c r="F56">
        <v>0.18564049817600001</v>
      </c>
    </row>
    <row r="57" spans="2:6" x14ac:dyDescent="0.25">
      <c r="B57">
        <v>55</v>
      </c>
      <c r="C57" t="s">
        <v>82</v>
      </c>
      <c r="D57" t="s">
        <v>36</v>
      </c>
      <c r="E57">
        <v>-0.53538167154600003</v>
      </c>
      <c r="F57">
        <v>0.46253383393000003</v>
      </c>
    </row>
    <row r="58" spans="2:6" x14ac:dyDescent="0.25">
      <c r="B58">
        <v>56</v>
      </c>
      <c r="C58" t="s">
        <v>83</v>
      </c>
      <c r="D58" t="s">
        <v>36</v>
      </c>
      <c r="E58">
        <v>-0.52697142353899995</v>
      </c>
      <c r="F58">
        <v>0.21878082256199999</v>
      </c>
    </row>
    <row r="59" spans="2:6" x14ac:dyDescent="0.25">
      <c r="B59">
        <v>57</v>
      </c>
      <c r="C59" t="s">
        <v>84</v>
      </c>
      <c r="D59" t="s">
        <v>36</v>
      </c>
      <c r="E59">
        <v>0.21517789340999999</v>
      </c>
      <c r="F59">
        <v>0.24686726698100001</v>
      </c>
    </row>
    <row r="60" spans="2:6" x14ac:dyDescent="0.25">
      <c r="B60">
        <v>58</v>
      </c>
      <c r="C60" t="s">
        <v>85</v>
      </c>
      <c r="D60" t="s">
        <v>36</v>
      </c>
      <c r="E60">
        <v>-0.978212790971</v>
      </c>
      <c r="F60">
        <v>0.55972952825599998</v>
      </c>
    </row>
    <row r="61" spans="2:6" x14ac:dyDescent="0.25">
      <c r="B61">
        <v>59</v>
      </c>
      <c r="C61" t="s">
        <v>86</v>
      </c>
      <c r="D61" t="s">
        <v>36</v>
      </c>
      <c r="E61">
        <v>-0.42495698544999999</v>
      </c>
      <c r="F61" s="86">
        <v>9.3174665093100004E-2</v>
      </c>
    </row>
    <row r="62" spans="2:6" x14ac:dyDescent="0.25">
      <c r="B62">
        <v>60</v>
      </c>
      <c r="C62" t="s">
        <v>87</v>
      </c>
      <c r="D62" t="s">
        <v>36</v>
      </c>
      <c r="E62">
        <v>-0.11124462416</v>
      </c>
      <c r="F62" s="86">
        <v>1.9324554676499999E-2</v>
      </c>
    </row>
    <row r="63" spans="2:6" x14ac:dyDescent="0.25">
      <c r="B63">
        <v>63</v>
      </c>
      <c r="C63" t="s">
        <v>88</v>
      </c>
      <c r="D63" t="s">
        <v>36</v>
      </c>
      <c r="E63">
        <v>-1.2627495896200001</v>
      </c>
      <c r="F63">
        <v>1.15568726918</v>
      </c>
    </row>
    <row r="64" spans="2:6" x14ac:dyDescent="0.25">
      <c r="B64">
        <v>69</v>
      </c>
      <c r="C64" t="s">
        <v>89</v>
      </c>
      <c r="D64" t="s">
        <v>36</v>
      </c>
      <c r="E64">
        <v>-0.182881856812</v>
      </c>
      <c r="F64" s="86">
        <v>9.1832192679999994E-2</v>
      </c>
    </row>
    <row r="65" spans="2:11" x14ac:dyDescent="0.25">
      <c r="B65">
        <v>72</v>
      </c>
      <c r="C65" t="s">
        <v>90</v>
      </c>
      <c r="D65" t="s">
        <v>36</v>
      </c>
      <c r="E65">
        <v>0.14811075420100001</v>
      </c>
      <c r="F65" s="86">
        <v>5.9982749063499999E-2</v>
      </c>
    </row>
    <row r="66" spans="2:11" x14ac:dyDescent="0.25">
      <c r="B66">
        <v>73</v>
      </c>
      <c r="C66" t="s">
        <v>91</v>
      </c>
      <c r="D66" t="s">
        <v>36</v>
      </c>
      <c r="E66" s="86">
        <v>7.1458236224400005E-4</v>
      </c>
      <c r="F66" s="86">
        <v>1.9087285637099999E-4</v>
      </c>
    </row>
    <row r="67" spans="2:11" x14ac:dyDescent="0.25">
      <c r="B67">
        <v>75</v>
      </c>
      <c r="C67" t="s">
        <v>92</v>
      </c>
      <c r="D67" t="s">
        <v>36</v>
      </c>
      <c r="E67">
        <v>0.29597958689600001</v>
      </c>
      <c r="F67" s="86">
        <v>7.8942367252999995E-2</v>
      </c>
    </row>
    <row r="68" spans="2:11" x14ac:dyDescent="0.25">
      <c r="B68">
        <v>76</v>
      </c>
      <c r="C68" t="s">
        <v>93</v>
      </c>
      <c r="D68" t="s">
        <v>36</v>
      </c>
      <c r="E68">
        <v>0.19796492273399999</v>
      </c>
      <c r="F68" s="86">
        <v>3.4156307751499998E-2</v>
      </c>
    </row>
    <row r="69" spans="2:11" x14ac:dyDescent="0.25">
      <c r="B69">
        <v>77</v>
      </c>
      <c r="C69" t="s">
        <v>94</v>
      </c>
      <c r="D69" t="s">
        <v>36</v>
      </c>
      <c r="E69">
        <v>0.27817460170199998</v>
      </c>
      <c r="F69">
        <v>0.17839332841300001</v>
      </c>
    </row>
    <row r="70" spans="2:11" x14ac:dyDescent="0.25">
      <c r="B70">
        <v>83</v>
      </c>
      <c r="C70" t="s">
        <v>95</v>
      </c>
      <c r="D70" t="s">
        <v>36</v>
      </c>
      <c r="E70">
        <v>-0.77256225305799997</v>
      </c>
      <c r="F70">
        <v>0.454505526996</v>
      </c>
    </row>
    <row r="71" spans="2:11" x14ac:dyDescent="0.25">
      <c r="B71">
        <v>-1</v>
      </c>
    </row>
    <row r="72" spans="2:11" x14ac:dyDescent="0.25">
      <c r="B72">
        <v>3942</v>
      </c>
      <c r="C72" s="86">
        <v>-5314.5725053400001</v>
      </c>
      <c r="D72" s="86">
        <v>-6344.40425082</v>
      </c>
      <c r="E72" s="86">
        <v>-3915.8071334400001</v>
      </c>
    </row>
    <row r="73" spans="2:11" x14ac:dyDescent="0.25">
      <c r="B73">
        <v>8</v>
      </c>
      <c r="C73" t="s">
        <v>164</v>
      </c>
      <c r="D73" t="s">
        <v>161</v>
      </c>
      <c r="E73">
        <v>3</v>
      </c>
      <c r="F73" t="s">
        <v>162</v>
      </c>
      <c r="G73">
        <v>12</v>
      </c>
    </row>
    <row r="74" spans="2:11" x14ac:dyDescent="0.25">
      <c r="B74">
        <v>10160</v>
      </c>
      <c r="C74">
        <v>5157</v>
      </c>
      <c r="D74">
        <v>28599</v>
      </c>
      <c r="E74">
        <v>2579</v>
      </c>
      <c r="F74">
        <v>15147</v>
      </c>
      <c r="G74">
        <v>11502</v>
      </c>
      <c r="H74">
        <v>87647</v>
      </c>
      <c r="I74">
        <v>-2013</v>
      </c>
      <c r="J74">
        <v>-1023</v>
      </c>
      <c r="K74">
        <v>-499</v>
      </c>
    </row>
    <row r="75" spans="2:11" x14ac:dyDescent="0.25">
      <c r="B75">
        <v>-5188</v>
      </c>
      <c r="C75">
        <v>-28621</v>
      </c>
      <c r="D75">
        <v>-14563</v>
      </c>
      <c r="E75">
        <v>-7082</v>
      </c>
      <c r="F75">
        <v>3340</v>
      </c>
      <c r="G75">
        <v>-1918</v>
      </c>
      <c r="H75">
        <v>-11880</v>
      </c>
      <c r="I75">
        <v>30792</v>
      </c>
      <c r="J75">
        <v>1679</v>
      </c>
      <c r="K75">
        <v>2178</v>
      </c>
    </row>
    <row r="76" spans="2:11" x14ac:dyDescent="0.25">
      <c r="B76">
        <v>10601</v>
      </c>
      <c r="C76">
        <v>-1317</v>
      </c>
      <c r="D76">
        <v>-7576</v>
      </c>
      <c r="E76">
        <v>2433</v>
      </c>
      <c r="F76">
        <v>25561</v>
      </c>
      <c r="G76">
        <v>1400</v>
      </c>
      <c r="H76">
        <v>7469</v>
      </c>
      <c r="I76">
        <v>17918</v>
      </c>
      <c r="J76">
        <v>61174</v>
      </c>
      <c r="K76">
        <v>-182</v>
      </c>
    </row>
    <row r="77" spans="2:11" x14ac:dyDescent="0.25">
      <c r="B77">
        <v>-5550</v>
      </c>
      <c r="C77">
        <v>-516</v>
      </c>
      <c r="D77">
        <v>60489</v>
      </c>
      <c r="E77">
        <v>265</v>
      </c>
      <c r="F77">
        <v>-9313</v>
      </c>
      <c r="G77">
        <v>-996</v>
      </c>
      <c r="H77">
        <v>-2878</v>
      </c>
      <c r="I77">
        <v>-14870</v>
      </c>
      <c r="J77">
        <v>-21975</v>
      </c>
      <c r="K77">
        <v>-4960</v>
      </c>
    </row>
    <row r="78" spans="2:11" x14ac:dyDescent="0.25">
      <c r="B78">
        <v>1517</v>
      </c>
      <c r="C78">
        <v>53828</v>
      </c>
      <c r="D78">
        <v>-21516</v>
      </c>
      <c r="E78">
        <v>-214</v>
      </c>
      <c r="F78">
        <v>14316</v>
      </c>
      <c r="G78">
        <v>573</v>
      </c>
      <c r="H78">
        <v>2783</v>
      </c>
      <c r="I78">
        <v>-18036</v>
      </c>
      <c r="J78">
        <v>-1630</v>
      </c>
      <c r="K78">
        <v>-309</v>
      </c>
    </row>
    <row r="79" spans="2:11" x14ac:dyDescent="0.25">
      <c r="B79">
        <v>50698</v>
      </c>
      <c r="C79">
        <v>-34910</v>
      </c>
      <c r="D79">
        <v>-5970</v>
      </c>
      <c r="E79">
        <v>12746</v>
      </c>
      <c r="F79">
        <v>62859</v>
      </c>
      <c r="G79">
        <v>-151</v>
      </c>
      <c r="H79">
        <v>487</v>
      </c>
      <c r="I79">
        <v>-14418</v>
      </c>
      <c r="J79">
        <v>18503</v>
      </c>
      <c r="K79">
        <v>-147</v>
      </c>
    </row>
    <row r="80" spans="2:11" x14ac:dyDescent="0.25">
      <c r="B80">
        <v>-691</v>
      </c>
      <c r="C80">
        <v>-25545</v>
      </c>
      <c r="D80">
        <v>44537</v>
      </c>
      <c r="E80">
        <v>8011</v>
      </c>
      <c r="F80">
        <v>21124</v>
      </c>
      <c r="G80">
        <v>26353</v>
      </c>
      <c r="H80">
        <v>33615</v>
      </c>
      <c r="I80">
        <v>-392</v>
      </c>
      <c r="J80">
        <v>-812</v>
      </c>
      <c r="K80">
        <v>-3476</v>
      </c>
    </row>
    <row r="81" spans="2:11" x14ac:dyDescent="0.25">
      <c r="B81">
        <v>33948</v>
      </c>
      <c r="C81">
        <v>-1657</v>
      </c>
      <c r="D81">
        <v>-918</v>
      </c>
      <c r="E81">
        <v>-8127</v>
      </c>
      <c r="F81">
        <v>26936</v>
      </c>
      <c r="G81">
        <v>1943</v>
      </c>
      <c r="H81">
        <v>422</v>
      </c>
      <c r="I81">
        <v>-7655</v>
      </c>
      <c r="J81">
        <v>-2300</v>
      </c>
      <c r="K81">
        <v>-11030</v>
      </c>
    </row>
    <row r="82" spans="2:11" x14ac:dyDescent="0.25">
      <c r="B82">
        <v>-7607</v>
      </c>
      <c r="C82">
        <v>-12966</v>
      </c>
      <c r="D82">
        <v>1473</v>
      </c>
      <c r="E82">
        <v>32025</v>
      </c>
      <c r="F82">
        <v>-938</v>
      </c>
      <c r="G82">
        <v>-23022</v>
      </c>
      <c r="H82">
        <v>3675</v>
      </c>
      <c r="I82">
        <v>30835</v>
      </c>
      <c r="J82">
        <v>22535</v>
      </c>
      <c r="K82">
        <v>-23625</v>
      </c>
    </row>
    <row r="83" spans="2:11" x14ac:dyDescent="0.25">
      <c r="B83">
        <v>16831</v>
      </c>
      <c r="C83">
        <v>-21</v>
      </c>
      <c r="D83">
        <v>1563</v>
      </c>
      <c r="E83">
        <v>-2417</v>
      </c>
      <c r="F83">
        <v>-14102</v>
      </c>
      <c r="G83">
        <v>-157</v>
      </c>
      <c r="H83">
        <v>28748</v>
      </c>
      <c r="I83">
        <v>-6363</v>
      </c>
      <c r="J83">
        <v>-35627</v>
      </c>
      <c r="K83">
        <v>2116</v>
      </c>
    </row>
    <row r="84" spans="2:11" x14ac:dyDescent="0.25">
      <c r="B84">
        <v>23839</v>
      </c>
      <c r="C84">
        <v>34166</v>
      </c>
      <c r="D84">
        <v>-32453</v>
      </c>
      <c r="E84">
        <v>14559</v>
      </c>
      <c r="F84">
        <v>52355</v>
      </c>
      <c r="G84">
        <v>-493</v>
      </c>
      <c r="H84">
        <v>-3097</v>
      </c>
      <c r="I84">
        <v>8598</v>
      </c>
      <c r="J84">
        <v>-13990</v>
      </c>
      <c r="K84">
        <v>420</v>
      </c>
    </row>
    <row r="85" spans="2:11" x14ac:dyDescent="0.25">
      <c r="B85">
        <v>31158</v>
      </c>
      <c r="C85">
        <v>17903</v>
      </c>
      <c r="D85">
        <v>-31729</v>
      </c>
      <c r="E85">
        <v>-1325</v>
      </c>
      <c r="F85">
        <v>14983</v>
      </c>
      <c r="G85">
        <v>21906</v>
      </c>
      <c r="H85">
        <v>-43227</v>
      </c>
      <c r="I85">
        <v>12491</v>
      </c>
      <c r="J85">
        <v>49209</v>
      </c>
      <c r="K85">
        <v>65468</v>
      </c>
    </row>
    <row r="86" spans="2:11" x14ac:dyDescent="0.25">
      <c r="B86">
        <v>-60</v>
      </c>
      <c r="C86">
        <v>3062</v>
      </c>
      <c r="D86">
        <v>1964</v>
      </c>
      <c r="E86">
        <v>1601</v>
      </c>
      <c r="F86">
        <v>1228</v>
      </c>
      <c r="G86">
        <v>4685</v>
      </c>
      <c r="H86">
        <v>-1368</v>
      </c>
      <c r="I86">
        <v>-19</v>
      </c>
      <c r="J86">
        <v>508</v>
      </c>
      <c r="K86">
        <v>9070</v>
      </c>
    </row>
    <row r="87" spans="2:11" x14ac:dyDescent="0.25">
      <c r="B87">
        <v>-10442</v>
      </c>
      <c r="C87">
        <v>-403</v>
      </c>
      <c r="D87">
        <v>1367</v>
      </c>
      <c r="E87">
        <v>12730</v>
      </c>
      <c r="F87">
        <v>-335</v>
      </c>
      <c r="G87">
        <v>-8855</v>
      </c>
      <c r="H87">
        <v>400</v>
      </c>
      <c r="I87">
        <v>5056</v>
      </c>
      <c r="J87">
        <v>4152</v>
      </c>
      <c r="K87">
        <v>1173</v>
      </c>
    </row>
    <row r="88" spans="2:11" x14ac:dyDescent="0.25">
      <c r="B88">
        <v>1315</v>
      </c>
      <c r="C88">
        <v>-1635</v>
      </c>
      <c r="D88">
        <v>988</v>
      </c>
      <c r="E88">
        <v>-910</v>
      </c>
      <c r="F88">
        <v>2977</v>
      </c>
      <c r="G88">
        <v>490</v>
      </c>
      <c r="H88">
        <v>-399</v>
      </c>
      <c r="I88">
        <v>-1667</v>
      </c>
      <c r="J88">
        <v>2314</v>
      </c>
      <c r="K88">
        <v>2847</v>
      </c>
    </row>
    <row r="89" spans="2:11" x14ac:dyDescent="0.25">
      <c r="B89">
        <v>2547</v>
      </c>
      <c r="C89">
        <v>1411</v>
      </c>
      <c r="D89">
        <v>20215</v>
      </c>
      <c r="E89">
        <v>4186</v>
      </c>
      <c r="F89">
        <v>22251</v>
      </c>
      <c r="G89">
        <v>15104</v>
      </c>
      <c r="H89">
        <v>5790</v>
      </c>
      <c r="I89">
        <v>-1462</v>
      </c>
      <c r="J89">
        <v>-15145</v>
      </c>
      <c r="K89">
        <v>499</v>
      </c>
    </row>
    <row r="90" spans="2:11" x14ac:dyDescent="0.25">
      <c r="B90">
        <v>-2554</v>
      </c>
      <c r="C90">
        <v>-448</v>
      </c>
      <c r="D90">
        <v>-8005</v>
      </c>
      <c r="E90">
        <v>1342</v>
      </c>
      <c r="F90">
        <v>-2515</v>
      </c>
      <c r="G90">
        <v>413</v>
      </c>
      <c r="H90">
        <v>-3148</v>
      </c>
      <c r="I90">
        <v>4242</v>
      </c>
      <c r="J90">
        <v>3204</v>
      </c>
      <c r="K90">
        <v>15438</v>
      </c>
    </row>
    <row r="91" spans="2:11" x14ac:dyDescent="0.25">
      <c r="B91">
        <v>39941</v>
      </c>
      <c r="C91">
        <v>564</v>
      </c>
      <c r="D91">
        <v>1949</v>
      </c>
      <c r="E91">
        <v>1769</v>
      </c>
      <c r="F91">
        <v>-7480</v>
      </c>
      <c r="G91">
        <v>-198</v>
      </c>
      <c r="H91">
        <v>-2437</v>
      </c>
      <c r="I91">
        <v>758</v>
      </c>
      <c r="J91">
        <v>-26825</v>
      </c>
      <c r="K91">
        <v>-705</v>
      </c>
    </row>
    <row r="92" spans="2:11" x14ac:dyDescent="0.25">
      <c r="B92">
        <v>-3239</v>
      </c>
      <c r="C92">
        <v>-2561</v>
      </c>
      <c r="D92">
        <v>-23552</v>
      </c>
      <c r="E92">
        <v>3807</v>
      </c>
      <c r="F92">
        <v>10868</v>
      </c>
      <c r="G92">
        <v>15566</v>
      </c>
      <c r="H92">
        <v>16184</v>
      </c>
      <c r="I92">
        <v>-2237</v>
      </c>
      <c r="J92">
        <v>3613</v>
      </c>
      <c r="K92">
        <v>8326</v>
      </c>
    </row>
    <row r="93" spans="2:11" x14ac:dyDescent="0.25">
      <c r="B93">
        <v>17025</v>
      </c>
      <c r="C93">
        <v>40642</v>
      </c>
      <c r="D93">
        <v>19342</v>
      </c>
      <c r="E93">
        <v>9589</v>
      </c>
      <c r="F93">
        <v>4688</v>
      </c>
      <c r="G93">
        <v>-42220</v>
      </c>
      <c r="H93">
        <v>-9453</v>
      </c>
      <c r="I93">
        <v>-6298</v>
      </c>
      <c r="J93">
        <v>3705</v>
      </c>
      <c r="K93">
        <v>-24185</v>
      </c>
    </row>
    <row r="94" spans="2:11" x14ac:dyDescent="0.25">
      <c r="B94">
        <v>-8957</v>
      </c>
      <c r="C94">
        <v>49</v>
      </c>
      <c r="D94">
        <v>1577</v>
      </c>
      <c r="E94">
        <v>-17609</v>
      </c>
      <c r="F94">
        <v>-7608</v>
      </c>
      <c r="G94">
        <v>-9527</v>
      </c>
      <c r="H94">
        <v>-8032</v>
      </c>
      <c r="I94">
        <v>-1700</v>
      </c>
      <c r="J94">
        <v>18404</v>
      </c>
      <c r="K94">
        <v>2903</v>
      </c>
    </row>
    <row r="95" spans="2:11" x14ac:dyDescent="0.25">
      <c r="B95">
        <v>3925</v>
      </c>
      <c r="C95">
        <v>7257</v>
      </c>
      <c r="D95">
        <v>-22325</v>
      </c>
      <c r="E95">
        <v>-1040</v>
      </c>
      <c r="F95">
        <v>2632</v>
      </c>
      <c r="G95">
        <v>-2896</v>
      </c>
      <c r="H95">
        <v>-45200</v>
      </c>
      <c r="I95">
        <v>-7729</v>
      </c>
      <c r="J95">
        <v>7435</v>
      </c>
      <c r="K95">
        <v>13013</v>
      </c>
    </row>
    <row r="96" spans="2:11" x14ac:dyDescent="0.25">
      <c r="B96">
        <v>18746</v>
      </c>
      <c r="C96">
        <v>13040</v>
      </c>
      <c r="D96">
        <v>1827</v>
      </c>
      <c r="E96">
        <v>1742</v>
      </c>
      <c r="F96">
        <v>3628</v>
      </c>
      <c r="G96">
        <v>-8343</v>
      </c>
      <c r="H96">
        <v>2614</v>
      </c>
      <c r="I96">
        <v>-1212</v>
      </c>
      <c r="J96">
        <v>-155</v>
      </c>
      <c r="K96">
        <v>-1021</v>
      </c>
    </row>
    <row r="97" spans="2:11" x14ac:dyDescent="0.25">
      <c r="B97">
        <v>19121</v>
      </c>
      <c r="C97">
        <v>2055</v>
      </c>
      <c r="D97">
        <v>3890</v>
      </c>
      <c r="E97">
        <v>-1577</v>
      </c>
      <c r="F97">
        <v>-17460</v>
      </c>
      <c r="G97">
        <v>1577</v>
      </c>
      <c r="H97">
        <v>223</v>
      </c>
      <c r="I97">
        <v>-7306</v>
      </c>
      <c r="J97">
        <v>-43281</v>
      </c>
      <c r="K97">
        <v>2495</v>
      </c>
    </row>
    <row r="98" spans="2:11" x14ac:dyDescent="0.25">
      <c r="B98">
        <v>3863</v>
      </c>
      <c r="C98">
        <v>6291</v>
      </c>
      <c r="D98">
        <v>-24319</v>
      </c>
      <c r="E98">
        <v>5732</v>
      </c>
      <c r="F98">
        <v>15879</v>
      </c>
      <c r="G98">
        <v>22088</v>
      </c>
      <c r="H98">
        <v>20197</v>
      </c>
      <c r="I98">
        <v>1804</v>
      </c>
      <c r="J98">
        <v>694</v>
      </c>
      <c r="K98">
        <v>2039</v>
      </c>
    </row>
    <row r="99" spans="2:11" x14ac:dyDescent="0.25">
      <c r="B99">
        <v>15384</v>
      </c>
      <c r="C99">
        <v>9542</v>
      </c>
      <c r="D99">
        <v>13998</v>
      </c>
      <c r="E99">
        <v>2906</v>
      </c>
      <c r="F99">
        <v>18796</v>
      </c>
      <c r="G99">
        <v>10893</v>
      </c>
      <c r="H99">
        <v>6389</v>
      </c>
      <c r="I99">
        <v>-3354</v>
      </c>
      <c r="J99">
        <v>-13430</v>
      </c>
      <c r="K99">
        <v>-4097</v>
      </c>
    </row>
    <row r="100" spans="2:11" x14ac:dyDescent="0.25">
      <c r="B100">
        <v>610</v>
      </c>
      <c r="C100">
        <v>-1673</v>
      </c>
      <c r="D100">
        <v>-10368</v>
      </c>
      <c r="E100">
        <v>4827</v>
      </c>
      <c r="F100">
        <v>5030</v>
      </c>
      <c r="G100">
        <v>-2389</v>
      </c>
      <c r="H100">
        <v>-14605</v>
      </c>
      <c r="I100">
        <v>-1328</v>
      </c>
      <c r="J100">
        <v>-4549</v>
      </c>
      <c r="K100">
        <v>-5761</v>
      </c>
    </row>
    <row r="101" spans="2:11" x14ac:dyDescent="0.25">
      <c r="B101">
        <v>-4829</v>
      </c>
      <c r="C101">
        <v>10370</v>
      </c>
      <c r="D101">
        <v>-614</v>
      </c>
      <c r="E101">
        <v>24228</v>
      </c>
      <c r="F101">
        <v>3241</v>
      </c>
      <c r="G101">
        <v>-704</v>
      </c>
      <c r="H101">
        <v>117</v>
      </c>
      <c r="I101">
        <v>3102</v>
      </c>
      <c r="J101">
        <v>-12655</v>
      </c>
      <c r="K101">
        <v>1596</v>
      </c>
    </row>
    <row r="102" spans="2:11" x14ac:dyDescent="0.25">
      <c r="B102">
        <v>-731</v>
      </c>
      <c r="C102">
        <v>-3319</v>
      </c>
      <c r="D102">
        <v>-22328</v>
      </c>
      <c r="E102">
        <v>1541</v>
      </c>
      <c r="F102">
        <v>4471</v>
      </c>
      <c r="G102">
        <v>10730</v>
      </c>
      <c r="H102">
        <v>14883</v>
      </c>
      <c r="I102">
        <v>20749</v>
      </c>
      <c r="J102">
        <v>-1238</v>
      </c>
      <c r="K102">
        <v>-4419</v>
      </c>
    </row>
    <row r="103" spans="2:11" x14ac:dyDescent="0.25">
      <c r="B103">
        <v>-4522</v>
      </c>
      <c r="C103">
        <v>-21034</v>
      </c>
      <c r="D103">
        <v>4122</v>
      </c>
      <c r="E103">
        <v>-2019</v>
      </c>
      <c r="F103">
        <v>-590</v>
      </c>
      <c r="G103">
        <v>-3443</v>
      </c>
      <c r="H103">
        <v>3251</v>
      </c>
      <c r="I103">
        <v>15079</v>
      </c>
      <c r="J103">
        <v>-2057</v>
      </c>
      <c r="K103">
        <v>24923</v>
      </c>
    </row>
    <row r="104" spans="2:11" x14ac:dyDescent="0.25">
      <c r="B104">
        <v>5640</v>
      </c>
      <c r="C104">
        <v>492</v>
      </c>
      <c r="D104">
        <v>914</v>
      </c>
      <c r="E104">
        <v>219</v>
      </c>
      <c r="F104">
        <v>-4853</v>
      </c>
      <c r="G104">
        <v>-1765</v>
      </c>
      <c r="H104">
        <v>944</v>
      </c>
      <c r="I104">
        <v>-100</v>
      </c>
      <c r="J104">
        <v>-6259</v>
      </c>
      <c r="K104">
        <v>-7355</v>
      </c>
    </row>
    <row r="105" spans="2:11" x14ac:dyDescent="0.25">
      <c r="B105">
        <v>-1008</v>
      </c>
      <c r="C105">
        <v>-1347</v>
      </c>
      <c r="D105">
        <v>-9949</v>
      </c>
      <c r="E105">
        <v>-5891</v>
      </c>
      <c r="F105">
        <v>715</v>
      </c>
      <c r="G105">
        <v>1084</v>
      </c>
      <c r="H105">
        <v>-624</v>
      </c>
      <c r="I105">
        <v>3605</v>
      </c>
      <c r="J105">
        <v>598</v>
      </c>
      <c r="K105">
        <v>99</v>
      </c>
    </row>
    <row r="106" spans="2:11" x14ac:dyDescent="0.25">
      <c r="B106">
        <v>326</v>
      </c>
      <c r="C106">
        <v>-1456</v>
      </c>
      <c r="D106">
        <v>-390</v>
      </c>
      <c r="E106">
        <v>1754</v>
      </c>
      <c r="F106">
        <v>-661</v>
      </c>
      <c r="G106">
        <v>1973</v>
      </c>
      <c r="H106">
        <v>5643</v>
      </c>
      <c r="I106">
        <v>4467</v>
      </c>
      <c r="J106">
        <v>1388</v>
      </c>
      <c r="K106">
        <v>-125</v>
      </c>
    </row>
    <row r="107" spans="2:11" x14ac:dyDescent="0.25">
      <c r="B107">
        <v>-10361</v>
      </c>
      <c r="C107">
        <v>1438</v>
      </c>
      <c r="D107">
        <v>-1263</v>
      </c>
      <c r="E107">
        <v>-4124</v>
      </c>
      <c r="F107">
        <v>-30272</v>
      </c>
      <c r="G107">
        <v>-1596</v>
      </c>
      <c r="H107">
        <v>-4763</v>
      </c>
      <c r="I107">
        <v>-3011</v>
      </c>
      <c r="J107">
        <v>-25440</v>
      </c>
      <c r="K107">
        <v>3036</v>
      </c>
    </row>
    <row r="108" spans="2:11" x14ac:dyDescent="0.25">
      <c r="B108">
        <v>4253</v>
      </c>
      <c r="C108">
        <v>-4914</v>
      </c>
      <c r="D108">
        <v>-702</v>
      </c>
      <c r="E108">
        <v>3250</v>
      </c>
      <c r="F108">
        <v>618</v>
      </c>
      <c r="G108">
        <v>12233</v>
      </c>
      <c r="H108">
        <v>-1781</v>
      </c>
      <c r="I108">
        <v>266</v>
      </c>
      <c r="J108">
        <v>8611</v>
      </c>
      <c r="K108">
        <v>-2584</v>
      </c>
    </row>
    <row r="109" spans="2:11" x14ac:dyDescent="0.25">
      <c r="B109">
        <v>24475</v>
      </c>
      <c r="C109">
        <v>167</v>
      </c>
      <c r="D109">
        <v>33</v>
      </c>
      <c r="E109">
        <v>1194</v>
      </c>
      <c r="F109">
        <v>-1503</v>
      </c>
      <c r="G109">
        <v>135</v>
      </c>
      <c r="H109">
        <v>3576</v>
      </c>
      <c r="I109">
        <v>1764</v>
      </c>
      <c r="J109">
        <v>-5419</v>
      </c>
      <c r="K109">
        <v>-820</v>
      </c>
    </row>
    <row r="110" spans="2:11" x14ac:dyDescent="0.25">
      <c r="B110">
        <v>-332</v>
      </c>
      <c r="C110">
        <v>1614</v>
      </c>
      <c r="D110">
        <v>-30932</v>
      </c>
      <c r="E110">
        <v>7176</v>
      </c>
      <c r="F110">
        <v>24842</v>
      </c>
      <c r="G110">
        <v>32659</v>
      </c>
      <c r="H110">
        <v>33486</v>
      </c>
      <c r="I110">
        <v>3362</v>
      </c>
      <c r="J110">
        <v>1158</v>
      </c>
      <c r="K110">
        <v>1128</v>
      </c>
    </row>
    <row r="111" spans="2:11" x14ac:dyDescent="0.25">
      <c r="B111">
        <v>5611</v>
      </c>
      <c r="C111">
        <v>-499</v>
      </c>
      <c r="D111">
        <v>-2192</v>
      </c>
      <c r="E111">
        <v>10232</v>
      </c>
      <c r="F111">
        <v>-2540</v>
      </c>
      <c r="G111">
        <v>-7319</v>
      </c>
      <c r="H111">
        <v>2664</v>
      </c>
      <c r="I111">
        <v>9256</v>
      </c>
      <c r="J111">
        <v>-4073</v>
      </c>
      <c r="K111">
        <v>2121</v>
      </c>
    </row>
    <row r="112" spans="2:11" x14ac:dyDescent="0.25">
      <c r="B112">
        <v>1324</v>
      </c>
      <c r="C112">
        <v>1416</v>
      </c>
      <c r="D112">
        <v>-6019</v>
      </c>
      <c r="E112">
        <v>427</v>
      </c>
      <c r="F112">
        <v>-1183</v>
      </c>
      <c r="G112">
        <v>-250</v>
      </c>
      <c r="H112">
        <v>-4030</v>
      </c>
      <c r="I112">
        <v>1182</v>
      </c>
      <c r="J112">
        <v>-1026</v>
      </c>
      <c r="K112">
        <v>399</v>
      </c>
    </row>
    <row r="113" spans="2:11" x14ac:dyDescent="0.25">
      <c r="B113">
        <v>-2097</v>
      </c>
      <c r="C113">
        <v>1516</v>
      </c>
      <c r="D113">
        <v>-274</v>
      </c>
      <c r="E113">
        <v>-1847</v>
      </c>
      <c r="F113">
        <v>13582</v>
      </c>
      <c r="G113">
        <v>-17666</v>
      </c>
      <c r="H113">
        <v>-4806</v>
      </c>
      <c r="I113">
        <v>-991</v>
      </c>
      <c r="J113">
        <v>-3353</v>
      </c>
      <c r="K113">
        <v>-531</v>
      </c>
    </row>
    <row r="114" spans="2:11" x14ac:dyDescent="0.25">
      <c r="B114">
        <v>-530</v>
      </c>
      <c r="C114">
        <v>357</v>
      </c>
      <c r="D114">
        <v>1373</v>
      </c>
      <c r="E114">
        <v>-118</v>
      </c>
      <c r="F114">
        <v>-1385</v>
      </c>
      <c r="G114">
        <v>284</v>
      </c>
      <c r="H114">
        <v>2638</v>
      </c>
      <c r="I114">
        <v>12128</v>
      </c>
      <c r="J114">
        <v>6309</v>
      </c>
      <c r="K114">
        <v>4739</v>
      </c>
    </row>
    <row r="115" spans="2:11" x14ac:dyDescent="0.25">
      <c r="B115">
        <v>-233</v>
      </c>
      <c r="C115">
        <v>-8672</v>
      </c>
      <c r="D115">
        <v>-4457</v>
      </c>
      <c r="E115">
        <v>-2132</v>
      </c>
      <c r="F115">
        <v>214</v>
      </c>
      <c r="G115">
        <v>-4028</v>
      </c>
      <c r="H115">
        <v>-1964</v>
      </c>
      <c r="I115">
        <v>709</v>
      </c>
      <c r="J115">
        <v>41</v>
      </c>
      <c r="K115">
        <v>-2234</v>
      </c>
    </row>
    <row r="116" spans="2:11" x14ac:dyDescent="0.25">
      <c r="B116">
        <v>-1962</v>
      </c>
      <c r="C116">
        <v>-3918</v>
      </c>
      <c r="D116">
        <v>7495</v>
      </c>
      <c r="E116">
        <v>-5946</v>
      </c>
      <c r="F116">
        <v>-15413</v>
      </c>
      <c r="G116">
        <v>-1312</v>
      </c>
      <c r="H116">
        <v>10836</v>
      </c>
      <c r="I116">
        <v>2231</v>
      </c>
      <c r="J116">
        <v>548</v>
      </c>
      <c r="K116">
        <v>273</v>
      </c>
    </row>
    <row r="117" spans="2:11" x14ac:dyDescent="0.25">
      <c r="B117">
        <v>1373</v>
      </c>
      <c r="C117">
        <v>-513</v>
      </c>
      <c r="D117">
        <v>-675</v>
      </c>
      <c r="E117">
        <v>2</v>
      </c>
      <c r="F117">
        <v>28835</v>
      </c>
      <c r="G117">
        <v>622</v>
      </c>
      <c r="H117">
        <v>4382</v>
      </c>
      <c r="I117">
        <v>-10793</v>
      </c>
      <c r="J117">
        <v>-685</v>
      </c>
      <c r="K117">
        <v>-294</v>
      </c>
    </row>
    <row r="118" spans="2:11" x14ac:dyDescent="0.25">
      <c r="B118">
        <v>-1002</v>
      </c>
      <c r="C118">
        <v>-19889</v>
      </c>
      <c r="D118">
        <v>-4281</v>
      </c>
      <c r="E118">
        <v>2704</v>
      </c>
      <c r="F118">
        <v>6758</v>
      </c>
      <c r="G118">
        <v>11333</v>
      </c>
      <c r="H118">
        <v>5830</v>
      </c>
      <c r="I118">
        <v>361</v>
      </c>
      <c r="J118">
        <v>1189</v>
      </c>
      <c r="K118">
        <v>3481</v>
      </c>
    </row>
    <row r="119" spans="2:11" x14ac:dyDescent="0.25">
      <c r="B119">
        <v>-2192</v>
      </c>
      <c r="C119">
        <v>-1435</v>
      </c>
      <c r="D119">
        <v>-422</v>
      </c>
      <c r="E119">
        <v>-14</v>
      </c>
      <c r="F119">
        <v>-561</v>
      </c>
      <c r="G119">
        <v>2660</v>
      </c>
      <c r="H119">
        <v>12573</v>
      </c>
      <c r="I119">
        <v>2654</v>
      </c>
      <c r="J119">
        <v>954</v>
      </c>
      <c r="K119">
        <v>3976</v>
      </c>
    </row>
    <row r="120" spans="2:11" x14ac:dyDescent="0.25">
      <c r="B120">
        <v>-137</v>
      </c>
      <c r="C120">
        <v>209</v>
      </c>
      <c r="D120">
        <v>1069</v>
      </c>
      <c r="E120">
        <v>10717</v>
      </c>
      <c r="F120">
        <v>26553</v>
      </c>
      <c r="G120">
        <v>185</v>
      </c>
      <c r="H120">
        <v>2210</v>
      </c>
      <c r="I120">
        <v>-1656</v>
      </c>
      <c r="J120">
        <v>-10099</v>
      </c>
      <c r="K120">
        <v>-180</v>
      </c>
    </row>
    <row r="121" spans="2:11" x14ac:dyDescent="0.25">
      <c r="B121">
        <v>323</v>
      </c>
      <c r="C121">
        <v>-4733</v>
      </c>
      <c r="D121">
        <v>-14717</v>
      </c>
      <c r="E121">
        <v>916</v>
      </c>
      <c r="F121">
        <v>2811</v>
      </c>
      <c r="G121">
        <v>5164</v>
      </c>
      <c r="H121">
        <v>-3517</v>
      </c>
      <c r="I121">
        <v>651</v>
      </c>
      <c r="J121">
        <v>2277</v>
      </c>
      <c r="K121">
        <v>4447</v>
      </c>
    </row>
    <row r="122" spans="2:11" x14ac:dyDescent="0.25">
      <c r="B122">
        <v>3645</v>
      </c>
      <c r="C122">
        <v>-1503</v>
      </c>
      <c r="D122">
        <v>-974</v>
      </c>
      <c r="E122">
        <v>-1511</v>
      </c>
      <c r="F122">
        <v>-16406</v>
      </c>
      <c r="G122">
        <v>642</v>
      </c>
      <c r="H122">
        <v>3164</v>
      </c>
      <c r="I122">
        <v>8848</v>
      </c>
      <c r="J122">
        <v>182</v>
      </c>
      <c r="K122">
        <v>723</v>
      </c>
    </row>
    <row r="123" spans="2:11" x14ac:dyDescent="0.25">
      <c r="B123">
        <v>-168</v>
      </c>
      <c r="C123">
        <v>-58</v>
      </c>
      <c r="D123">
        <v>-6321</v>
      </c>
      <c r="E123">
        <v>6760</v>
      </c>
      <c r="F123">
        <v>16919</v>
      </c>
      <c r="G123">
        <v>25933</v>
      </c>
      <c r="H123">
        <v>-75</v>
      </c>
      <c r="I123">
        <v>-101</v>
      </c>
      <c r="J123">
        <v>-7184</v>
      </c>
      <c r="K123">
        <v>-608</v>
      </c>
    </row>
    <row r="124" spans="2:11" x14ac:dyDescent="0.25">
      <c r="B124">
        <v>-13</v>
      </c>
      <c r="C124">
        <v>-772</v>
      </c>
      <c r="D124">
        <v>-24107</v>
      </c>
      <c r="E124">
        <v>-3411</v>
      </c>
      <c r="F124">
        <v>2375</v>
      </c>
      <c r="G124">
        <v>6002</v>
      </c>
      <c r="H124">
        <v>7046</v>
      </c>
      <c r="I124">
        <v>5939</v>
      </c>
      <c r="J124">
        <v>398</v>
      </c>
      <c r="K124">
        <v>1013</v>
      </c>
    </row>
    <row r="125" spans="2:11" x14ac:dyDescent="0.25">
      <c r="B125">
        <v>896</v>
      </c>
      <c r="C125">
        <v>-5631</v>
      </c>
      <c r="D125">
        <v>542</v>
      </c>
      <c r="E125">
        <v>-356</v>
      </c>
      <c r="F125">
        <v>-787</v>
      </c>
      <c r="G125">
        <v>-226</v>
      </c>
      <c r="H125">
        <v>-69</v>
      </c>
      <c r="I125">
        <v>13824</v>
      </c>
      <c r="J125">
        <v>2157</v>
      </c>
      <c r="K125">
        <v>-86</v>
      </c>
    </row>
    <row r="126" spans="2:11" x14ac:dyDescent="0.25">
      <c r="B126">
        <v>4527</v>
      </c>
      <c r="C126">
        <v>-554</v>
      </c>
      <c r="D126">
        <v>-1461</v>
      </c>
      <c r="E126">
        <v>-949</v>
      </c>
      <c r="F126">
        <v>-363</v>
      </c>
      <c r="G126">
        <v>-764</v>
      </c>
      <c r="H126">
        <v>-2916</v>
      </c>
      <c r="I126">
        <v>-954</v>
      </c>
      <c r="J126">
        <v>-36</v>
      </c>
      <c r="K126">
        <v>-160</v>
      </c>
    </row>
    <row r="127" spans="2:11" x14ac:dyDescent="0.25">
      <c r="B127">
        <v>-597</v>
      </c>
      <c r="C127">
        <v>-2946</v>
      </c>
      <c r="D127">
        <v>-3</v>
      </c>
      <c r="E127">
        <v>-330</v>
      </c>
      <c r="F127">
        <v>-2418</v>
      </c>
      <c r="G127">
        <v>-16222</v>
      </c>
      <c r="H127">
        <v>258</v>
      </c>
      <c r="I127">
        <v>518</v>
      </c>
      <c r="J127">
        <v>531</v>
      </c>
      <c r="K127">
        <v>-9726</v>
      </c>
    </row>
    <row r="128" spans="2:11" x14ac:dyDescent="0.25">
      <c r="B128">
        <v>2694</v>
      </c>
      <c r="C128">
        <v>8261</v>
      </c>
      <c r="D128">
        <v>10920</v>
      </c>
      <c r="E128">
        <v>9817</v>
      </c>
      <c r="F128">
        <v>-673</v>
      </c>
      <c r="G128">
        <v>-218</v>
      </c>
      <c r="H128">
        <v>-390</v>
      </c>
      <c r="I128">
        <v>-263</v>
      </c>
      <c r="J128">
        <v>-28</v>
      </c>
      <c r="K128">
        <v>1565</v>
      </c>
    </row>
    <row r="129" spans="2:11" x14ac:dyDescent="0.25">
      <c r="B129">
        <v>8430</v>
      </c>
      <c r="C129">
        <v>-939</v>
      </c>
      <c r="D129">
        <v>-1512</v>
      </c>
      <c r="E129">
        <v>-81</v>
      </c>
      <c r="F129">
        <v>-246</v>
      </c>
      <c r="G129">
        <v>4998</v>
      </c>
      <c r="H129">
        <v>-271</v>
      </c>
      <c r="I129">
        <v>-331</v>
      </c>
      <c r="J129">
        <v>-715</v>
      </c>
      <c r="K129">
        <v>-1733</v>
      </c>
    </row>
    <row r="130" spans="2:11" x14ac:dyDescent="0.25">
      <c r="B130">
        <v>11085</v>
      </c>
      <c r="C130">
        <v>-17367</v>
      </c>
      <c r="D130">
        <v>10230</v>
      </c>
      <c r="E130">
        <v>2162</v>
      </c>
      <c r="F130">
        <v>975</v>
      </c>
      <c r="G130">
        <v>-20096</v>
      </c>
      <c r="H130">
        <v>-6746</v>
      </c>
      <c r="I130">
        <v>-5125</v>
      </c>
      <c r="J130">
        <v>-3287</v>
      </c>
      <c r="K130">
        <v>-21395</v>
      </c>
    </row>
    <row r="131" spans="2:11" x14ac:dyDescent="0.25">
      <c r="B131">
        <v>-4980</v>
      </c>
      <c r="C131">
        <v>4958</v>
      </c>
      <c r="D131">
        <v>344</v>
      </c>
      <c r="E131">
        <v>-14460</v>
      </c>
      <c r="F131">
        <v>-5420</v>
      </c>
      <c r="G131">
        <v>3521</v>
      </c>
      <c r="H131">
        <v>415</v>
      </c>
      <c r="I131">
        <v>-7258</v>
      </c>
      <c r="J131">
        <v>-4438</v>
      </c>
      <c r="K131">
        <v>-1384</v>
      </c>
    </row>
    <row r="132" spans="2:11" x14ac:dyDescent="0.25">
      <c r="B132">
        <v>173</v>
      </c>
      <c r="C132">
        <v>521</v>
      </c>
      <c r="D132">
        <v>-762</v>
      </c>
      <c r="E132">
        <v>-576</v>
      </c>
      <c r="F132">
        <v>1139</v>
      </c>
      <c r="G132">
        <v>-207</v>
      </c>
      <c r="H132">
        <v>-5564</v>
      </c>
      <c r="I132">
        <v>-200</v>
      </c>
      <c r="J132">
        <v>-418</v>
      </c>
      <c r="K132">
        <v>1998</v>
      </c>
    </row>
    <row r="133" spans="2:11" x14ac:dyDescent="0.25">
      <c r="B133">
        <v>-685</v>
      </c>
      <c r="C133">
        <v>75</v>
      </c>
      <c r="D133">
        <v>126</v>
      </c>
      <c r="E133">
        <v>88</v>
      </c>
      <c r="F133">
        <v>100</v>
      </c>
      <c r="G133">
        <v>2143</v>
      </c>
      <c r="H133">
        <v>19865</v>
      </c>
      <c r="I133">
        <v>6574</v>
      </c>
      <c r="J133">
        <v>3167</v>
      </c>
      <c r="K133">
        <v>-5949</v>
      </c>
    </row>
    <row r="134" spans="2:11" x14ac:dyDescent="0.25">
      <c r="B134">
        <v>-11580</v>
      </c>
      <c r="C134">
        <v>-7354</v>
      </c>
      <c r="D134">
        <v>-5083</v>
      </c>
      <c r="E134">
        <v>-6934</v>
      </c>
      <c r="F134">
        <v>-8645</v>
      </c>
      <c r="G134">
        <v>5859</v>
      </c>
      <c r="H134">
        <v>-122</v>
      </c>
      <c r="I134">
        <v>-4598</v>
      </c>
      <c r="J134">
        <v>-7897</v>
      </c>
      <c r="K134">
        <v>5168</v>
      </c>
    </row>
    <row r="135" spans="2:11" x14ac:dyDescent="0.25">
      <c r="B135">
        <v>280</v>
      </c>
      <c r="C135">
        <v>-3087</v>
      </c>
      <c r="D135">
        <v>-637</v>
      </c>
      <c r="E135">
        <v>-1055</v>
      </c>
      <c r="F135">
        <v>276</v>
      </c>
      <c r="G135">
        <v>553</v>
      </c>
      <c r="H135">
        <v>-270</v>
      </c>
      <c r="I135">
        <v>-121</v>
      </c>
      <c r="J135">
        <v>-8327</v>
      </c>
      <c r="K135">
        <v>-2368</v>
      </c>
    </row>
    <row r="136" spans="2:11" x14ac:dyDescent="0.25">
      <c r="B136">
        <v>-164</v>
      </c>
      <c r="C136">
        <v>-1694</v>
      </c>
      <c r="D136">
        <v>-198</v>
      </c>
      <c r="E136">
        <v>-778</v>
      </c>
      <c r="F136">
        <v>-54</v>
      </c>
      <c r="G136">
        <v>17</v>
      </c>
      <c r="H136">
        <v>92</v>
      </c>
      <c r="I136">
        <v>129</v>
      </c>
      <c r="J136">
        <v>158</v>
      </c>
      <c r="K136">
        <v>59064</v>
      </c>
    </row>
    <row r="137" spans="2:11" x14ac:dyDescent="0.25">
      <c r="B137">
        <v>88</v>
      </c>
      <c r="C137">
        <v>4816</v>
      </c>
      <c r="D137">
        <v>-9007</v>
      </c>
      <c r="E137">
        <v>-556</v>
      </c>
      <c r="F137">
        <v>-1322</v>
      </c>
      <c r="G137">
        <v>-1411</v>
      </c>
      <c r="H137">
        <v>-16938</v>
      </c>
      <c r="I137">
        <v>-3889</v>
      </c>
      <c r="J137">
        <v>3641</v>
      </c>
      <c r="K137">
        <v>9451</v>
      </c>
    </row>
    <row r="138" spans="2:11" x14ac:dyDescent="0.25">
      <c r="B138">
        <v>13771</v>
      </c>
      <c r="C138">
        <v>6568</v>
      </c>
      <c r="D138">
        <v>3122</v>
      </c>
      <c r="E138">
        <v>4942</v>
      </c>
      <c r="F138">
        <v>6906</v>
      </c>
      <c r="G138">
        <v>-5334</v>
      </c>
      <c r="H138">
        <v>-1089</v>
      </c>
      <c r="I138">
        <v>93</v>
      </c>
      <c r="J138">
        <v>324</v>
      </c>
      <c r="K138">
        <v>197</v>
      </c>
    </row>
    <row r="139" spans="2:11" x14ac:dyDescent="0.25">
      <c r="B139">
        <v>-348</v>
      </c>
      <c r="C139">
        <v>971</v>
      </c>
      <c r="D139">
        <v>857</v>
      </c>
      <c r="E139">
        <v>-885</v>
      </c>
      <c r="F139">
        <v>-9055</v>
      </c>
      <c r="G139">
        <v>-281</v>
      </c>
      <c r="H139">
        <v>-705</v>
      </c>
      <c r="I139">
        <v>664</v>
      </c>
      <c r="J139">
        <v>-9</v>
      </c>
      <c r="K139">
        <v>-178</v>
      </c>
    </row>
    <row r="140" spans="2:11" x14ac:dyDescent="0.25">
      <c r="B140">
        <v>-342</v>
      </c>
      <c r="C140">
        <v>40</v>
      </c>
      <c r="D140">
        <v>-302</v>
      </c>
      <c r="E140">
        <v>220</v>
      </c>
      <c r="F140">
        <v>19928</v>
      </c>
      <c r="G140">
        <v>28377</v>
      </c>
      <c r="H140">
        <v>132</v>
      </c>
      <c r="I140">
        <v>2546</v>
      </c>
      <c r="J140">
        <v>-814</v>
      </c>
      <c r="K140">
        <v>-6847</v>
      </c>
    </row>
    <row r="141" spans="2:11" x14ac:dyDescent="0.25">
      <c r="B141">
        <v>-628</v>
      </c>
      <c r="C141">
        <v>936</v>
      </c>
      <c r="D141">
        <v>-3362</v>
      </c>
      <c r="E141">
        <v>-15298</v>
      </c>
      <c r="F141">
        <v>1091</v>
      </c>
      <c r="G141">
        <v>3575</v>
      </c>
      <c r="H141">
        <v>5335</v>
      </c>
      <c r="I141">
        <v>-13187</v>
      </c>
      <c r="J141">
        <v>6951</v>
      </c>
      <c r="K141">
        <v>16982</v>
      </c>
    </row>
    <row r="142" spans="2:11" x14ac:dyDescent="0.25">
      <c r="B142">
        <v>18934</v>
      </c>
      <c r="C142">
        <v>15049</v>
      </c>
      <c r="D142">
        <v>-496</v>
      </c>
      <c r="E142">
        <v>-22</v>
      </c>
      <c r="F142">
        <v>103</v>
      </c>
      <c r="G142">
        <v>1501</v>
      </c>
      <c r="H142">
        <v>-685</v>
      </c>
      <c r="I142">
        <v>422</v>
      </c>
      <c r="J142">
        <v>3496</v>
      </c>
      <c r="K142">
        <v>851</v>
      </c>
    </row>
    <row r="143" spans="2:11" x14ac:dyDescent="0.25">
      <c r="B143">
        <v>138</v>
      </c>
      <c r="C143">
        <v>-1021</v>
      </c>
      <c r="D143">
        <v>-1849</v>
      </c>
      <c r="E143">
        <v>4349</v>
      </c>
      <c r="F143">
        <v>61</v>
      </c>
      <c r="G143">
        <v>-145</v>
      </c>
      <c r="H143">
        <v>187</v>
      </c>
      <c r="I143">
        <v>-403</v>
      </c>
      <c r="J143">
        <v>67</v>
      </c>
      <c r="K143">
        <v>792</v>
      </c>
    </row>
    <row r="144" spans="2:11" x14ac:dyDescent="0.25">
      <c r="B144">
        <v>10167</v>
      </c>
      <c r="C144">
        <v>14802</v>
      </c>
      <c r="D144">
        <v>15592</v>
      </c>
      <c r="E144">
        <v>-5039</v>
      </c>
      <c r="F144">
        <v>9174</v>
      </c>
      <c r="G144">
        <v>4325</v>
      </c>
      <c r="H144">
        <v>2601</v>
      </c>
      <c r="I144">
        <v>-6408</v>
      </c>
      <c r="J144">
        <v>-2583</v>
      </c>
      <c r="K144">
        <v>-3851</v>
      </c>
    </row>
    <row r="145" spans="2:11" x14ac:dyDescent="0.25">
      <c r="B145">
        <v>-2356</v>
      </c>
      <c r="C145">
        <v>-3966</v>
      </c>
      <c r="D145">
        <v>-28</v>
      </c>
      <c r="E145">
        <v>2312</v>
      </c>
      <c r="F145">
        <v>95</v>
      </c>
      <c r="G145">
        <v>-2305</v>
      </c>
      <c r="H145">
        <v>223</v>
      </c>
      <c r="I145">
        <v>1932</v>
      </c>
      <c r="J145">
        <v>23</v>
      </c>
      <c r="K145">
        <v>5675</v>
      </c>
    </row>
    <row r="146" spans="2:11" x14ac:dyDescent="0.25">
      <c r="B146">
        <v>3813</v>
      </c>
      <c r="C146">
        <v>1027</v>
      </c>
      <c r="D146">
        <v>-151</v>
      </c>
      <c r="E146">
        <v>-1178</v>
      </c>
      <c r="F146">
        <v>238</v>
      </c>
      <c r="G146">
        <v>302</v>
      </c>
      <c r="H146">
        <v>-1306</v>
      </c>
      <c r="I146">
        <v>-174</v>
      </c>
      <c r="J146">
        <v>2310</v>
      </c>
      <c r="K146">
        <v>-126</v>
      </c>
    </row>
    <row r="147" spans="2:11" x14ac:dyDescent="0.25">
      <c r="B147">
        <v>343</v>
      </c>
      <c r="C147">
        <v>-1672</v>
      </c>
      <c r="D147">
        <v>-60</v>
      </c>
      <c r="E147">
        <v>-137</v>
      </c>
      <c r="F147">
        <v>-78</v>
      </c>
      <c r="G147">
        <v>22</v>
      </c>
      <c r="H147">
        <v>-29</v>
      </c>
      <c r="I147">
        <v>21536</v>
      </c>
      <c r="J147">
        <v>4404</v>
      </c>
      <c r="K147">
        <v>1236</v>
      </c>
    </row>
    <row r="148" spans="2:11" x14ac:dyDescent="0.25">
      <c r="B148">
        <v>656</v>
      </c>
      <c r="C148">
        <v>4560</v>
      </c>
      <c r="D148">
        <v>44135</v>
      </c>
      <c r="E148">
        <v>22347</v>
      </c>
      <c r="F148">
        <v>12554</v>
      </c>
      <c r="G148">
        <v>-3755</v>
      </c>
      <c r="H148">
        <v>-22339</v>
      </c>
      <c r="I148">
        <v>-13820</v>
      </c>
      <c r="J148">
        <v>-8595</v>
      </c>
      <c r="K148">
        <v>-817</v>
      </c>
    </row>
    <row r="149" spans="2:11" x14ac:dyDescent="0.25">
      <c r="B149">
        <v>-10097</v>
      </c>
      <c r="C149">
        <v>7685</v>
      </c>
      <c r="D149">
        <v>569</v>
      </c>
      <c r="E149">
        <v>-725</v>
      </c>
      <c r="F149">
        <v>-7518</v>
      </c>
      <c r="G149">
        <v>5351</v>
      </c>
      <c r="H149">
        <v>-244</v>
      </c>
      <c r="I149">
        <v>5082</v>
      </c>
      <c r="J149">
        <v>1219</v>
      </c>
      <c r="K149">
        <v>5115</v>
      </c>
    </row>
    <row r="150" spans="2:11" x14ac:dyDescent="0.25">
      <c r="B150">
        <v>38</v>
      </c>
      <c r="C150">
        <v>14453</v>
      </c>
      <c r="D150">
        <v>3071</v>
      </c>
      <c r="E150">
        <v>1958</v>
      </c>
      <c r="F150">
        <v>6731</v>
      </c>
      <c r="G150">
        <v>1142</v>
      </c>
      <c r="H150">
        <v>255</v>
      </c>
      <c r="I150">
        <v>3177</v>
      </c>
      <c r="J150">
        <v>432</v>
      </c>
      <c r="K150">
        <v>-71</v>
      </c>
    </row>
    <row r="151" spans="2:11" x14ac:dyDescent="0.25">
      <c r="B151">
        <v>-151</v>
      </c>
      <c r="C151">
        <v>185</v>
      </c>
      <c r="D151">
        <v>71</v>
      </c>
      <c r="E151">
        <v>59</v>
      </c>
      <c r="F151">
        <v>-63</v>
      </c>
      <c r="G151">
        <v>9929</v>
      </c>
      <c r="H151">
        <v>19148</v>
      </c>
      <c r="I151">
        <v>4027</v>
      </c>
      <c r="J151">
        <v>2148</v>
      </c>
      <c r="K151">
        <v>17911</v>
      </c>
    </row>
    <row r="152" spans="2:11" x14ac:dyDescent="0.25">
      <c r="B152">
        <v>910</v>
      </c>
      <c r="C152">
        <v>12821</v>
      </c>
      <c r="D152">
        <v>-29018</v>
      </c>
      <c r="E152">
        <v>-1957</v>
      </c>
      <c r="F152">
        <v>-2127</v>
      </c>
      <c r="G152">
        <v>-7205</v>
      </c>
      <c r="H152">
        <v>-63556</v>
      </c>
      <c r="I152">
        <v>-13915</v>
      </c>
      <c r="J152">
        <v>8008</v>
      </c>
      <c r="K152">
        <v>19871</v>
      </c>
    </row>
    <row r="153" spans="2:11" x14ac:dyDescent="0.25">
      <c r="B153">
        <v>34336</v>
      </c>
      <c r="C153">
        <v>24160</v>
      </c>
      <c r="D153">
        <v>408</v>
      </c>
      <c r="E153">
        <v>592</v>
      </c>
      <c r="F153">
        <v>7289</v>
      </c>
      <c r="G153">
        <v>-16779</v>
      </c>
      <c r="H153">
        <v>567</v>
      </c>
      <c r="I153">
        <v>-425</v>
      </c>
      <c r="J153">
        <v>-333</v>
      </c>
      <c r="K153">
        <v>-79</v>
      </c>
    </row>
    <row r="154" spans="2:11" x14ac:dyDescent="0.25">
      <c r="B154">
        <v>4186</v>
      </c>
      <c r="C154">
        <v>16346</v>
      </c>
      <c r="D154">
        <v>3096</v>
      </c>
      <c r="E154">
        <v>1120</v>
      </c>
      <c r="F154">
        <v>8233</v>
      </c>
      <c r="G154">
        <v>-434</v>
      </c>
      <c r="H154">
        <v>-527</v>
      </c>
      <c r="I154">
        <v>-601</v>
      </c>
      <c r="J154">
        <v>-299</v>
      </c>
      <c r="K154">
        <v>104</v>
      </c>
    </row>
    <row r="155" spans="2:11" x14ac:dyDescent="0.25">
      <c r="B155">
        <v>1889</v>
      </c>
      <c r="C155">
        <v>298</v>
      </c>
      <c r="D155">
        <v>5398</v>
      </c>
      <c r="E155">
        <v>208</v>
      </c>
      <c r="F155">
        <v>5416</v>
      </c>
      <c r="G155">
        <v>7763</v>
      </c>
      <c r="H155">
        <v>18369</v>
      </c>
      <c r="I155">
        <v>3288</v>
      </c>
      <c r="J155">
        <v>7111</v>
      </c>
      <c r="K155">
        <v>23654</v>
      </c>
    </row>
    <row r="156" spans="2:11" x14ac:dyDescent="0.25">
      <c r="B156">
        <v>680</v>
      </c>
      <c r="C156">
        <v>8373</v>
      </c>
      <c r="D156">
        <v>-3076</v>
      </c>
      <c r="E156">
        <v>-25543</v>
      </c>
      <c r="F156">
        <v>-1431</v>
      </c>
      <c r="G156">
        <v>-6530</v>
      </c>
      <c r="H156">
        <v>-14545</v>
      </c>
      <c r="I156">
        <v>-61654</v>
      </c>
      <c r="J156">
        <v>492</v>
      </c>
      <c r="K156">
        <v>-618</v>
      </c>
    </row>
    <row r="157" spans="2:11" x14ac:dyDescent="0.25">
      <c r="B157">
        <v>5553</v>
      </c>
      <c r="C157">
        <v>-42014</v>
      </c>
      <c r="D157">
        <v>7285</v>
      </c>
      <c r="E157">
        <v>20678</v>
      </c>
      <c r="F157">
        <v>33611</v>
      </c>
      <c r="G157">
        <v>28640</v>
      </c>
      <c r="H157">
        <v>988</v>
      </c>
      <c r="I157">
        <v>84</v>
      </c>
      <c r="J157">
        <v>264</v>
      </c>
      <c r="K157">
        <v>1739</v>
      </c>
    </row>
    <row r="158" spans="2:11" x14ac:dyDescent="0.25">
      <c r="B158">
        <v>3273</v>
      </c>
      <c r="C158">
        <v>3580</v>
      </c>
      <c r="D158">
        <v>13571</v>
      </c>
      <c r="E158">
        <v>-336</v>
      </c>
      <c r="F158">
        <v>-303</v>
      </c>
      <c r="G158">
        <v>105</v>
      </c>
      <c r="H158">
        <v>949</v>
      </c>
      <c r="I158">
        <v>1542</v>
      </c>
      <c r="J158">
        <v>-232</v>
      </c>
      <c r="K158">
        <v>49</v>
      </c>
    </row>
    <row r="159" spans="2:11" x14ac:dyDescent="0.25">
      <c r="B159">
        <v>140</v>
      </c>
      <c r="C159">
        <v>316</v>
      </c>
      <c r="D159">
        <v>638</v>
      </c>
      <c r="E159">
        <v>3898</v>
      </c>
      <c r="F159">
        <v>3571</v>
      </c>
      <c r="G159">
        <v>5406</v>
      </c>
      <c r="H159">
        <v>4039</v>
      </c>
      <c r="I159">
        <v>16365</v>
      </c>
      <c r="J159">
        <v>4528</v>
      </c>
      <c r="K159">
        <v>15390</v>
      </c>
    </row>
    <row r="160" spans="2:11" x14ac:dyDescent="0.25">
      <c r="B160">
        <v>24771</v>
      </c>
      <c r="C160">
        <v>-9001</v>
      </c>
      <c r="D160">
        <v>8619</v>
      </c>
      <c r="E160">
        <v>3592</v>
      </c>
      <c r="F160">
        <v>2124</v>
      </c>
      <c r="G160">
        <v>-13162</v>
      </c>
      <c r="H160">
        <v>-4578</v>
      </c>
      <c r="I160">
        <v>-4681</v>
      </c>
      <c r="J160">
        <v>-2851</v>
      </c>
      <c r="K160">
        <v>-7642</v>
      </c>
    </row>
    <row r="161" spans="2:11" x14ac:dyDescent="0.25">
      <c r="B161">
        <v>-1089</v>
      </c>
      <c r="C161">
        <v>2712</v>
      </c>
      <c r="D161">
        <v>255</v>
      </c>
      <c r="E161">
        <v>-4004</v>
      </c>
      <c r="F161">
        <v>-755</v>
      </c>
      <c r="G161">
        <v>1629</v>
      </c>
      <c r="H161">
        <v>-7</v>
      </c>
      <c r="I161">
        <v>622</v>
      </c>
      <c r="J161">
        <v>202</v>
      </c>
      <c r="K161">
        <v>113</v>
      </c>
    </row>
    <row r="162" spans="2:11" x14ac:dyDescent="0.25">
      <c r="B162">
        <v>163</v>
      </c>
      <c r="C162">
        <v>2469</v>
      </c>
      <c r="D162">
        <v>1649</v>
      </c>
      <c r="E162">
        <v>898</v>
      </c>
      <c r="F162">
        <v>337</v>
      </c>
      <c r="G162">
        <v>213</v>
      </c>
      <c r="H162">
        <v>-3504</v>
      </c>
      <c r="I162">
        <v>-527</v>
      </c>
      <c r="J162">
        <v>82</v>
      </c>
      <c r="K162">
        <v>-793</v>
      </c>
    </row>
    <row r="163" spans="2:11" x14ac:dyDescent="0.25">
      <c r="B163">
        <v>234</v>
      </c>
      <c r="C163">
        <v>59</v>
      </c>
      <c r="D163">
        <v>-31</v>
      </c>
      <c r="E163">
        <v>290</v>
      </c>
      <c r="F163">
        <v>126</v>
      </c>
      <c r="G163">
        <v>23438</v>
      </c>
      <c r="H163">
        <v>5270</v>
      </c>
      <c r="I163">
        <v>1348</v>
      </c>
      <c r="J163">
        <v>766</v>
      </c>
      <c r="K163">
        <v>15098</v>
      </c>
    </row>
    <row r="164" spans="2:11" x14ac:dyDescent="0.25">
      <c r="B164">
        <v>7245</v>
      </c>
      <c r="C164">
        <v>3754</v>
      </c>
      <c r="D164">
        <v>2406</v>
      </c>
      <c r="E164">
        <v>3188</v>
      </c>
      <c r="F164">
        <v>28634</v>
      </c>
      <c r="G164">
        <v>13764</v>
      </c>
      <c r="H164">
        <v>7833</v>
      </c>
      <c r="I164">
        <v>-3439</v>
      </c>
      <c r="J164">
        <v>-15984</v>
      </c>
      <c r="K164">
        <v>-12030</v>
      </c>
    </row>
    <row r="165" spans="2:11" x14ac:dyDescent="0.25">
      <c r="B165">
        <v>-7337</v>
      </c>
      <c r="C165">
        <v>-480</v>
      </c>
      <c r="D165">
        <v>-5403</v>
      </c>
      <c r="E165">
        <v>7828</v>
      </c>
      <c r="F165">
        <v>578</v>
      </c>
      <c r="G165">
        <v>-253</v>
      </c>
      <c r="H165">
        <v>-3012</v>
      </c>
      <c r="I165">
        <v>5502</v>
      </c>
      <c r="J165">
        <v>672</v>
      </c>
      <c r="K165">
        <v>10056</v>
      </c>
    </row>
    <row r="166" spans="2:11" x14ac:dyDescent="0.25">
      <c r="B166">
        <v>1482</v>
      </c>
      <c r="C166">
        <v>1943</v>
      </c>
      <c r="D166">
        <v>-42</v>
      </c>
      <c r="E166">
        <v>7386</v>
      </c>
      <c r="F166">
        <v>4308</v>
      </c>
      <c r="G166">
        <v>2519</v>
      </c>
      <c r="H166">
        <v>5342</v>
      </c>
      <c r="I166">
        <v>1645</v>
      </c>
      <c r="J166">
        <v>-352</v>
      </c>
      <c r="K166">
        <v>-86</v>
      </c>
    </row>
    <row r="167" spans="2:11" x14ac:dyDescent="0.25">
      <c r="B167">
        <v>575</v>
      </c>
      <c r="C167">
        <v>890</v>
      </c>
      <c r="D167">
        <v>854</v>
      </c>
      <c r="E167">
        <v>240</v>
      </c>
      <c r="F167">
        <v>96</v>
      </c>
      <c r="G167">
        <v>669</v>
      </c>
      <c r="H167">
        <v>127</v>
      </c>
      <c r="I167">
        <v>7477</v>
      </c>
      <c r="J167">
        <v>15007</v>
      </c>
      <c r="K167">
        <v>3220</v>
      </c>
    </row>
    <row r="168" spans="2:11" x14ac:dyDescent="0.25">
      <c r="B168">
        <v>1884</v>
      </c>
      <c r="C168">
        <v>5972</v>
      </c>
      <c r="D168">
        <v>25180</v>
      </c>
      <c r="E168">
        <v>9432</v>
      </c>
      <c r="F168">
        <v>6154</v>
      </c>
      <c r="G168">
        <v>21028</v>
      </c>
      <c r="H168">
        <v>1004</v>
      </c>
      <c r="I168">
        <v>10149</v>
      </c>
      <c r="J168">
        <v>-23285</v>
      </c>
      <c r="K168">
        <v>-1520</v>
      </c>
    </row>
    <row r="169" spans="2:11" x14ac:dyDescent="0.25">
      <c r="B169">
        <v>-1854</v>
      </c>
      <c r="C169">
        <v>-7699</v>
      </c>
      <c r="D169">
        <v>-60305</v>
      </c>
      <c r="E169">
        <v>-13591</v>
      </c>
      <c r="F169">
        <v>7625</v>
      </c>
      <c r="G169">
        <v>17930</v>
      </c>
      <c r="H169">
        <v>31009</v>
      </c>
      <c r="I169">
        <v>23130</v>
      </c>
      <c r="J169">
        <v>349</v>
      </c>
      <c r="K169">
        <v>-191</v>
      </c>
    </row>
    <row r="170" spans="2:11" x14ac:dyDescent="0.25">
      <c r="B170">
        <v>5096</v>
      </c>
      <c r="C170">
        <v>-15869</v>
      </c>
      <c r="D170">
        <v>451</v>
      </c>
      <c r="E170">
        <v>-557</v>
      </c>
      <c r="F170">
        <v>-394</v>
      </c>
      <c r="G170">
        <v>78</v>
      </c>
      <c r="H170">
        <v>4963</v>
      </c>
      <c r="I170">
        <v>19370</v>
      </c>
      <c r="J170">
        <v>3755</v>
      </c>
      <c r="K170">
        <v>1708</v>
      </c>
    </row>
    <row r="171" spans="2:11" x14ac:dyDescent="0.25">
      <c r="B171">
        <v>10537</v>
      </c>
      <c r="C171">
        <v>-425</v>
      </c>
      <c r="D171">
        <v>-607</v>
      </c>
      <c r="E171">
        <v>-905</v>
      </c>
      <c r="F171">
        <v>-356</v>
      </c>
      <c r="G171">
        <v>62</v>
      </c>
      <c r="H171">
        <v>1158</v>
      </c>
      <c r="I171">
        <v>292</v>
      </c>
      <c r="J171">
        <v>7395</v>
      </c>
      <c r="K171">
        <v>512</v>
      </c>
    </row>
    <row r="172" spans="2:11" x14ac:dyDescent="0.25">
      <c r="B172">
        <v>4642</v>
      </c>
      <c r="C172">
        <v>6650</v>
      </c>
      <c r="D172">
        <v>15786</v>
      </c>
      <c r="E172">
        <v>2744</v>
      </c>
      <c r="F172">
        <v>3025</v>
      </c>
      <c r="G172">
        <v>10451</v>
      </c>
      <c r="H172">
        <v>48047</v>
      </c>
      <c r="I172">
        <v>10805</v>
      </c>
      <c r="J172">
        <v>8717</v>
      </c>
      <c r="K172">
        <v>22104</v>
      </c>
    </row>
    <row r="173" spans="2:11" x14ac:dyDescent="0.25">
      <c r="B173">
        <v>803</v>
      </c>
      <c r="C173">
        <v>6830</v>
      </c>
      <c r="D173">
        <v>-2549</v>
      </c>
      <c r="E173">
        <v>-20395</v>
      </c>
      <c r="F173">
        <v>-1260</v>
      </c>
      <c r="G173">
        <v>-5777</v>
      </c>
      <c r="H173">
        <v>-14457</v>
      </c>
      <c r="I173">
        <v>-60934</v>
      </c>
      <c r="J173">
        <v>548</v>
      </c>
      <c r="K173">
        <v>-542</v>
      </c>
    </row>
    <row r="174" spans="2:11" x14ac:dyDescent="0.25">
      <c r="B174">
        <v>5415</v>
      </c>
      <c r="C174">
        <v>-40348</v>
      </c>
      <c r="D174">
        <v>6672</v>
      </c>
      <c r="E174">
        <v>18761</v>
      </c>
      <c r="F174">
        <v>30251</v>
      </c>
      <c r="G174">
        <v>26420</v>
      </c>
      <c r="H174">
        <v>-590</v>
      </c>
      <c r="I174">
        <v>-259</v>
      </c>
      <c r="J174">
        <v>38</v>
      </c>
      <c r="K174">
        <v>4578</v>
      </c>
    </row>
    <row r="175" spans="2:11" x14ac:dyDescent="0.25">
      <c r="B175">
        <v>3865</v>
      </c>
      <c r="C175">
        <v>4348</v>
      </c>
      <c r="D175">
        <v>18938</v>
      </c>
      <c r="E175">
        <v>-67</v>
      </c>
      <c r="F175">
        <v>127</v>
      </c>
      <c r="G175">
        <v>-3</v>
      </c>
      <c r="H175">
        <v>712</v>
      </c>
      <c r="I175">
        <v>995</v>
      </c>
      <c r="J175">
        <v>-484</v>
      </c>
      <c r="K175">
        <v>-125</v>
      </c>
    </row>
    <row r="176" spans="2:11" x14ac:dyDescent="0.25">
      <c r="B176">
        <v>198</v>
      </c>
      <c r="C176">
        <v>-1044</v>
      </c>
      <c r="D176">
        <v>1152</v>
      </c>
      <c r="E176">
        <v>5943</v>
      </c>
      <c r="F176">
        <v>3256</v>
      </c>
      <c r="G176">
        <v>4853</v>
      </c>
      <c r="H176">
        <v>3517</v>
      </c>
      <c r="I176">
        <v>14835</v>
      </c>
      <c r="J176">
        <v>1963</v>
      </c>
      <c r="K176">
        <v>7028</v>
      </c>
    </row>
    <row r="177" spans="2:11" x14ac:dyDescent="0.25">
      <c r="B177">
        <v>11186</v>
      </c>
      <c r="C177">
        <v>52033</v>
      </c>
      <c r="D177">
        <v>5712</v>
      </c>
      <c r="E177">
        <v>14747</v>
      </c>
      <c r="F177">
        <v>27099</v>
      </c>
      <c r="G177">
        <v>-9489</v>
      </c>
      <c r="H177">
        <v>7756</v>
      </c>
      <c r="I177">
        <v>3373</v>
      </c>
      <c r="J177">
        <v>1107</v>
      </c>
      <c r="K177">
        <v>-9272</v>
      </c>
    </row>
    <row r="178" spans="2:11" x14ac:dyDescent="0.25">
      <c r="B178">
        <v>-2857</v>
      </c>
      <c r="C178">
        <v>-3023</v>
      </c>
      <c r="D178">
        <v>-1638</v>
      </c>
      <c r="E178">
        <v>-6668</v>
      </c>
      <c r="F178">
        <v>-915</v>
      </c>
      <c r="G178">
        <v>2240</v>
      </c>
      <c r="H178">
        <v>303</v>
      </c>
      <c r="I178">
        <v>-3666</v>
      </c>
      <c r="J178">
        <v>-775</v>
      </c>
      <c r="K178">
        <v>1090</v>
      </c>
    </row>
    <row r="179" spans="2:11" x14ac:dyDescent="0.25">
      <c r="B179">
        <v>130</v>
      </c>
      <c r="C179">
        <v>-971</v>
      </c>
      <c r="D179">
        <v>1870</v>
      </c>
      <c r="E179">
        <v>570</v>
      </c>
      <c r="F179">
        <v>90</v>
      </c>
      <c r="G179">
        <v>-1936</v>
      </c>
      <c r="H179">
        <v>-619</v>
      </c>
      <c r="I179">
        <v>-446</v>
      </c>
      <c r="J179">
        <v>628</v>
      </c>
      <c r="K179">
        <v>315</v>
      </c>
    </row>
    <row r="180" spans="2:11" x14ac:dyDescent="0.25">
      <c r="B180">
        <v>501</v>
      </c>
      <c r="C180">
        <v>283</v>
      </c>
      <c r="D180">
        <v>3</v>
      </c>
      <c r="E180">
        <v>2928</v>
      </c>
      <c r="F180">
        <v>534</v>
      </c>
      <c r="G180">
        <v>97</v>
      </c>
      <c r="H180">
        <v>149</v>
      </c>
      <c r="I180">
        <v>266</v>
      </c>
      <c r="J180">
        <v>66</v>
      </c>
      <c r="K180">
        <v>20062</v>
      </c>
    </row>
    <row r="181" spans="2:11" x14ac:dyDescent="0.25">
      <c r="B181">
        <v>3416</v>
      </c>
      <c r="C181">
        <v>1107</v>
      </c>
      <c r="D181">
        <v>609</v>
      </c>
      <c r="E181">
        <v>12309</v>
      </c>
      <c r="F181">
        <v>5864</v>
      </c>
      <c r="G181">
        <v>2805</v>
      </c>
      <c r="H181">
        <v>1747</v>
      </c>
      <c r="I181">
        <v>12183</v>
      </c>
      <c r="J181">
        <v>4316</v>
      </c>
      <c r="K181">
        <v>2472</v>
      </c>
    </row>
    <row r="182" spans="2:11" x14ac:dyDescent="0.25">
      <c r="B182">
        <v>1547</v>
      </c>
      <c r="C182">
        <v>1142</v>
      </c>
      <c r="D182">
        <v>21944</v>
      </c>
      <c r="E182">
        <v>10437</v>
      </c>
      <c r="F182">
        <v>4245</v>
      </c>
      <c r="G182">
        <v>-3029</v>
      </c>
      <c r="H182">
        <v>-9576</v>
      </c>
      <c r="I182">
        <v>-6632</v>
      </c>
      <c r="J182">
        <v>-3803</v>
      </c>
      <c r="K182">
        <v>-1205</v>
      </c>
    </row>
    <row r="183" spans="2:11" x14ac:dyDescent="0.25">
      <c r="B183">
        <v>-4107</v>
      </c>
      <c r="C183">
        <v>4037</v>
      </c>
      <c r="D183">
        <v>406</v>
      </c>
      <c r="E183">
        <v>-715</v>
      </c>
      <c r="F183">
        <v>-2556</v>
      </c>
      <c r="G183">
        <v>2260</v>
      </c>
      <c r="H183">
        <v>-151</v>
      </c>
      <c r="I183">
        <v>2358</v>
      </c>
      <c r="J183">
        <v>1593</v>
      </c>
      <c r="K183">
        <v>3260</v>
      </c>
    </row>
    <row r="184" spans="2:11" x14ac:dyDescent="0.25">
      <c r="B184">
        <v>185</v>
      </c>
      <c r="C184">
        <v>-2680</v>
      </c>
      <c r="D184">
        <v>-636</v>
      </c>
      <c r="E184">
        <v>-525</v>
      </c>
      <c r="F184">
        <v>683</v>
      </c>
      <c r="G184">
        <v>373</v>
      </c>
      <c r="H184">
        <v>383</v>
      </c>
      <c r="I184">
        <v>938</v>
      </c>
      <c r="J184">
        <v>185</v>
      </c>
      <c r="K184">
        <v>1109</v>
      </c>
    </row>
    <row r="185" spans="2:11" x14ac:dyDescent="0.25">
      <c r="B185">
        <v>2179</v>
      </c>
      <c r="C185">
        <v>267</v>
      </c>
      <c r="D185">
        <v>294</v>
      </c>
      <c r="E185">
        <v>325</v>
      </c>
      <c r="F185">
        <v>64</v>
      </c>
      <c r="G185">
        <v>5690</v>
      </c>
      <c r="H185">
        <v>11043</v>
      </c>
      <c r="I185">
        <v>2378</v>
      </c>
      <c r="J185">
        <v>1319</v>
      </c>
      <c r="K185">
        <v>4225</v>
      </c>
    </row>
    <row r="186" spans="2:11" x14ac:dyDescent="0.25">
      <c r="B186">
        <v>17036</v>
      </c>
      <c r="C186">
        <v>6100</v>
      </c>
      <c r="D186">
        <v>3969</v>
      </c>
      <c r="E186">
        <v>3889</v>
      </c>
      <c r="F186">
        <v>13082</v>
      </c>
      <c r="G186">
        <v>5376</v>
      </c>
      <c r="H186">
        <v>3478</v>
      </c>
      <c r="I186">
        <v>33183</v>
      </c>
      <c r="J186">
        <v>-240</v>
      </c>
      <c r="K186">
        <v>6190</v>
      </c>
    </row>
    <row r="187" spans="2:11" x14ac:dyDescent="0.25">
      <c r="B187">
        <v>-14992</v>
      </c>
      <c r="C187">
        <v>-771</v>
      </c>
      <c r="D187">
        <v>-1430</v>
      </c>
      <c r="E187">
        <v>-2751</v>
      </c>
      <c r="F187">
        <v>-26259</v>
      </c>
      <c r="G187">
        <v>-5124</v>
      </c>
      <c r="H187">
        <v>3279</v>
      </c>
      <c r="I187">
        <v>9217</v>
      </c>
      <c r="J187">
        <v>15551</v>
      </c>
      <c r="K187">
        <v>9717</v>
      </c>
    </row>
    <row r="188" spans="2:11" x14ac:dyDescent="0.25">
      <c r="B188">
        <v>121</v>
      </c>
      <c r="C188">
        <v>755</v>
      </c>
      <c r="D188">
        <v>3221</v>
      </c>
      <c r="E188">
        <v>-5455</v>
      </c>
      <c r="F188">
        <v>-820</v>
      </c>
      <c r="G188">
        <v>-140</v>
      </c>
      <c r="H188">
        <v>-227</v>
      </c>
      <c r="I188">
        <v>-171</v>
      </c>
      <c r="J188">
        <v>-1261</v>
      </c>
      <c r="K188">
        <v>-3710</v>
      </c>
    </row>
    <row r="189" spans="2:11" x14ac:dyDescent="0.25">
      <c r="B189">
        <v>-234</v>
      </c>
      <c r="C189">
        <v>212</v>
      </c>
      <c r="D189">
        <v>2671</v>
      </c>
      <c r="E189">
        <v>-88</v>
      </c>
      <c r="F189">
        <v>-363</v>
      </c>
      <c r="G189">
        <v>-285</v>
      </c>
      <c r="H189">
        <v>-7</v>
      </c>
      <c r="I189">
        <v>-51</v>
      </c>
      <c r="J189">
        <v>1623</v>
      </c>
      <c r="K189">
        <v>378</v>
      </c>
    </row>
    <row r="190" spans="2:11" x14ac:dyDescent="0.25">
      <c r="B190">
        <v>3849</v>
      </c>
      <c r="C190">
        <v>368</v>
      </c>
      <c r="D190">
        <v>2783</v>
      </c>
      <c r="E190">
        <v>3773</v>
      </c>
      <c r="F190">
        <v>8699</v>
      </c>
      <c r="G190">
        <v>1677</v>
      </c>
      <c r="H190">
        <v>1554</v>
      </c>
      <c r="I190">
        <v>5013</v>
      </c>
      <c r="J190">
        <v>23903</v>
      </c>
      <c r="K190">
        <v>5330</v>
      </c>
    </row>
    <row r="191" spans="2:11" x14ac:dyDescent="0.25">
      <c r="B191">
        <v>1576</v>
      </c>
      <c r="C191">
        <v>3941</v>
      </c>
      <c r="D191">
        <v>20930</v>
      </c>
      <c r="E191">
        <v>4823</v>
      </c>
      <c r="F191">
        <v>13403</v>
      </c>
      <c r="G191">
        <v>28368</v>
      </c>
      <c r="H191">
        <v>-16</v>
      </c>
      <c r="I191">
        <v>2615</v>
      </c>
      <c r="J191">
        <v>-775</v>
      </c>
      <c r="K191">
        <v>-8184</v>
      </c>
    </row>
    <row r="192" spans="2:11" x14ac:dyDescent="0.25">
      <c r="B192">
        <v>-626</v>
      </c>
      <c r="C192">
        <v>-3818</v>
      </c>
      <c r="D192">
        <v>-3219</v>
      </c>
      <c r="E192">
        <v>-16704</v>
      </c>
      <c r="F192">
        <v>-158</v>
      </c>
      <c r="G192">
        <v>-1903</v>
      </c>
      <c r="H192">
        <v>-500</v>
      </c>
      <c r="I192">
        <v>-13711</v>
      </c>
      <c r="J192">
        <v>2180</v>
      </c>
      <c r="K192">
        <v>5769</v>
      </c>
    </row>
    <row r="193" spans="2:11" x14ac:dyDescent="0.25">
      <c r="B193">
        <v>9072</v>
      </c>
      <c r="C193">
        <v>8311</v>
      </c>
      <c r="D193">
        <v>-1568</v>
      </c>
      <c r="E193">
        <v>-358</v>
      </c>
      <c r="F193">
        <v>-383</v>
      </c>
      <c r="G193">
        <v>1694</v>
      </c>
      <c r="H193">
        <v>476</v>
      </c>
      <c r="I193">
        <v>-1037</v>
      </c>
      <c r="J193">
        <v>-1317</v>
      </c>
      <c r="K193">
        <v>-516</v>
      </c>
    </row>
    <row r="194" spans="2:11" x14ac:dyDescent="0.25">
      <c r="B194">
        <v>-1223</v>
      </c>
      <c r="C194">
        <v>56</v>
      </c>
      <c r="D194">
        <v>311</v>
      </c>
      <c r="E194">
        <v>3040</v>
      </c>
      <c r="F194">
        <v>-180</v>
      </c>
      <c r="G194">
        <v>106</v>
      </c>
      <c r="H194">
        <v>13</v>
      </c>
      <c r="I194">
        <v>460</v>
      </c>
      <c r="J194">
        <v>286</v>
      </c>
      <c r="K194">
        <v>2759</v>
      </c>
    </row>
    <row r="195" spans="2:11" x14ac:dyDescent="0.25">
      <c r="B195">
        <v>1222</v>
      </c>
      <c r="C195">
        <v>1706</v>
      </c>
      <c r="D195">
        <v>1260</v>
      </c>
      <c r="E195">
        <v>4900</v>
      </c>
      <c r="F195">
        <v>530</v>
      </c>
      <c r="G195">
        <v>1958</v>
      </c>
      <c r="H195">
        <v>3129</v>
      </c>
      <c r="I195">
        <v>16293</v>
      </c>
      <c r="J195">
        <v>630</v>
      </c>
      <c r="K195">
        <v>1350</v>
      </c>
    </row>
    <row r="196" spans="2:11" x14ac:dyDescent="0.25">
      <c r="B196">
        <v>2699</v>
      </c>
      <c r="C196">
        <v>14772</v>
      </c>
      <c r="D196">
        <v>5083</v>
      </c>
      <c r="E196">
        <v>11101</v>
      </c>
      <c r="F196">
        <v>15981</v>
      </c>
      <c r="G196">
        <v>-5670</v>
      </c>
      <c r="H196">
        <v>-3550</v>
      </c>
      <c r="I196">
        <v>-816</v>
      </c>
      <c r="J196">
        <v>-125</v>
      </c>
      <c r="K196">
        <v>-9234</v>
      </c>
    </row>
    <row r="197" spans="2:11" x14ac:dyDescent="0.25">
      <c r="B197">
        <v>5613</v>
      </c>
      <c r="C197">
        <v>1484</v>
      </c>
      <c r="D197">
        <v>1409</v>
      </c>
      <c r="E197">
        <v>-11614</v>
      </c>
      <c r="F197">
        <v>3564</v>
      </c>
      <c r="G197">
        <v>-3655</v>
      </c>
      <c r="H197">
        <v>202</v>
      </c>
      <c r="I197">
        <v>-6747</v>
      </c>
      <c r="J197">
        <v>3943</v>
      </c>
      <c r="K197">
        <v>-764</v>
      </c>
    </row>
    <row r="198" spans="2:11" x14ac:dyDescent="0.25">
      <c r="B198">
        <v>-3038</v>
      </c>
      <c r="C198">
        <v>30074</v>
      </c>
      <c r="D198">
        <v>-22771</v>
      </c>
      <c r="E198">
        <v>1500</v>
      </c>
      <c r="F198">
        <v>-1070</v>
      </c>
      <c r="G198">
        <v>-14576</v>
      </c>
      <c r="H198">
        <v>-3606</v>
      </c>
      <c r="I198">
        <v>-2121</v>
      </c>
      <c r="J198">
        <v>1552</v>
      </c>
      <c r="K198">
        <v>2576</v>
      </c>
    </row>
    <row r="199" spans="2:11" x14ac:dyDescent="0.25">
      <c r="B199">
        <v>-3884</v>
      </c>
      <c r="C199">
        <v>-2666</v>
      </c>
      <c r="D199">
        <v>774</v>
      </c>
      <c r="E199">
        <v>15503</v>
      </c>
      <c r="F199">
        <v>1175</v>
      </c>
      <c r="G199">
        <v>-1211</v>
      </c>
      <c r="H199">
        <v>-884</v>
      </c>
      <c r="I199">
        <v>303</v>
      </c>
      <c r="J199">
        <v>-175</v>
      </c>
      <c r="K199">
        <v>5396</v>
      </c>
    </row>
    <row r="200" spans="2:11" x14ac:dyDescent="0.25">
      <c r="B200">
        <v>-1318</v>
      </c>
      <c r="C200">
        <v>-366</v>
      </c>
      <c r="D200">
        <v>-100</v>
      </c>
      <c r="E200">
        <v>-4613</v>
      </c>
      <c r="F200">
        <v>-40</v>
      </c>
      <c r="G200">
        <v>-679</v>
      </c>
      <c r="H200">
        <v>-319</v>
      </c>
      <c r="I200">
        <v>-2993</v>
      </c>
      <c r="J200">
        <v>1452</v>
      </c>
      <c r="K200">
        <v>-764</v>
      </c>
    </row>
    <row r="201" spans="2:11" x14ac:dyDescent="0.25">
      <c r="B201">
        <v>-823</v>
      </c>
      <c r="C201">
        <v>3252</v>
      </c>
      <c r="D201">
        <v>1213</v>
      </c>
      <c r="E201">
        <v>-53</v>
      </c>
      <c r="F201">
        <v>-418</v>
      </c>
      <c r="G201">
        <v>3730</v>
      </c>
      <c r="H201">
        <v>6858</v>
      </c>
      <c r="I201">
        <v>5210</v>
      </c>
      <c r="J201">
        <v>2325</v>
      </c>
      <c r="K201">
        <v>-98</v>
      </c>
    </row>
    <row r="202" spans="2:11" x14ac:dyDescent="0.25">
      <c r="B202">
        <v>-22493</v>
      </c>
      <c r="C202">
        <v>1512</v>
      </c>
      <c r="D202">
        <v>-244</v>
      </c>
      <c r="E202">
        <v>-6595</v>
      </c>
      <c r="F202">
        <v>-29774</v>
      </c>
      <c r="G202">
        <v>-45221</v>
      </c>
      <c r="H202">
        <v>-1249</v>
      </c>
      <c r="I202">
        <v>-4771</v>
      </c>
      <c r="J202">
        <v>-20943</v>
      </c>
      <c r="K202">
        <v>-32641</v>
      </c>
    </row>
    <row r="203" spans="2:11" x14ac:dyDescent="0.25">
      <c r="B203">
        <v>-35580</v>
      </c>
      <c r="C203">
        <v>33998</v>
      </c>
      <c r="D203">
        <v>1737</v>
      </c>
      <c r="E203">
        <v>-2544</v>
      </c>
      <c r="F203">
        <v>3435</v>
      </c>
      <c r="G203">
        <v>20038</v>
      </c>
      <c r="H203">
        <v>-3972</v>
      </c>
      <c r="I203">
        <v>-5650</v>
      </c>
      <c r="J203">
        <v>778</v>
      </c>
      <c r="K203">
        <v>1280</v>
      </c>
    </row>
    <row r="204" spans="2:11" x14ac:dyDescent="0.25">
      <c r="B204">
        <v>-559</v>
      </c>
      <c r="C204">
        <v>-1155</v>
      </c>
      <c r="D204">
        <v>-793</v>
      </c>
      <c r="E204">
        <v>5937</v>
      </c>
      <c r="F204">
        <v>9969</v>
      </c>
      <c r="G204">
        <v>-4327</v>
      </c>
      <c r="H204">
        <v>-5468</v>
      </c>
      <c r="I204">
        <v>112</v>
      </c>
      <c r="J204">
        <v>118</v>
      </c>
      <c r="K204">
        <v>-2050</v>
      </c>
    </row>
    <row r="205" spans="2:11" x14ac:dyDescent="0.25">
      <c r="B205">
        <v>386</v>
      </c>
      <c r="C205">
        <v>-2562</v>
      </c>
      <c r="D205">
        <v>-2930</v>
      </c>
      <c r="E205">
        <v>1016</v>
      </c>
      <c r="F205">
        <v>553</v>
      </c>
      <c r="G205">
        <v>468</v>
      </c>
      <c r="H205">
        <v>2478</v>
      </c>
      <c r="I205">
        <v>105</v>
      </c>
      <c r="J205">
        <v>-1145</v>
      </c>
      <c r="K205">
        <v>1353</v>
      </c>
    </row>
    <row r="206" spans="2:11" x14ac:dyDescent="0.25">
      <c r="B206">
        <v>2899</v>
      </c>
      <c r="C206">
        <v>-418</v>
      </c>
      <c r="D206">
        <v>1076</v>
      </c>
      <c r="E206">
        <v>-1715</v>
      </c>
      <c r="F206">
        <v>1992</v>
      </c>
      <c r="G206">
        <v>11292</v>
      </c>
      <c r="H206">
        <v>-4139</v>
      </c>
      <c r="I206">
        <v>-601</v>
      </c>
      <c r="J206">
        <v>-341</v>
      </c>
      <c r="K206">
        <v>-229</v>
      </c>
    </row>
    <row r="207" spans="2:11" x14ac:dyDescent="0.25">
      <c r="B207">
        <v>-1150</v>
      </c>
      <c r="C207">
        <v>1548</v>
      </c>
      <c r="D207">
        <v>104</v>
      </c>
      <c r="E207">
        <v>-60</v>
      </c>
      <c r="F207">
        <v>-14390</v>
      </c>
      <c r="G207">
        <v>1651</v>
      </c>
      <c r="H207">
        <v>156</v>
      </c>
      <c r="I207">
        <v>-376</v>
      </c>
      <c r="J207">
        <v>-3171</v>
      </c>
      <c r="K207">
        <v>1304</v>
      </c>
    </row>
    <row r="208" spans="2:11" x14ac:dyDescent="0.25">
      <c r="B208">
        <v>290</v>
      </c>
      <c r="C208">
        <v>324</v>
      </c>
      <c r="D208">
        <v>1596</v>
      </c>
      <c r="E208">
        <v>-1049</v>
      </c>
      <c r="F208">
        <v>-247</v>
      </c>
      <c r="G208">
        <v>16</v>
      </c>
      <c r="H208">
        <v>-1048</v>
      </c>
      <c r="I208">
        <v>-214</v>
      </c>
      <c r="J208">
        <v>-17</v>
      </c>
      <c r="K208">
        <v>-2405</v>
      </c>
    </row>
    <row r="209" spans="2:11" x14ac:dyDescent="0.25">
      <c r="B209">
        <v>-988</v>
      </c>
      <c r="C209">
        <v>-34791</v>
      </c>
      <c r="D209">
        <v>-3053</v>
      </c>
      <c r="E209">
        <v>434</v>
      </c>
      <c r="F209">
        <v>179</v>
      </c>
      <c r="G209">
        <v>67</v>
      </c>
      <c r="H209">
        <v>-10</v>
      </c>
      <c r="I209">
        <v>29</v>
      </c>
      <c r="J209">
        <v>56</v>
      </c>
      <c r="K209">
        <v>18</v>
      </c>
    </row>
    <row r="210" spans="2:11" x14ac:dyDescent="0.25">
      <c r="B210">
        <v>3043</v>
      </c>
      <c r="C210">
        <v>457</v>
      </c>
      <c r="D210">
        <v>297</v>
      </c>
      <c r="E210">
        <v>91</v>
      </c>
      <c r="F210">
        <v>-456</v>
      </c>
      <c r="G210">
        <v>-175</v>
      </c>
      <c r="H210">
        <v>28</v>
      </c>
      <c r="I210">
        <v>95</v>
      </c>
      <c r="J210">
        <v>2777</v>
      </c>
      <c r="K210">
        <v>78</v>
      </c>
    </row>
    <row r="211" spans="2:11" x14ac:dyDescent="0.25">
      <c r="B211">
        <v>-28</v>
      </c>
      <c r="C211">
        <v>51</v>
      </c>
      <c r="D211">
        <v>-419</v>
      </c>
      <c r="E211">
        <v>-39</v>
      </c>
      <c r="F211">
        <v>-8</v>
      </c>
      <c r="G211">
        <v>28</v>
      </c>
      <c r="H211">
        <v>1137</v>
      </c>
      <c r="I211">
        <v>952</v>
      </c>
      <c r="J211">
        <v>21203</v>
      </c>
      <c r="K211">
        <v>324</v>
      </c>
    </row>
    <row r="212" spans="2:11" x14ac:dyDescent="0.25">
      <c r="B212">
        <v>105</v>
      </c>
      <c r="C212">
        <v>78</v>
      </c>
      <c r="D212">
        <v>19437</v>
      </c>
      <c r="E212">
        <v>-472</v>
      </c>
      <c r="F212">
        <v>-248</v>
      </c>
      <c r="G212">
        <v>19</v>
      </c>
      <c r="H212">
        <v>14798</v>
      </c>
      <c r="I212">
        <v>-578</v>
      </c>
      <c r="J212">
        <v>349</v>
      </c>
      <c r="K212">
        <v>249</v>
      </c>
    </row>
    <row r="213" spans="2:11" x14ac:dyDescent="0.25">
      <c r="B213">
        <v>8071</v>
      </c>
      <c r="C213">
        <v>-776</v>
      </c>
      <c r="D213">
        <v>13</v>
      </c>
      <c r="E213">
        <v>-129</v>
      </c>
      <c r="F213">
        <v>-1593</v>
      </c>
      <c r="G213">
        <v>2135</v>
      </c>
      <c r="H213">
        <v>-58</v>
      </c>
      <c r="I213">
        <v>-11</v>
      </c>
      <c r="J213">
        <v>1</v>
      </c>
      <c r="K213">
        <v>-62</v>
      </c>
    </row>
    <row r="214" spans="2:11" x14ac:dyDescent="0.25">
      <c r="B214">
        <v>-234</v>
      </c>
      <c r="C214">
        <v>4521</v>
      </c>
      <c r="D214">
        <v>1724</v>
      </c>
      <c r="E214">
        <v>7124</v>
      </c>
      <c r="F214">
        <v>536</v>
      </c>
      <c r="G214">
        <v>-5</v>
      </c>
      <c r="H214">
        <v>-121</v>
      </c>
      <c r="I214">
        <v>-56</v>
      </c>
      <c r="J214">
        <v>160</v>
      </c>
      <c r="K214">
        <v>155</v>
      </c>
    </row>
    <row r="215" spans="2:11" x14ac:dyDescent="0.25">
      <c r="B215">
        <v>-40</v>
      </c>
      <c r="C215">
        <v>-83</v>
      </c>
      <c r="D215">
        <v>2150</v>
      </c>
      <c r="E215">
        <v>51</v>
      </c>
      <c r="F215">
        <v>298</v>
      </c>
      <c r="G215">
        <v>217</v>
      </c>
      <c r="H215">
        <v>2534</v>
      </c>
      <c r="I215">
        <v>121</v>
      </c>
      <c r="J215">
        <v>114</v>
      </c>
      <c r="K215">
        <v>69</v>
      </c>
    </row>
    <row r="216" spans="2:11" x14ac:dyDescent="0.25">
      <c r="B216">
        <v>3048</v>
      </c>
      <c r="C216">
        <v>53</v>
      </c>
      <c r="D216">
        <v>128</v>
      </c>
      <c r="E216">
        <v>19</v>
      </c>
      <c r="F216">
        <v>1861</v>
      </c>
      <c r="G216">
        <v>187</v>
      </c>
      <c r="H216">
        <v>55</v>
      </c>
      <c r="I216">
        <v>71</v>
      </c>
      <c r="J216">
        <v>4167</v>
      </c>
      <c r="K216">
        <v>-664</v>
      </c>
    </row>
    <row r="217" spans="2:11" x14ac:dyDescent="0.25">
      <c r="B217">
        <v>-5705</v>
      </c>
      <c r="C217">
        <v>455</v>
      </c>
      <c r="D217">
        <v>150</v>
      </c>
      <c r="E217">
        <v>711</v>
      </c>
      <c r="F217">
        <v>897</v>
      </c>
      <c r="G217">
        <v>1583</v>
      </c>
      <c r="H217">
        <v>603</v>
      </c>
      <c r="I217">
        <v>1110</v>
      </c>
      <c r="J217">
        <v>1736</v>
      </c>
      <c r="K217">
        <v>2571</v>
      </c>
    </row>
    <row r="218" spans="2:11" x14ac:dyDescent="0.25">
      <c r="B218">
        <v>1584</v>
      </c>
      <c r="C218">
        <v>954</v>
      </c>
      <c r="D218">
        <v>1920</v>
      </c>
      <c r="E218">
        <v>1623</v>
      </c>
      <c r="F218">
        <v>-495</v>
      </c>
      <c r="G218">
        <v>-1726</v>
      </c>
      <c r="H218">
        <v>-1398</v>
      </c>
      <c r="I218">
        <v>3101</v>
      </c>
      <c r="J218">
        <v>1181</v>
      </c>
      <c r="K218">
        <v>1238</v>
      </c>
    </row>
    <row r="219" spans="2:11" x14ac:dyDescent="0.25">
      <c r="B219">
        <v>-34</v>
      </c>
      <c r="C219">
        <v>2901</v>
      </c>
      <c r="D219">
        <v>13</v>
      </c>
      <c r="E219">
        <v>-48</v>
      </c>
      <c r="F219">
        <v>3593</v>
      </c>
      <c r="G219">
        <v>342</v>
      </c>
      <c r="H219">
        <v>2935</v>
      </c>
      <c r="I219">
        <v>-2100</v>
      </c>
      <c r="J219">
        <v>-3542</v>
      </c>
      <c r="K219">
        <v>-101</v>
      </c>
    </row>
    <row r="220" spans="2:11" x14ac:dyDescent="0.25">
      <c r="B220">
        <v>-905</v>
      </c>
      <c r="C220">
        <v>-1359</v>
      </c>
      <c r="D220">
        <v>-2596</v>
      </c>
      <c r="E220">
        <v>67</v>
      </c>
      <c r="F220">
        <v>224</v>
      </c>
      <c r="G220">
        <v>-686</v>
      </c>
      <c r="H220">
        <v>-1370</v>
      </c>
      <c r="I220">
        <v>-1626</v>
      </c>
      <c r="J220">
        <v>-1661</v>
      </c>
      <c r="K220">
        <v>-528</v>
      </c>
    </row>
    <row r="221" spans="2:11" x14ac:dyDescent="0.25">
      <c r="B221">
        <v>-779</v>
      </c>
      <c r="C221">
        <v>-1452</v>
      </c>
      <c r="D221">
        <v>-2342</v>
      </c>
      <c r="E221">
        <v>-968</v>
      </c>
      <c r="F221">
        <v>-3412</v>
      </c>
      <c r="G221">
        <v>-905</v>
      </c>
      <c r="H221">
        <v>-740</v>
      </c>
      <c r="I221">
        <v>-646</v>
      </c>
      <c r="J221">
        <v>-1150</v>
      </c>
      <c r="K221">
        <v>-140</v>
      </c>
    </row>
    <row r="222" spans="2:11" x14ac:dyDescent="0.25">
      <c r="B222">
        <v>-1502</v>
      </c>
      <c r="C222">
        <v>-298</v>
      </c>
      <c r="D222">
        <v>5790</v>
      </c>
      <c r="E222">
        <v>-3403</v>
      </c>
      <c r="F222">
        <v>-5294</v>
      </c>
      <c r="G222">
        <v>18579</v>
      </c>
      <c r="H222">
        <v>-1945</v>
      </c>
      <c r="I222">
        <v>-951</v>
      </c>
      <c r="J222">
        <v>-475</v>
      </c>
      <c r="K222">
        <v>20637</v>
      </c>
    </row>
    <row r="223" spans="2:11" x14ac:dyDescent="0.25">
      <c r="B223">
        <v>2295</v>
      </c>
      <c r="C223">
        <v>489</v>
      </c>
      <c r="D223">
        <v>319</v>
      </c>
      <c r="E223">
        <v>14961</v>
      </c>
      <c r="F223">
        <v>1777</v>
      </c>
      <c r="G223">
        <v>-184</v>
      </c>
      <c r="H223">
        <v>-105</v>
      </c>
      <c r="I223">
        <v>4621</v>
      </c>
      <c r="J223">
        <v>1714</v>
      </c>
      <c r="K223">
        <v>382</v>
      </c>
    </row>
    <row r="224" spans="2:11" x14ac:dyDescent="0.25">
      <c r="B224">
        <v>46</v>
      </c>
      <c r="C224">
        <v>6108</v>
      </c>
      <c r="D224">
        <v>4125</v>
      </c>
      <c r="E224">
        <v>54</v>
      </c>
      <c r="F224">
        <v>-226</v>
      </c>
      <c r="G224">
        <v>-4737</v>
      </c>
      <c r="H224">
        <v>-834</v>
      </c>
      <c r="I224">
        <v>-325</v>
      </c>
      <c r="J224">
        <v>-2924</v>
      </c>
      <c r="K224">
        <v>-340</v>
      </c>
    </row>
    <row r="225" spans="2:11" x14ac:dyDescent="0.25">
      <c r="B225">
        <v>-3193</v>
      </c>
      <c r="C225">
        <v>-833</v>
      </c>
      <c r="D225">
        <v>206</v>
      </c>
      <c r="E225">
        <v>2602</v>
      </c>
      <c r="F225">
        <v>-343</v>
      </c>
      <c r="G225">
        <v>-209</v>
      </c>
      <c r="H225">
        <v>-143</v>
      </c>
      <c r="I225">
        <v>-21</v>
      </c>
      <c r="J225">
        <v>-58</v>
      </c>
      <c r="K225">
        <v>1023</v>
      </c>
    </row>
    <row r="226" spans="2:11" x14ac:dyDescent="0.25">
      <c r="B226">
        <v>217</v>
      </c>
      <c r="C226">
        <v>15</v>
      </c>
      <c r="D226">
        <v>130</v>
      </c>
      <c r="E226">
        <v>59</v>
      </c>
      <c r="F226">
        <v>-529</v>
      </c>
      <c r="G226">
        <v>-217</v>
      </c>
      <c r="H226">
        <v>-129</v>
      </c>
      <c r="I226">
        <v>3182</v>
      </c>
      <c r="J226">
        <v>-660</v>
      </c>
      <c r="K226">
        <v>-279</v>
      </c>
    </row>
    <row r="227" spans="2:11" x14ac:dyDescent="0.25">
      <c r="B227">
        <v>-225</v>
      </c>
      <c r="C227">
        <v>-1989</v>
      </c>
      <c r="D227">
        <v>242</v>
      </c>
      <c r="E227">
        <v>46</v>
      </c>
      <c r="F227">
        <v>-125</v>
      </c>
      <c r="G227">
        <v>-2315</v>
      </c>
      <c r="H227">
        <v>1000</v>
      </c>
      <c r="I227">
        <v>5601</v>
      </c>
      <c r="J227">
        <v>33474</v>
      </c>
      <c r="K227">
        <v>2061</v>
      </c>
    </row>
    <row r="228" spans="2:11" x14ac:dyDescent="0.25">
      <c r="B228">
        <v>-87758</v>
      </c>
      <c r="C228">
        <v>-331</v>
      </c>
      <c r="D228">
        <v>26</v>
      </c>
      <c r="E228">
        <v>87</v>
      </c>
      <c r="F228">
        <v>-82972</v>
      </c>
      <c r="G228">
        <v>-2125</v>
      </c>
      <c r="H228">
        <v>161</v>
      </c>
      <c r="I228">
        <v>336</v>
      </c>
      <c r="J228">
        <v>-55721</v>
      </c>
      <c r="K228">
        <v>-1324</v>
      </c>
    </row>
    <row r="229" spans="2:11" x14ac:dyDescent="0.25">
      <c r="B229">
        <v>-1803</v>
      </c>
      <c r="C229">
        <v>373</v>
      </c>
      <c r="D229">
        <v>-29610</v>
      </c>
      <c r="E229">
        <v>-816</v>
      </c>
      <c r="F229">
        <v>-917</v>
      </c>
      <c r="G229">
        <v>-1239</v>
      </c>
      <c r="H229">
        <v>1920</v>
      </c>
      <c r="I229">
        <v>-1974</v>
      </c>
      <c r="J229">
        <v>238</v>
      </c>
      <c r="K229">
        <v>-256</v>
      </c>
    </row>
    <row r="230" spans="2:11" x14ac:dyDescent="0.25">
      <c r="B230">
        <v>-2460</v>
      </c>
      <c r="C230">
        <v>-736</v>
      </c>
      <c r="D230">
        <v>-552</v>
      </c>
      <c r="E230">
        <v>4814</v>
      </c>
      <c r="F230">
        <v>1868</v>
      </c>
      <c r="G230">
        <v>-1492</v>
      </c>
      <c r="H230">
        <v>-25</v>
      </c>
      <c r="I230">
        <v>-190</v>
      </c>
      <c r="J230">
        <v>633</v>
      </c>
      <c r="K230">
        <v>-486</v>
      </c>
    </row>
    <row r="231" spans="2:11" x14ac:dyDescent="0.25">
      <c r="B231">
        <v>-146</v>
      </c>
      <c r="C231">
        <v>-26</v>
      </c>
      <c r="D231">
        <v>70</v>
      </c>
      <c r="E231">
        <v>-52</v>
      </c>
      <c r="F231">
        <v>863</v>
      </c>
      <c r="G231">
        <v>-22</v>
      </c>
      <c r="H231">
        <v>-16</v>
      </c>
      <c r="I231">
        <v>-93</v>
      </c>
      <c r="J231">
        <v>-3631</v>
      </c>
      <c r="K231">
        <v>-27</v>
      </c>
    </row>
    <row r="232" spans="2:11" x14ac:dyDescent="0.25">
      <c r="B232">
        <v>-141</v>
      </c>
      <c r="C232">
        <v>-84</v>
      </c>
      <c r="D232">
        <v>727</v>
      </c>
      <c r="E232">
        <v>227</v>
      </c>
      <c r="F232">
        <v>-105</v>
      </c>
      <c r="G232">
        <v>-213</v>
      </c>
      <c r="H232">
        <v>206</v>
      </c>
      <c r="I232">
        <v>-31</v>
      </c>
      <c r="J232">
        <v>68</v>
      </c>
      <c r="K232">
        <v>46</v>
      </c>
    </row>
    <row r="233" spans="2:11" x14ac:dyDescent="0.25">
      <c r="B233">
        <v>-2032</v>
      </c>
      <c r="C233">
        <v>-402</v>
      </c>
      <c r="D233">
        <v>690</v>
      </c>
      <c r="E233">
        <v>5063</v>
      </c>
      <c r="F233">
        <v>-2020</v>
      </c>
      <c r="G233">
        <v>-26424</v>
      </c>
      <c r="H233">
        <v>-2781</v>
      </c>
      <c r="I233">
        <v>322</v>
      </c>
      <c r="J233">
        <v>150</v>
      </c>
      <c r="K233">
        <v>-260</v>
      </c>
    </row>
    <row r="234" spans="2:11" x14ac:dyDescent="0.25">
      <c r="B234">
        <v>-1309</v>
      </c>
      <c r="C234">
        <v>-66278</v>
      </c>
      <c r="D234">
        <v>72</v>
      </c>
      <c r="E234">
        <v>-454</v>
      </c>
      <c r="F234">
        <v>117</v>
      </c>
      <c r="G234">
        <v>-37774</v>
      </c>
      <c r="H234">
        <v>-48322</v>
      </c>
      <c r="I234">
        <v>74</v>
      </c>
      <c r="J234">
        <v>2681</v>
      </c>
      <c r="K234">
        <v>-17433</v>
      </c>
    </row>
    <row r="235" spans="2:11" x14ac:dyDescent="0.25">
      <c r="B235">
        <v>-23563</v>
      </c>
      <c r="C235">
        <v>-23894</v>
      </c>
      <c r="D235">
        <v>1963</v>
      </c>
      <c r="E235">
        <v>123</v>
      </c>
      <c r="F235">
        <v>241</v>
      </c>
      <c r="G235">
        <v>-507</v>
      </c>
      <c r="H235">
        <v>2562</v>
      </c>
      <c r="I235">
        <v>-80</v>
      </c>
      <c r="J235">
        <v>-813</v>
      </c>
      <c r="K235">
        <v>-4759</v>
      </c>
    </row>
    <row r="236" spans="2:11" x14ac:dyDescent="0.25">
      <c r="B236">
        <v>1807</v>
      </c>
      <c r="C236">
        <v>-305</v>
      </c>
      <c r="D236">
        <v>1956</v>
      </c>
      <c r="E236">
        <v>-1657</v>
      </c>
      <c r="F236">
        <v>-220</v>
      </c>
      <c r="G236">
        <v>174</v>
      </c>
      <c r="H236">
        <v>-440</v>
      </c>
      <c r="I236">
        <v>639</v>
      </c>
      <c r="J236">
        <v>1089</v>
      </c>
      <c r="K236">
        <v>242</v>
      </c>
    </row>
    <row r="237" spans="2:11" x14ac:dyDescent="0.25">
      <c r="B237">
        <v>-814</v>
      </c>
      <c r="C237">
        <v>-917</v>
      </c>
      <c r="D237">
        <v>-348</v>
      </c>
      <c r="E237">
        <v>-1176</v>
      </c>
      <c r="F237">
        <v>-236</v>
      </c>
      <c r="G237">
        <v>-127</v>
      </c>
      <c r="H237">
        <v>-643</v>
      </c>
      <c r="I237">
        <v>1543</v>
      </c>
      <c r="J237">
        <v>-2</v>
      </c>
      <c r="K237">
        <v>889</v>
      </c>
    </row>
    <row r="238" spans="2:11" x14ac:dyDescent="0.25">
      <c r="B238">
        <v>-3</v>
      </c>
      <c r="C238">
        <v>-194</v>
      </c>
      <c r="D238">
        <v>-297</v>
      </c>
      <c r="E238">
        <v>-464</v>
      </c>
      <c r="F238">
        <v>-284</v>
      </c>
      <c r="G238">
        <v>2488</v>
      </c>
      <c r="H238">
        <v>61</v>
      </c>
      <c r="I238">
        <v>-3076</v>
      </c>
      <c r="J238">
        <v>479</v>
      </c>
      <c r="K238">
        <v>2521</v>
      </c>
    </row>
    <row r="239" spans="2:11" x14ac:dyDescent="0.25">
      <c r="B239">
        <v>-52013</v>
      </c>
      <c r="C239">
        <v>-1016</v>
      </c>
      <c r="D239">
        <v>4412</v>
      </c>
      <c r="E239">
        <v>3612</v>
      </c>
      <c r="F239">
        <v>470</v>
      </c>
      <c r="G239">
        <v>36</v>
      </c>
      <c r="H239">
        <v>-58</v>
      </c>
      <c r="I239">
        <v>3607</v>
      </c>
      <c r="J239">
        <v>-947</v>
      </c>
      <c r="K239">
        <v>-116</v>
      </c>
    </row>
    <row r="240" spans="2:11" x14ac:dyDescent="0.25">
      <c r="B240">
        <v>-227</v>
      </c>
      <c r="C240">
        <v>39</v>
      </c>
      <c r="D240">
        <v>-1079</v>
      </c>
      <c r="E240">
        <v>145</v>
      </c>
      <c r="F240">
        <v>-146</v>
      </c>
      <c r="G240">
        <v>1433</v>
      </c>
      <c r="H240">
        <v>-1020</v>
      </c>
      <c r="I240">
        <v>-270</v>
      </c>
      <c r="J240">
        <v>282</v>
      </c>
      <c r="K240">
        <v>-6274</v>
      </c>
    </row>
    <row r="241" spans="2:11" x14ac:dyDescent="0.25">
      <c r="B241">
        <v>4820</v>
      </c>
      <c r="C241">
        <v>-1663</v>
      </c>
      <c r="D241">
        <v>339</v>
      </c>
      <c r="E241">
        <v>3515</v>
      </c>
      <c r="F241">
        <v>427</v>
      </c>
      <c r="G241">
        <v>203</v>
      </c>
      <c r="H241">
        <v>-1296</v>
      </c>
      <c r="I241">
        <v>-913</v>
      </c>
      <c r="J241">
        <v>406</v>
      </c>
      <c r="K241">
        <v>548</v>
      </c>
    </row>
    <row r="242" spans="2:11" x14ac:dyDescent="0.25">
      <c r="B242">
        <v>-158</v>
      </c>
      <c r="C242">
        <v>-3569</v>
      </c>
      <c r="D242">
        <v>272</v>
      </c>
      <c r="E242">
        <v>199</v>
      </c>
      <c r="F242">
        <v>92</v>
      </c>
      <c r="G242">
        <v>-112</v>
      </c>
      <c r="H242">
        <v>44</v>
      </c>
      <c r="I242">
        <v>-1051</v>
      </c>
      <c r="J242">
        <v>606</v>
      </c>
      <c r="K242">
        <v>301</v>
      </c>
    </row>
    <row r="243" spans="2:11" x14ac:dyDescent="0.25">
      <c r="B243">
        <v>94</v>
      </c>
      <c r="C243">
        <v>-1734</v>
      </c>
      <c r="D243">
        <v>-178</v>
      </c>
      <c r="E243">
        <v>55</v>
      </c>
      <c r="F243">
        <v>33</v>
      </c>
      <c r="G243">
        <v>-2982</v>
      </c>
      <c r="H243">
        <v>-901</v>
      </c>
      <c r="I243">
        <v>115</v>
      </c>
      <c r="J243">
        <v>213</v>
      </c>
      <c r="K243">
        <v>-1883</v>
      </c>
    </row>
    <row r="244" spans="2:11" x14ac:dyDescent="0.25">
      <c r="B244">
        <v>-269</v>
      </c>
      <c r="C244">
        <v>-7</v>
      </c>
      <c r="D244">
        <v>113</v>
      </c>
      <c r="E244">
        <v>-43481</v>
      </c>
      <c r="F244">
        <v>-868</v>
      </c>
      <c r="G244">
        <v>-9233</v>
      </c>
      <c r="H244">
        <v>-3095</v>
      </c>
      <c r="I244">
        <v>245</v>
      </c>
      <c r="J244">
        <v>639</v>
      </c>
      <c r="K244">
        <v>850</v>
      </c>
    </row>
    <row r="245" spans="2:11" x14ac:dyDescent="0.25">
      <c r="B245">
        <v>-691</v>
      </c>
      <c r="C245">
        <v>-47999</v>
      </c>
      <c r="D245">
        <v>401</v>
      </c>
      <c r="E245">
        <v>206</v>
      </c>
      <c r="F245">
        <v>110</v>
      </c>
      <c r="G245">
        <v>-47017</v>
      </c>
      <c r="H245">
        <v>-356</v>
      </c>
      <c r="I245">
        <v>-97</v>
      </c>
      <c r="J245">
        <v>-57</v>
      </c>
      <c r="K245">
        <v>-32040</v>
      </c>
    </row>
    <row r="246" spans="2:11" x14ac:dyDescent="0.25">
      <c r="B246">
        <v>-105</v>
      </c>
      <c r="C246">
        <v>-154</v>
      </c>
      <c r="D246">
        <v>2</v>
      </c>
      <c r="E246">
        <v>-16042</v>
      </c>
      <c r="F246">
        <v>-9</v>
      </c>
      <c r="G246">
        <v>-2</v>
      </c>
      <c r="H246">
        <v>-162</v>
      </c>
      <c r="I246">
        <v>1275</v>
      </c>
      <c r="J246">
        <v>-250</v>
      </c>
      <c r="K246">
        <v>476</v>
      </c>
    </row>
    <row r="247" spans="2:11" x14ac:dyDescent="0.25">
      <c r="B247">
        <v>-24</v>
      </c>
      <c r="C247">
        <v>395</v>
      </c>
      <c r="D247">
        <v>150</v>
      </c>
      <c r="E247">
        <v>102</v>
      </c>
      <c r="F247">
        <v>954</v>
      </c>
      <c r="G247">
        <v>138</v>
      </c>
      <c r="H247">
        <v>-948</v>
      </c>
      <c r="I247">
        <v>3</v>
      </c>
      <c r="J247">
        <v>38</v>
      </c>
      <c r="K247">
        <v>-142</v>
      </c>
    </row>
    <row r="248" spans="2:11" x14ac:dyDescent="0.25">
      <c r="B248">
        <v>-178</v>
      </c>
      <c r="C248">
        <v>-28</v>
      </c>
      <c r="D248">
        <v>-18</v>
      </c>
      <c r="E248">
        <v>-10</v>
      </c>
      <c r="F248">
        <v>-16</v>
      </c>
      <c r="G248">
        <v>797</v>
      </c>
      <c r="H248">
        <v>180</v>
      </c>
      <c r="I248">
        <v>121</v>
      </c>
      <c r="J248">
        <v>34</v>
      </c>
      <c r="K248">
        <v>-2018</v>
      </c>
    </row>
    <row r="249" spans="2:11" x14ac:dyDescent="0.25">
      <c r="B249">
        <v>330</v>
      </c>
      <c r="C249">
        <v>61</v>
      </c>
      <c r="D249">
        <v>58</v>
      </c>
      <c r="E249">
        <v>-723</v>
      </c>
      <c r="F249">
        <v>525</v>
      </c>
      <c r="G249">
        <v>49</v>
      </c>
      <c r="H249">
        <v>19</v>
      </c>
      <c r="I249">
        <v>1119</v>
      </c>
      <c r="J249">
        <v>-216</v>
      </c>
      <c r="K249">
        <v>0</v>
      </c>
    </row>
    <row r="250" spans="2:11" x14ac:dyDescent="0.25">
      <c r="B250">
        <v>1</v>
      </c>
      <c r="C250">
        <v>6971</v>
      </c>
      <c r="D250">
        <v>547</v>
      </c>
      <c r="E250">
        <v>1444</v>
      </c>
      <c r="F250">
        <v>-17503</v>
      </c>
      <c r="G250">
        <v>-84</v>
      </c>
      <c r="H250">
        <v>-6393</v>
      </c>
      <c r="I250">
        <v>41350</v>
      </c>
      <c r="J250">
        <v>122</v>
      </c>
      <c r="K250">
        <v>-37947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AA62"/>
  <sheetViews>
    <sheetView workbookViewId="0">
      <selection activeCell="D10" sqref="D10"/>
    </sheetView>
  </sheetViews>
  <sheetFormatPr defaultRowHeight="15" x14ac:dyDescent="0.25"/>
  <cols>
    <col min="19" max="19" bestFit="true" customWidth="true" width="15.42578125" collapsed="true"/>
    <col min="20" max="20" bestFit="true" customWidth="true" width="9.42578125" collapsed="true"/>
    <col min="21" max="22" bestFit="true" customWidth="true" width="14.42578125" collapsed="true"/>
    <col min="26" max="27" bestFit="true" customWidth="true" width="14.42578125" collapsed="true"/>
  </cols>
  <sheetData>
    <row r="1" spans="1:27" x14ac:dyDescent="0.25">
      <c r="X1" s="92" t="s">
        <v>172</v>
      </c>
    </row>
    <row r="2" spans="1:27" x14ac:dyDescent="0.25">
      <c r="C2" t="s">
        <v>142</v>
      </c>
      <c r="K2" t="s">
        <v>174</v>
      </c>
      <c r="Z2" t="s">
        <v>170</v>
      </c>
      <c r="AA2" t="s">
        <v>171</v>
      </c>
    </row>
    <row r="3" spans="1:27" x14ac:dyDescent="0.25">
      <c r="A3" s="92" t="s">
        <v>147</v>
      </c>
      <c r="X3" s="96">
        <v>1</v>
      </c>
      <c r="Y3" s="96" t="s">
        <v>35</v>
      </c>
      <c r="Z3" s="100">
        <f>VehAvailCoefficient!E11</f>
        <v>-3.7471395627100001</v>
      </c>
      <c r="AA3" s="99">
        <f>V6</f>
        <v>-3.7465289288921642</v>
      </c>
    </row>
    <row r="4" spans="1:27" ht="15.75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X4" s="96">
        <v>2</v>
      </c>
      <c r="Y4" s="96" t="s">
        <v>37</v>
      </c>
      <c r="Z4" s="100">
        <f>VehAvailCoefficient!E12</f>
        <v>-2.1297115852199999</v>
      </c>
      <c r="AA4" s="99">
        <f t="shared" ref="AA4:AA19" si="0">V7</f>
        <v>-2.1475797433720616</v>
      </c>
    </row>
    <row r="5" spans="1:27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93" t="s">
        <v>149</v>
      </c>
      <c r="R5" s="93" t="s">
        <v>98</v>
      </c>
      <c r="S5" s="93" t="s">
        <v>150</v>
      </c>
      <c r="T5" s="93" t="s">
        <v>151</v>
      </c>
      <c r="U5" s="93" t="s">
        <v>152</v>
      </c>
      <c r="V5" s="93" t="s">
        <v>153</v>
      </c>
      <c r="X5" s="96">
        <v>3</v>
      </c>
      <c r="Y5" s="96" t="s">
        <v>38</v>
      </c>
      <c r="Z5" s="100">
        <f>VehAvailCoefficient!E13</f>
        <v>-3.96633437255</v>
      </c>
      <c r="AA5" s="99">
        <f t="shared" si="0"/>
        <v>-3.9858464374956588</v>
      </c>
    </row>
    <row r="6" spans="1:27" x14ac:dyDescent="0.25">
      <c r="A6" s="3">
        <v>1</v>
      </c>
      <c r="B6" s="4">
        <f>Vehicles_by_HHDrivers!B16</f>
        <v>33345.05203516347</v>
      </c>
      <c r="C6" s="4">
        <f>Vehicles_by_HHDrivers!C16</f>
        <v>145233.36778845458</v>
      </c>
      <c r="D6" s="4">
        <f>Vehicles_by_HHDrivers!D16</f>
        <v>20432.509501777815</v>
      </c>
      <c r="E6" s="4">
        <f>Vehicles_by_HHDrivers!E16</f>
        <v>3264.84888142815</v>
      </c>
      <c r="F6" s="4">
        <f>Vehicles_by_HHDrivers!F16</f>
        <v>1310.2217931760199</v>
      </c>
      <c r="G6" s="4">
        <f>SUM(B6:F6)</f>
        <v>203586.00000000006</v>
      </c>
      <c r="I6" s="3">
        <v>1</v>
      </c>
      <c r="J6" s="4">
        <f>Vehicles_by_HHDrivers!R16</f>
        <v>33413</v>
      </c>
      <c r="K6" s="4">
        <f>Vehicles_by_HHDrivers!S16</f>
        <v>145979</v>
      </c>
      <c r="L6" s="4">
        <f>Vehicles_by_HHDrivers!T16</f>
        <v>20856</v>
      </c>
      <c r="M6" s="4">
        <f>Vehicles_by_HHDrivers!U16</f>
        <v>3338</v>
      </c>
      <c r="N6" s="4">
        <f>Vehicles_by_HHDrivers!V16</f>
        <v>0</v>
      </c>
      <c r="O6" s="4">
        <f>SUM(J6:N6)</f>
        <v>203586</v>
      </c>
      <c r="Q6">
        <v>1</v>
      </c>
      <c r="R6" t="s">
        <v>99</v>
      </c>
      <c r="S6" s="97">
        <f>Z3</f>
        <v>-3.7471395627100001</v>
      </c>
      <c r="T6" s="94">
        <f>B15/J15</f>
        <v>0.99796642130797775</v>
      </c>
      <c r="U6" s="97">
        <f>LN(T6)-LN($T$22)</f>
        <v>6.1063381783581618E-4</v>
      </c>
      <c r="V6" s="97">
        <f>S6+U6</f>
        <v>-3.7465289288921642</v>
      </c>
      <c r="X6" s="96">
        <v>4</v>
      </c>
      <c r="Y6" s="96" t="s">
        <v>39</v>
      </c>
      <c r="Z6" s="100">
        <f>VehAvailCoefficient!E14</f>
        <v>-11.219392631330001</v>
      </c>
      <c r="AA6" s="99">
        <f t="shared" si="0"/>
        <v>-12.151921742881035</v>
      </c>
    </row>
    <row r="7" spans="1:27" x14ac:dyDescent="0.25">
      <c r="A7" s="3">
        <v>2</v>
      </c>
      <c r="B7" s="4">
        <f>Vehicles_by_HHDrivers!B17</f>
        <v>3998.9881452220425</v>
      </c>
      <c r="C7" s="4">
        <f>Vehicles_by_HHDrivers!C17</f>
        <v>44258.017274007405</v>
      </c>
      <c r="D7" s="4">
        <f>Vehicles_by_HHDrivers!D17</f>
        <v>180426.94136427419</v>
      </c>
      <c r="E7" s="4">
        <f>Vehicles_by_HHDrivers!E17</f>
        <v>46797.188050055986</v>
      </c>
      <c r="F7" s="4">
        <f>Vehicles_by_HHDrivers!F17</f>
        <v>15208.865166440402</v>
      </c>
      <c r="G7" s="4">
        <f t="shared" ref="G7:G10" si="1">SUM(B7:F7)</f>
        <v>290690</v>
      </c>
      <c r="I7" s="3">
        <v>2</v>
      </c>
      <c r="J7" s="4">
        <f>Vehicles_by_HHDrivers!R17</f>
        <v>3939</v>
      </c>
      <c r="K7" s="4">
        <f>Vehicles_by_HHDrivers!S17</f>
        <v>45629</v>
      </c>
      <c r="L7" s="4">
        <f>Vehicles_by_HHDrivers!T17</f>
        <v>178373</v>
      </c>
      <c r="M7" s="4">
        <f>Vehicles_by_HHDrivers!U17</f>
        <v>47280</v>
      </c>
      <c r="N7" s="4">
        <f>Vehicles_by_HHDrivers!V17</f>
        <v>15469</v>
      </c>
      <c r="O7" s="4">
        <f t="shared" ref="O7:O10" si="2">SUM(J7:N7)</f>
        <v>290690</v>
      </c>
      <c r="Q7">
        <v>2</v>
      </c>
      <c r="R7" t="s">
        <v>99</v>
      </c>
      <c r="S7" s="97">
        <f t="shared" ref="S7:S22" si="3">Z4</f>
        <v>-2.1297115852199999</v>
      </c>
      <c r="T7" s="94">
        <f>D15/L15</f>
        <v>0.97969454841665771</v>
      </c>
      <c r="U7" s="97">
        <f t="shared" ref="U7:U22" si="4">LN(T7)-LN($T$22)</f>
        <v>-1.7868158152061553E-2</v>
      </c>
      <c r="V7" s="97">
        <f t="shared" ref="V7:V22" si="5">S7+U7</f>
        <v>-2.1475797433720616</v>
      </c>
      <c r="X7" s="96">
        <v>5</v>
      </c>
      <c r="Y7" s="96" t="s">
        <v>40</v>
      </c>
      <c r="Z7" s="100">
        <f>VehAvailCoefficient!E15</f>
        <v>-5.0125223934900003</v>
      </c>
      <c r="AA7" s="99">
        <f t="shared" si="0"/>
        <v>-4.9947616290155423</v>
      </c>
    </row>
    <row r="8" spans="1:27" x14ac:dyDescent="0.25">
      <c r="A8" s="3">
        <v>3</v>
      </c>
      <c r="B8" s="4">
        <f>Vehicles_by_HHDrivers!B18</f>
        <v>803.50778008884345</v>
      </c>
      <c r="C8" s="4">
        <f>Vehicles_by_HHDrivers!C18</f>
        <v>5153.7050978061798</v>
      </c>
      <c r="D8" s="4">
        <f>Vehicles_by_HHDrivers!D18</f>
        <v>17715.990996394488</v>
      </c>
      <c r="E8" s="4">
        <f>Vehicles_by_HHDrivers!E18</f>
        <v>37341.525259616596</v>
      </c>
      <c r="F8" s="4">
        <f>Vehicles_by_HHDrivers!F18</f>
        <v>12300.270866093902</v>
      </c>
      <c r="G8" s="4">
        <f t="shared" si="1"/>
        <v>73315</v>
      </c>
      <c r="I8" s="3">
        <v>3</v>
      </c>
      <c r="J8" s="4">
        <f>Vehicles_by_HHDrivers!R18</f>
        <v>787</v>
      </c>
      <c r="K8" s="4">
        <f>Vehicles_by_HHDrivers!S18</f>
        <v>4974</v>
      </c>
      <c r="L8" s="4">
        <f>Vehicles_by_HHDrivers!T18</f>
        <v>17789</v>
      </c>
      <c r="M8" s="4">
        <f>Vehicles_by_HHDrivers!U18</f>
        <v>37915</v>
      </c>
      <c r="N8" s="4">
        <f>Vehicles_by_HHDrivers!V18</f>
        <v>11850</v>
      </c>
      <c r="O8" s="4">
        <f t="shared" si="2"/>
        <v>73315</v>
      </c>
      <c r="Q8">
        <v>3</v>
      </c>
      <c r="R8" t="s">
        <v>99</v>
      </c>
      <c r="S8" s="97">
        <f t="shared" si="3"/>
        <v>-3.96633437255</v>
      </c>
      <c r="T8" s="94">
        <f>E15/M15</f>
        <v>0.97808534494552113</v>
      </c>
      <c r="U8" s="97">
        <f t="shared" si="4"/>
        <v>-1.9512064945658859E-2</v>
      </c>
      <c r="V8" s="97">
        <f t="shared" si="5"/>
        <v>-3.9858464374956588</v>
      </c>
      <c r="X8" s="96">
        <v>6</v>
      </c>
      <c r="Y8" s="96" t="s">
        <v>41</v>
      </c>
      <c r="Z8" s="100">
        <f>VehAvailCoefficient!E16</f>
        <v>-1.8563745465099999</v>
      </c>
      <c r="AA8" s="99">
        <f t="shared" si="0"/>
        <v>-1.8842352063880128</v>
      </c>
    </row>
    <row r="9" spans="1:27" x14ac:dyDescent="0.25">
      <c r="A9" s="5" t="s">
        <v>3</v>
      </c>
      <c r="B9" s="4">
        <f>Vehicles_by_HHDrivers!B19</f>
        <v>144.03467708523084</v>
      </c>
      <c r="C9" s="4">
        <f>Vehicles_by_HHDrivers!C19</f>
        <v>3979.2852547539965</v>
      </c>
      <c r="D9" s="4">
        <f>Vehicles_by_HHDrivers!D19</f>
        <v>4056.9851896163477</v>
      </c>
      <c r="E9" s="4">
        <f>Vehicles_by_HHDrivers!E19</f>
        <v>14247.352593640147</v>
      </c>
      <c r="F9" s="4">
        <f>Vehicles_by_HHDrivers!F19</f>
        <v>10546.342284904282</v>
      </c>
      <c r="G9" s="6">
        <f t="shared" si="1"/>
        <v>32974.000000000007</v>
      </c>
      <c r="I9" s="5" t="s">
        <v>3</v>
      </c>
      <c r="J9" s="4">
        <f>Vehicles_by_HHDrivers!R19</f>
        <v>113</v>
      </c>
      <c r="K9" s="4">
        <f>Vehicles_by_HHDrivers!S19</f>
        <v>3613</v>
      </c>
      <c r="L9" s="4">
        <f>Vehicles_by_HHDrivers!T19</f>
        <v>3749</v>
      </c>
      <c r="M9" s="4">
        <f>Vehicles_by_HHDrivers!U19</f>
        <v>13228</v>
      </c>
      <c r="N9" s="4">
        <f>Vehicles_by_HHDrivers!V19</f>
        <v>12271</v>
      </c>
      <c r="O9" s="6">
        <f t="shared" si="2"/>
        <v>32974</v>
      </c>
      <c r="Q9">
        <v>4</v>
      </c>
      <c r="R9" t="s">
        <v>99</v>
      </c>
      <c r="S9" s="97">
        <f t="shared" si="3"/>
        <v>-11.219392631330001</v>
      </c>
      <c r="T9" s="94">
        <f>F15/M15</f>
        <v>0.3925170141330197</v>
      </c>
      <c r="U9" s="97">
        <f t="shared" si="4"/>
        <v>-0.9325291115510338</v>
      </c>
      <c r="V9" s="97">
        <f t="shared" si="5"/>
        <v>-12.151921742881035</v>
      </c>
      <c r="X9" s="96">
        <v>7</v>
      </c>
      <c r="Y9" s="96" t="s">
        <v>42</v>
      </c>
      <c r="Z9" s="100">
        <f>VehAvailCoefficient!E17</f>
        <v>-1.3964239432800001</v>
      </c>
      <c r="AA9" s="99">
        <f t="shared" si="0"/>
        <v>-1.4040419166213569</v>
      </c>
    </row>
    <row r="10" spans="1:27" ht="15.75" thickBot="1" x14ac:dyDescent="0.3">
      <c r="A10" s="7" t="s">
        <v>4</v>
      </c>
      <c r="B10" s="8">
        <f>SUM(B6:B9)</f>
        <v>38291.582637559593</v>
      </c>
      <c r="C10" s="8">
        <f t="shared" ref="C10:F10" si="6">SUM(C6:C9)</f>
        <v>198624.37541502216</v>
      </c>
      <c r="D10" s="8">
        <f t="shared" si="6"/>
        <v>222632.42705206285</v>
      </c>
      <c r="E10" s="8">
        <f t="shared" si="6"/>
        <v>101650.91478474087</v>
      </c>
      <c r="F10" s="8">
        <f t="shared" si="6"/>
        <v>39365.700110614605</v>
      </c>
      <c r="G10" s="8">
        <f t="shared" si="1"/>
        <v>600565.00000000012</v>
      </c>
      <c r="I10" s="7" t="s">
        <v>4</v>
      </c>
      <c r="J10" s="8">
        <f>SUM(J6:J9)</f>
        <v>38252</v>
      </c>
      <c r="K10" s="8">
        <f t="shared" ref="K10:N10" si="7">SUM(K6:K9)</f>
        <v>200195</v>
      </c>
      <c r="L10" s="8">
        <f t="shared" si="7"/>
        <v>220767</v>
      </c>
      <c r="M10" s="8">
        <f t="shared" si="7"/>
        <v>101761</v>
      </c>
      <c r="N10" s="8">
        <f t="shared" si="7"/>
        <v>39590</v>
      </c>
      <c r="O10" s="8">
        <f t="shared" si="2"/>
        <v>600565</v>
      </c>
      <c r="Q10">
        <v>5</v>
      </c>
      <c r="R10" t="s">
        <v>100</v>
      </c>
      <c r="S10" s="97">
        <f t="shared" si="3"/>
        <v>-5.0125223934900003</v>
      </c>
      <c r="T10" s="94">
        <f>B16/J16</f>
        <v>1.0152292828692666</v>
      </c>
      <c r="U10" s="97">
        <f t="shared" si="4"/>
        <v>1.7760764474457874E-2</v>
      </c>
      <c r="V10" s="97">
        <f t="shared" si="5"/>
        <v>-4.9947616290155423</v>
      </c>
      <c r="X10" s="96">
        <v>8</v>
      </c>
      <c r="Y10" s="96" t="s">
        <v>43</v>
      </c>
      <c r="Z10" s="100">
        <f>VehAvailCoefficient!E18</f>
        <v>-2.3942936803500001</v>
      </c>
      <c r="AA10" s="99">
        <f t="shared" si="0"/>
        <v>-2.4086069260947394</v>
      </c>
    </row>
    <row r="11" spans="1:27" x14ac:dyDescent="0.25">
      <c r="G11" s="4"/>
      <c r="O11" s="4"/>
      <c r="Q11">
        <v>6</v>
      </c>
      <c r="R11" t="s">
        <v>100</v>
      </c>
      <c r="S11" s="97">
        <f t="shared" si="3"/>
        <v>-1.8563745465099999</v>
      </c>
      <c r="T11" s="94">
        <f>C16/K16</f>
        <v>0.96995369773625095</v>
      </c>
      <c r="U11" s="97">
        <f t="shared" si="4"/>
        <v>-2.7860659878012992E-2</v>
      </c>
      <c r="V11" s="97">
        <f t="shared" si="5"/>
        <v>-1.8842352063880128</v>
      </c>
      <c r="X11" s="96">
        <v>9</v>
      </c>
      <c r="Y11" s="96" t="s">
        <v>44</v>
      </c>
      <c r="Z11" s="100">
        <f>VehAvailCoefficient!E19</f>
        <v>-4.9201833156500001</v>
      </c>
      <c r="AA11" s="99">
        <f t="shared" si="0"/>
        <v>-4.8967784131491481</v>
      </c>
    </row>
    <row r="12" spans="1:27" x14ac:dyDescent="0.25">
      <c r="A12" s="92" t="s">
        <v>148</v>
      </c>
      <c r="Q12">
        <v>7</v>
      </c>
      <c r="R12" t="s">
        <v>100</v>
      </c>
      <c r="S12" s="97">
        <f t="shared" si="3"/>
        <v>-1.3964239432800001</v>
      </c>
      <c r="T12" s="94">
        <f>E16/M16</f>
        <v>0.98978824132944121</v>
      </c>
      <c r="U12" s="97">
        <f t="shared" si="4"/>
        <v>-7.6179733413569012E-3</v>
      </c>
      <c r="V12" s="97">
        <f t="shared" si="5"/>
        <v>-1.4040419166213569</v>
      </c>
      <c r="X12" s="96">
        <v>10</v>
      </c>
      <c r="Y12" s="96" t="s">
        <v>45</v>
      </c>
      <c r="Z12" s="100">
        <f>VehAvailCoefficient!E20</f>
        <v>-2.29401614977</v>
      </c>
      <c r="AA12" s="99">
        <f t="shared" si="0"/>
        <v>-2.255878319640169</v>
      </c>
    </row>
    <row r="13" spans="1:27" ht="15.75" thickBot="1" x14ac:dyDescent="0.3">
      <c r="A13" s="12"/>
      <c r="B13" s="10" t="s">
        <v>2</v>
      </c>
      <c r="C13" s="9"/>
      <c r="D13" s="9"/>
      <c r="E13" s="9"/>
      <c r="F13" s="9"/>
      <c r="G13" s="9"/>
      <c r="I13" s="12"/>
      <c r="J13" s="10" t="s">
        <v>2</v>
      </c>
      <c r="K13" s="9"/>
      <c r="L13" s="9"/>
      <c r="M13" s="9"/>
      <c r="N13" s="9"/>
      <c r="O13" s="9"/>
      <c r="Q13">
        <v>8</v>
      </c>
      <c r="R13" t="s">
        <v>100</v>
      </c>
      <c r="S13" s="97">
        <f t="shared" si="3"/>
        <v>-2.3942936803500001</v>
      </c>
      <c r="T13" s="94">
        <f>F16/N16</f>
        <v>0.98318347446120624</v>
      </c>
      <c r="U13" s="97">
        <f t="shared" si="4"/>
        <v>-1.4313245744739068E-2</v>
      </c>
      <c r="V13" s="97">
        <f t="shared" si="5"/>
        <v>-2.4086069260947394</v>
      </c>
      <c r="X13" s="96">
        <v>11</v>
      </c>
      <c r="Y13" s="96" t="s">
        <v>46</v>
      </c>
      <c r="Z13" s="100">
        <f>VehAvailCoefficient!E21</f>
        <v>-1.4446352364099999</v>
      </c>
      <c r="AA13" s="99">
        <f t="shared" si="0"/>
        <v>-1.4461015642726427</v>
      </c>
    </row>
    <row r="14" spans="1:27" x14ac:dyDescent="0.25">
      <c r="A14" s="11" t="s">
        <v>1</v>
      </c>
      <c r="B14" s="2">
        <v>0</v>
      </c>
      <c r="C14" s="2">
        <v>1</v>
      </c>
      <c r="D14" s="2">
        <v>2</v>
      </c>
      <c r="E14" s="2">
        <v>3</v>
      </c>
      <c r="F14" s="2" t="s">
        <v>3</v>
      </c>
      <c r="G14" s="2" t="s">
        <v>4</v>
      </c>
      <c r="I14" s="11" t="s">
        <v>1</v>
      </c>
      <c r="J14" s="2">
        <v>0</v>
      </c>
      <c r="K14" s="2">
        <v>1</v>
      </c>
      <c r="L14" s="2">
        <v>2</v>
      </c>
      <c r="M14" s="2">
        <v>3</v>
      </c>
      <c r="N14" s="2" t="s">
        <v>3</v>
      </c>
      <c r="O14" s="2" t="s">
        <v>4</v>
      </c>
      <c r="Q14">
        <v>9</v>
      </c>
      <c r="R14" t="s">
        <v>101</v>
      </c>
      <c r="S14" s="97">
        <f t="shared" si="3"/>
        <v>-4.9201833156500001</v>
      </c>
      <c r="T14" s="94">
        <f>B17/J17</f>
        <v>1.0209755782577425</v>
      </c>
      <c r="U14" s="97">
        <f t="shared" si="4"/>
        <v>2.3404902500851716E-2</v>
      </c>
      <c r="V14" s="97">
        <f t="shared" si="5"/>
        <v>-4.8967784131491481</v>
      </c>
      <c r="X14" s="96">
        <v>12</v>
      </c>
      <c r="Y14" s="96" t="s">
        <v>47</v>
      </c>
      <c r="Z14" s="100">
        <f>VehAvailCoefficient!E22</f>
        <v>-0.81535992723999995</v>
      </c>
      <c r="AA14" s="99">
        <f t="shared" si="0"/>
        <v>-0.77542022801305244</v>
      </c>
    </row>
    <row r="15" spans="1:27" x14ac:dyDescent="0.25">
      <c r="A15" s="3">
        <v>1</v>
      </c>
      <c r="B15" s="17">
        <f>B6/$G$10</f>
        <v>5.5522802752680331E-2</v>
      </c>
      <c r="C15" s="17">
        <f t="shared" ref="C15:G15" si="8">C6/$G$10</f>
        <v>0.24182789171605829</v>
      </c>
      <c r="D15" s="17">
        <f t="shared" si="8"/>
        <v>3.4022144983103929E-2</v>
      </c>
      <c r="E15" s="17">
        <f t="shared" si="8"/>
        <v>5.4362956240009809E-3</v>
      </c>
      <c r="F15" s="17">
        <f t="shared" si="8"/>
        <v>2.1816486028590071E-3</v>
      </c>
      <c r="G15" s="17">
        <f t="shared" si="8"/>
        <v>0.33899078367870261</v>
      </c>
      <c r="I15" s="3">
        <v>1</v>
      </c>
      <c r="J15" s="17">
        <f>J6/$O$10</f>
        <v>5.5635942820510688E-2</v>
      </c>
      <c r="K15" s="17">
        <f t="shared" ref="K15:O15" si="9">K6/$O$10</f>
        <v>0.24306944294123034</v>
      </c>
      <c r="L15" s="17">
        <f t="shared" si="9"/>
        <v>3.472729846061625E-2</v>
      </c>
      <c r="M15" s="17">
        <f t="shared" si="9"/>
        <v>5.5580994563452744E-3</v>
      </c>
      <c r="N15" s="17">
        <f t="shared" si="9"/>
        <v>0</v>
      </c>
      <c r="O15" s="17">
        <f t="shared" si="9"/>
        <v>0.33899078367870256</v>
      </c>
      <c r="Q15">
        <v>10</v>
      </c>
      <c r="R15" t="s">
        <v>101</v>
      </c>
      <c r="S15" s="97">
        <f t="shared" si="3"/>
        <v>-2.29401614977</v>
      </c>
      <c r="T15" s="94">
        <f>C17/K17</f>
        <v>1.036128889788134</v>
      </c>
      <c r="U15" s="97">
        <f t="shared" si="4"/>
        <v>3.8137830129830901E-2</v>
      </c>
      <c r="V15" s="97">
        <f t="shared" si="5"/>
        <v>-2.255878319640169</v>
      </c>
      <c r="X15" s="96">
        <v>13</v>
      </c>
      <c r="Y15" s="96" t="s">
        <v>48</v>
      </c>
      <c r="Z15" s="100">
        <f>VehAvailCoefficient!E23</f>
        <v>-5.3216543706600001</v>
      </c>
      <c r="AA15" s="99">
        <f t="shared" si="0"/>
        <v>-5.0763418226567403</v>
      </c>
    </row>
    <row r="16" spans="1:27" x14ac:dyDescent="0.25">
      <c r="A16" s="3">
        <v>2</v>
      </c>
      <c r="B16" s="17">
        <f t="shared" ref="B16:G16" si="10">B7/$G$10</f>
        <v>6.6587099568273904E-3</v>
      </c>
      <c r="C16" s="17">
        <f t="shared" si="10"/>
        <v>7.3693966971114522E-2</v>
      </c>
      <c r="D16" s="17">
        <f t="shared" si="10"/>
        <v>0.30042866528065099</v>
      </c>
      <c r="E16" s="17">
        <f t="shared" si="10"/>
        <v>7.7921936926154498E-2</v>
      </c>
      <c r="F16" s="17">
        <f t="shared" si="10"/>
        <v>2.5324261597729471E-2</v>
      </c>
      <c r="G16" s="17">
        <f t="shared" si="10"/>
        <v>0.48402754073247684</v>
      </c>
      <c r="I16" s="3">
        <v>2</v>
      </c>
      <c r="J16" s="17">
        <f t="shared" ref="J16:O16" si="11">J7/$O$10</f>
        <v>6.5588237742792207E-3</v>
      </c>
      <c r="K16" s="17">
        <f t="shared" si="11"/>
        <v>7.5976788524139763E-2</v>
      </c>
      <c r="L16" s="17">
        <f t="shared" si="11"/>
        <v>0.29700865018773986</v>
      </c>
      <c r="M16" s="17">
        <f t="shared" si="11"/>
        <v>7.8725866475735345E-2</v>
      </c>
      <c r="N16" s="17">
        <f t="shared" si="11"/>
        <v>2.5757411770582703E-2</v>
      </c>
      <c r="O16" s="17">
        <f t="shared" si="11"/>
        <v>0.48402754073247689</v>
      </c>
      <c r="Q16">
        <v>11</v>
      </c>
      <c r="R16" t="s">
        <v>101</v>
      </c>
      <c r="S16" s="97">
        <f t="shared" si="3"/>
        <v>-1.4446352364099999</v>
      </c>
      <c r="T16" s="94">
        <f>D17/L17</f>
        <v>0.99589583430178685</v>
      </c>
      <c r="U16" s="97">
        <f t="shared" si="4"/>
        <v>-1.4663278626428824E-3</v>
      </c>
      <c r="V16" s="97">
        <f t="shared" si="5"/>
        <v>-1.4461015642726427</v>
      </c>
      <c r="X16" s="96">
        <v>14</v>
      </c>
      <c r="Y16" s="96" t="s">
        <v>49</v>
      </c>
      <c r="Z16" s="100">
        <f>VehAvailCoefficient!E24</f>
        <v>-1.1261276811700001</v>
      </c>
      <c r="AA16" s="99">
        <f t="shared" si="0"/>
        <v>-1.0269176313604627</v>
      </c>
    </row>
    <row r="17" spans="1:27" x14ac:dyDescent="0.25">
      <c r="A17" s="3">
        <v>3</v>
      </c>
      <c r="B17" s="17">
        <f t="shared" ref="B17:G17" si="12">B8/$G$10</f>
        <v>1.3379197590416413E-3</v>
      </c>
      <c r="C17" s="17">
        <f t="shared" si="12"/>
        <v>8.581427651971358E-3</v>
      </c>
      <c r="D17" s="17">
        <f t="shared" si="12"/>
        <v>2.9498873554726773E-2</v>
      </c>
      <c r="E17" s="17">
        <f t="shared" si="12"/>
        <v>6.2177325118208004E-2</v>
      </c>
      <c r="F17" s="17">
        <f t="shared" si="12"/>
        <v>2.0481165013102494E-2</v>
      </c>
      <c r="G17" s="17">
        <f t="shared" si="12"/>
        <v>0.12207671109705025</v>
      </c>
      <c r="I17" s="3">
        <v>3</v>
      </c>
      <c r="J17" s="17">
        <f t="shared" ref="J17:O17" si="13">J8/$O$10</f>
        <v>1.3104326758968637E-3</v>
      </c>
      <c r="K17" s="17">
        <f t="shared" si="13"/>
        <v>8.2822009274599751E-3</v>
      </c>
      <c r="L17" s="17">
        <f t="shared" si="13"/>
        <v>2.9620440751625551E-2</v>
      </c>
      <c r="M17" s="17">
        <f t="shared" si="13"/>
        <v>6.3132217162172294E-2</v>
      </c>
      <c r="N17" s="17">
        <f t="shared" si="13"/>
        <v>1.9731419579895597E-2</v>
      </c>
      <c r="O17" s="17">
        <f t="shared" si="13"/>
        <v>0.12207671109705028</v>
      </c>
      <c r="Q17">
        <v>12</v>
      </c>
      <c r="R17" t="s">
        <v>101</v>
      </c>
      <c r="S17" s="97">
        <f t="shared" si="3"/>
        <v>-0.81535992723999995</v>
      </c>
      <c r="T17" s="94">
        <f>F17/N17</f>
        <v>1.0379975414425233</v>
      </c>
      <c r="U17" s="97">
        <f t="shared" si="4"/>
        <v>3.9939699226947463E-2</v>
      </c>
      <c r="V17" s="97">
        <f t="shared" si="5"/>
        <v>-0.77542022801305244</v>
      </c>
      <c r="X17" s="96">
        <v>15</v>
      </c>
      <c r="Y17" s="96" t="s">
        <v>50</v>
      </c>
      <c r="Z17" s="100">
        <f>VehAvailCoefficient!E25</f>
        <v>-1.6372198765899999</v>
      </c>
      <c r="AA17" s="99">
        <f t="shared" si="0"/>
        <v>-1.5556225976628066</v>
      </c>
    </row>
    <row r="18" spans="1:27" x14ac:dyDescent="0.25">
      <c r="A18" s="5" t="s">
        <v>3</v>
      </c>
      <c r="B18" s="18">
        <f t="shared" ref="B18:G18" si="14">B9/$G$10</f>
        <v>2.3983195338594625E-4</v>
      </c>
      <c r="C18" s="18">
        <f t="shared" si="14"/>
        <v>6.6259026995479182E-3</v>
      </c>
      <c r="D18" s="18">
        <f t="shared" si="14"/>
        <v>6.755280759978265E-3</v>
      </c>
      <c r="E18" s="18">
        <f t="shared" si="14"/>
        <v>2.3723248263951686E-2</v>
      </c>
      <c r="F18" s="18">
        <f t="shared" si="14"/>
        <v>1.7560700814906429E-2</v>
      </c>
      <c r="G18" s="17">
        <f t="shared" si="14"/>
        <v>5.490496449177025E-2</v>
      </c>
      <c r="I18" s="5" t="s">
        <v>3</v>
      </c>
      <c r="J18" s="17">
        <f t="shared" ref="J18:O18" si="15">J9/$O$10</f>
        <v>1.8815615295596647E-4</v>
      </c>
      <c r="K18" s="17">
        <f t="shared" si="15"/>
        <v>6.0160015984947511E-3</v>
      </c>
      <c r="L18" s="17">
        <f t="shared" si="15"/>
        <v>6.242455021521401E-3</v>
      </c>
      <c r="M18" s="17">
        <f t="shared" si="15"/>
        <v>2.2025925586739156E-2</v>
      </c>
      <c r="N18" s="17">
        <f t="shared" si="15"/>
        <v>2.0432426132058978E-2</v>
      </c>
      <c r="O18" s="17">
        <f t="shared" si="15"/>
        <v>5.490496449177025E-2</v>
      </c>
      <c r="Q18">
        <v>13</v>
      </c>
      <c r="R18" t="s">
        <v>102</v>
      </c>
      <c r="S18" s="97">
        <f t="shared" si="3"/>
        <v>-5.3216543706600001</v>
      </c>
      <c r="T18" s="94">
        <f>B18/J18</f>
        <v>1.2746431600462904</v>
      </c>
      <c r="U18" s="97">
        <f t="shared" si="4"/>
        <v>0.24531254800326022</v>
      </c>
      <c r="V18" s="97">
        <f t="shared" si="5"/>
        <v>-5.0763418226567403</v>
      </c>
      <c r="X18" s="96">
        <v>16</v>
      </c>
      <c r="Y18" s="96" t="s">
        <v>51</v>
      </c>
      <c r="Z18" s="100">
        <f>VehAvailCoefficient!E26</f>
        <v>-0.59991414110999997</v>
      </c>
      <c r="AA18" s="99">
        <f t="shared" si="0"/>
        <v>-0.52303254663857601</v>
      </c>
    </row>
    <row r="19" spans="1:27" ht="15.75" thickBot="1" x14ac:dyDescent="0.3">
      <c r="A19" s="7" t="s">
        <v>4</v>
      </c>
      <c r="B19" s="19">
        <f>B10/$G$10</f>
        <v>6.3759264421935316E-2</v>
      </c>
      <c r="C19" s="19">
        <f t="shared" ref="C19:G19" si="16">C10/$G$10</f>
        <v>0.33072918903869208</v>
      </c>
      <c r="D19" s="19">
        <f t="shared" si="16"/>
        <v>0.37070496457845997</v>
      </c>
      <c r="E19" s="19">
        <f t="shared" si="16"/>
        <v>0.16925880593231515</v>
      </c>
      <c r="F19" s="19">
        <f t="shared" si="16"/>
        <v>6.5547776028597404E-2</v>
      </c>
      <c r="G19" s="19">
        <f t="shared" si="16"/>
        <v>1</v>
      </c>
      <c r="I19" s="7" t="s">
        <v>4</v>
      </c>
      <c r="J19" s="19">
        <f>J10/$O$10</f>
        <v>6.3693355423642739E-2</v>
      </c>
      <c r="K19" s="19">
        <f t="shared" ref="K19:N19" si="17">K10/$O$10</f>
        <v>0.33334443399132485</v>
      </c>
      <c r="L19" s="19">
        <f t="shared" si="17"/>
        <v>0.36759884442150309</v>
      </c>
      <c r="M19" s="19">
        <f t="shared" si="17"/>
        <v>0.16944210868099208</v>
      </c>
      <c r="N19" s="19">
        <f t="shared" si="17"/>
        <v>6.5921257482537271E-2</v>
      </c>
      <c r="O19" s="19">
        <f t="shared" ref="O19" si="18">SUM(J19:N19)</f>
        <v>1</v>
      </c>
      <c r="Q19">
        <v>14</v>
      </c>
      <c r="R19" t="s">
        <v>102</v>
      </c>
      <c r="S19" s="97">
        <f t="shared" si="3"/>
        <v>-1.1261276811700001</v>
      </c>
      <c r="T19" s="94">
        <f>C18/K18</f>
        <v>1.1013798103387753</v>
      </c>
      <c r="U19" s="97">
        <f t="shared" si="4"/>
        <v>9.9210049809537432E-2</v>
      </c>
      <c r="V19" s="97">
        <f t="shared" si="5"/>
        <v>-1.0269176313604627</v>
      </c>
      <c r="X19" s="96">
        <v>18</v>
      </c>
      <c r="Y19" s="96" t="s">
        <v>52</v>
      </c>
      <c r="Z19" s="100">
        <f>VehAvailCoefficient!E27</f>
        <v>0.39953921787000002</v>
      </c>
      <c r="AA19" s="99">
        <f t="shared" si="0"/>
        <v>0.39953921787000002</v>
      </c>
    </row>
    <row r="20" spans="1:27" x14ac:dyDescent="0.25">
      <c r="Q20">
        <v>15</v>
      </c>
      <c r="R20" t="s">
        <v>102</v>
      </c>
      <c r="S20" s="97">
        <f t="shared" si="3"/>
        <v>-1.6372198765899999</v>
      </c>
      <c r="T20" s="94">
        <f>D18/L18</f>
        <v>1.0821512909086013</v>
      </c>
      <c r="U20" s="97">
        <f t="shared" si="4"/>
        <v>8.1597278927193179E-2</v>
      </c>
      <c r="V20" s="97">
        <f t="shared" si="5"/>
        <v>-1.5556225976628066</v>
      </c>
      <c r="X20">
        <v>19</v>
      </c>
      <c r="Y20" t="s">
        <v>53</v>
      </c>
      <c r="Z20" s="98">
        <f>VehAvailCoefficient!E28</f>
        <v>0.69903044631199995</v>
      </c>
      <c r="AA20" s="99">
        <v>0.69903044631199995</v>
      </c>
    </row>
    <row r="21" spans="1:27" x14ac:dyDescent="0.25">
      <c r="Q21">
        <v>16</v>
      </c>
      <c r="R21" t="s">
        <v>102</v>
      </c>
      <c r="S21" s="97">
        <f t="shared" si="3"/>
        <v>-0.59991414110999997</v>
      </c>
      <c r="T21" s="94">
        <f>E18/M18</f>
        <v>1.0770602202630892</v>
      </c>
      <c r="U21" s="97">
        <f t="shared" si="4"/>
        <v>7.6881594471423953E-2</v>
      </c>
      <c r="V21" s="97">
        <f t="shared" si="5"/>
        <v>-0.52303254663857601</v>
      </c>
      <c r="X21">
        <v>20</v>
      </c>
      <c r="Y21" t="s">
        <v>54</v>
      </c>
      <c r="Z21" s="98">
        <f>VehAvailCoefficient!E29</f>
        <v>0.32485446959800002</v>
      </c>
      <c r="AA21" s="99">
        <v>0.32485446959800002</v>
      </c>
    </row>
    <row r="22" spans="1:27" ht="15.75" thickBot="1" x14ac:dyDescent="0.3">
      <c r="Q22" s="101">
        <v>18</v>
      </c>
      <c r="R22" s="104" t="s">
        <v>173</v>
      </c>
      <c r="S22" s="102">
        <f t="shared" si="3"/>
        <v>0.39953921787000002</v>
      </c>
      <c r="T22" s="103">
        <f>(C15+D16+E17+F18)/(K15+L16+M17+N18)</f>
        <v>0.99735721528189303</v>
      </c>
      <c r="U22" s="102">
        <f t="shared" si="4"/>
        <v>0</v>
      </c>
      <c r="V22" s="102">
        <f t="shared" si="5"/>
        <v>0.39953921787000002</v>
      </c>
      <c r="X22">
        <v>22</v>
      </c>
      <c r="Y22" t="s">
        <v>55</v>
      </c>
      <c r="Z22" s="98">
        <f>VehAvailCoefficient!E30</f>
        <v>-0.43856128772000003</v>
      </c>
      <c r="AA22" s="99">
        <v>-0.43856128772000003</v>
      </c>
    </row>
    <row r="23" spans="1:27" x14ac:dyDescent="0.25">
      <c r="X23">
        <v>24</v>
      </c>
      <c r="Y23" t="s">
        <v>56</v>
      </c>
      <c r="Z23" s="98">
        <f>VehAvailCoefficient!E31</f>
        <v>0.239019734309</v>
      </c>
      <c r="AA23" s="99">
        <v>0.239019734309</v>
      </c>
    </row>
    <row r="24" spans="1:27" x14ac:dyDescent="0.25">
      <c r="X24">
        <v>25</v>
      </c>
      <c r="Y24" t="s">
        <v>57</v>
      </c>
      <c r="Z24" s="98">
        <f>VehAvailCoefficient!E32</f>
        <v>-0.30115653367700002</v>
      </c>
      <c r="AA24" s="99">
        <v>-0.30115653367700002</v>
      </c>
    </row>
    <row r="25" spans="1:27" x14ac:dyDescent="0.25">
      <c r="X25">
        <v>26</v>
      </c>
      <c r="Y25" t="s">
        <v>58</v>
      </c>
      <c r="Z25" s="98">
        <f>VehAvailCoefficient!E33</f>
        <v>-0.56373515910799998</v>
      </c>
      <c r="AA25" s="99">
        <v>-0.56373515910799998</v>
      </c>
    </row>
    <row r="26" spans="1:27" x14ac:dyDescent="0.25">
      <c r="X26">
        <v>28</v>
      </c>
      <c r="Y26" t="s">
        <v>59</v>
      </c>
      <c r="Z26" s="98">
        <f>VehAvailCoefficient!E34</f>
        <v>0.31959884056900001</v>
      </c>
      <c r="AA26" s="99">
        <v>0.31959884056900001</v>
      </c>
    </row>
    <row r="27" spans="1:27" x14ac:dyDescent="0.25">
      <c r="X27">
        <v>29</v>
      </c>
      <c r="Y27" t="s">
        <v>60</v>
      </c>
      <c r="Z27" s="98">
        <f>VehAvailCoefficient!E35</f>
        <v>0.57068696704599997</v>
      </c>
      <c r="AA27" s="99">
        <v>0.57068696704599997</v>
      </c>
    </row>
    <row r="28" spans="1:27" x14ac:dyDescent="0.25">
      <c r="X28">
        <v>31</v>
      </c>
      <c r="Y28" t="s">
        <v>61</v>
      </c>
      <c r="Z28" s="98">
        <f>VehAvailCoefficient!E36</f>
        <v>2.9250059989500001</v>
      </c>
      <c r="AA28" s="99">
        <v>2.9250059989500001</v>
      </c>
    </row>
    <row r="29" spans="1:27" x14ac:dyDescent="0.25">
      <c r="X29">
        <v>32</v>
      </c>
      <c r="Y29" t="s">
        <v>62</v>
      </c>
      <c r="Z29" s="98">
        <f>VehAvailCoefficient!E37</f>
        <v>1.2969669216299999</v>
      </c>
      <c r="AA29" s="99">
        <v>1.2969669216299999</v>
      </c>
    </row>
    <row r="30" spans="1:27" x14ac:dyDescent="0.25">
      <c r="X30">
        <v>34</v>
      </c>
      <c r="Y30" t="s">
        <v>63</v>
      </c>
      <c r="Z30" s="98">
        <f>VehAvailCoefficient!E38</f>
        <v>-2.59112200624</v>
      </c>
      <c r="AA30" s="99">
        <v>-2.59112200624</v>
      </c>
    </row>
    <row r="31" spans="1:27" x14ac:dyDescent="0.25">
      <c r="X31">
        <v>35</v>
      </c>
      <c r="Y31" t="s">
        <v>64</v>
      </c>
      <c r="Z31" s="98">
        <f>VehAvailCoefficient!E39</f>
        <v>-1.0636437007299999</v>
      </c>
      <c r="AA31" s="99">
        <v>-1.0636437007299999</v>
      </c>
    </row>
    <row r="32" spans="1:27" x14ac:dyDescent="0.25">
      <c r="X32">
        <v>36</v>
      </c>
      <c r="Y32" t="s">
        <v>65</v>
      </c>
      <c r="Z32" s="98">
        <f>VehAvailCoefficient!E40</f>
        <v>-0.53660640919000002</v>
      </c>
      <c r="AA32" s="99">
        <v>-0.53660640919000002</v>
      </c>
    </row>
    <row r="33" spans="24:27" x14ac:dyDescent="0.25">
      <c r="X33">
        <v>37</v>
      </c>
      <c r="Y33" t="s">
        <v>66</v>
      </c>
      <c r="Z33" s="98">
        <f>VehAvailCoefficient!E41</f>
        <v>0.28589368992800002</v>
      </c>
      <c r="AA33" s="99">
        <v>0.28589368992800002</v>
      </c>
    </row>
    <row r="34" spans="24:27" x14ac:dyDescent="0.25">
      <c r="X34">
        <v>38</v>
      </c>
      <c r="Y34" t="s">
        <v>67</v>
      </c>
      <c r="Z34" s="98">
        <f>VehAvailCoefficient!E42</f>
        <v>0.64783551265499995</v>
      </c>
      <c r="AA34" s="99">
        <v>0.64783551265499995</v>
      </c>
    </row>
    <row r="35" spans="24:27" x14ac:dyDescent="0.25">
      <c r="X35">
        <v>41</v>
      </c>
      <c r="Y35" t="s">
        <v>68</v>
      </c>
      <c r="Z35" s="98">
        <f>VehAvailCoefficient!E43</f>
        <v>-0.47288768158</v>
      </c>
      <c r="AA35" s="99">
        <v>-0.47288768158</v>
      </c>
    </row>
    <row r="36" spans="24:27" x14ac:dyDescent="0.25">
      <c r="X36">
        <v>42</v>
      </c>
      <c r="Y36" t="s">
        <v>69</v>
      </c>
      <c r="Z36" s="98">
        <f>VehAvailCoefficient!E44</f>
        <v>-1.73045435445</v>
      </c>
      <c r="AA36" s="99">
        <v>-1.73045435445</v>
      </c>
    </row>
    <row r="37" spans="24:27" x14ac:dyDescent="0.25">
      <c r="X37">
        <v>43</v>
      </c>
      <c r="Y37" t="s">
        <v>70</v>
      </c>
      <c r="Z37" s="98">
        <f>VehAvailCoefficient!E45</f>
        <v>2.0718120356499998</v>
      </c>
      <c r="AA37" s="99">
        <v>2.0718120356499998</v>
      </c>
    </row>
    <row r="38" spans="24:27" x14ac:dyDescent="0.25">
      <c r="X38">
        <v>44</v>
      </c>
      <c r="Y38" t="s">
        <v>71</v>
      </c>
      <c r="Z38" s="98">
        <f>VehAvailCoefficient!E46</f>
        <v>0.60728378971399999</v>
      </c>
      <c r="AA38" s="99">
        <v>0.60728378971399999</v>
      </c>
    </row>
    <row r="39" spans="24:27" x14ac:dyDescent="0.25">
      <c r="X39">
        <v>45</v>
      </c>
      <c r="Y39" t="s">
        <v>72</v>
      </c>
      <c r="Z39" s="98">
        <f>VehAvailCoefficient!E47</f>
        <v>-0.71462161389500001</v>
      </c>
      <c r="AA39" s="99">
        <v>-0.71462161389500001</v>
      </c>
    </row>
    <row r="40" spans="24:27" x14ac:dyDescent="0.25">
      <c r="X40">
        <v>46</v>
      </c>
      <c r="Y40" t="s">
        <v>73</v>
      </c>
      <c r="Z40" s="98">
        <f>VehAvailCoefficient!E48</f>
        <v>-1.4356778668800001</v>
      </c>
      <c r="AA40" s="99">
        <v>-1.4356778668800001</v>
      </c>
    </row>
    <row r="41" spans="24:27" x14ac:dyDescent="0.25">
      <c r="X41">
        <v>47</v>
      </c>
      <c r="Y41" t="s">
        <v>74</v>
      </c>
      <c r="Z41" s="98">
        <f>VehAvailCoefficient!E49</f>
        <v>-1.45349726543</v>
      </c>
      <c r="AA41" s="99">
        <v>-1.45349726543</v>
      </c>
    </row>
    <row r="42" spans="24:27" x14ac:dyDescent="0.25">
      <c r="X42">
        <v>48</v>
      </c>
      <c r="Y42" t="s">
        <v>75</v>
      </c>
      <c r="Z42" s="98">
        <f>VehAvailCoefficient!E50</f>
        <v>-1.0930755785699999</v>
      </c>
      <c r="AA42" s="99">
        <v>-1.0930755785699999</v>
      </c>
    </row>
    <row r="43" spans="24:27" x14ac:dyDescent="0.25">
      <c r="X43">
        <v>49</v>
      </c>
      <c r="Y43" t="s">
        <v>76</v>
      </c>
      <c r="Z43" s="98">
        <f>VehAvailCoefficient!E51</f>
        <v>0.14078168516299999</v>
      </c>
      <c r="AA43" s="99">
        <v>0.14078168516299999</v>
      </c>
    </row>
    <row r="44" spans="24:27" x14ac:dyDescent="0.25">
      <c r="X44">
        <v>50</v>
      </c>
      <c r="Y44" t="s">
        <v>77</v>
      </c>
      <c r="Z44" s="98">
        <f>VehAvailCoefficient!E52</f>
        <v>0.188609995585</v>
      </c>
      <c r="AA44" s="99">
        <v>0.188609995585</v>
      </c>
    </row>
    <row r="45" spans="24:27" x14ac:dyDescent="0.25">
      <c r="X45">
        <v>51</v>
      </c>
      <c r="Y45" t="s">
        <v>78</v>
      </c>
      <c r="Z45" s="98">
        <f>VehAvailCoefficient!E53</f>
        <v>-0.58492078305700002</v>
      </c>
      <c r="AA45" s="99">
        <v>-0.58492078305700002</v>
      </c>
    </row>
    <row r="46" spans="24:27" x14ac:dyDescent="0.25">
      <c r="X46">
        <v>52</v>
      </c>
      <c r="Y46" t="s">
        <v>79</v>
      </c>
      <c r="Z46" s="98">
        <f>VehAvailCoefficient!E54</f>
        <v>-1.0058660612699999</v>
      </c>
      <c r="AA46" s="99">
        <v>-1.0058660612699999</v>
      </c>
    </row>
    <row r="47" spans="24:27" x14ac:dyDescent="0.25">
      <c r="X47">
        <v>53</v>
      </c>
      <c r="Y47" t="s">
        <v>80</v>
      </c>
      <c r="Z47" s="98">
        <f>VehAvailCoefficient!E55</f>
        <v>0.22559840834</v>
      </c>
      <c r="AA47" s="99">
        <v>0.22559840834</v>
      </c>
    </row>
    <row r="48" spans="24:27" x14ac:dyDescent="0.25">
      <c r="X48">
        <v>54</v>
      </c>
      <c r="Y48" t="s">
        <v>81</v>
      </c>
      <c r="Z48" s="98">
        <f>VehAvailCoefficient!E56</f>
        <v>0.34302043279099997</v>
      </c>
      <c r="AA48" s="99">
        <v>0.34302043279099997</v>
      </c>
    </row>
    <row r="49" spans="24:27" x14ac:dyDescent="0.25">
      <c r="X49">
        <v>55</v>
      </c>
      <c r="Y49" t="s">
        <v>82</v>
      </c>
      <c r="Z49" s="98">
        <f>VehAvailCoefficient!E57</f>
        <v>-0.53538167154600003</v>
      </c>
      <c r="AA49" s="99">
        <v>-0.53538167154600003</v>
      </c>
    </row>
    <row r="50" spans="24:27" x14ac:dyDescent="0.25">
      <c r="X50">
        <v>56</v>
      </c>
      <c r="Y50" t="s">
        <v>83</v>
      </c>
      <c r="Z50" s="98">
        <f>VehAvailCoefficient!E58</f>
        <v>-0.52697142353899995</v>
      </c>
      <c r="AA50" s="99">
        <v>-0.52697142353899995</v>
      </c>
    </row>
    <row r="51" spans="24:27" x14ac:dyDescent="0.25">
      <c r="X51">
        <v>57</v>
      </c>
      <c r="Y51" t="s">
        <v>84</v>
      </c>
      <c r="Z51" s="98">
        <f>VehAvailCoefficient!E59</f>
        <v>0.21517789340999999</v>
      </c>
      <c r="AA51" s="99">
        <v>0.21517789340999999</v>
      </c>
    </row>
    <row r="52" spans="24:27" x14ac:dyDescent="0.25">
      <c r="X52">
        <v>58</v>
      </c>
      <c r="Y52" t="s">
        <v>85</v>
      </c>
      <c r="Z52" s="98">
        <f>VehAvailCoefficient!E60</f>
        <v>-0.978212790971</v>
      </c>
      <c r="AA52" s="99">
        <v>-0.978212790971</v>
      </c>
    </row>
    <row r="53" spans="24:27" x14ac:dyDescent="0.25">
      <c r="X53">
        <v>59</v>
      </c>
      <c r="Y53" t="s">
        <v>86</v>
      </c>
      <c r="Z53" s="98">
        <f>VehAvailCoefficient!E61</f>
        <v>-0.42495698544999999</v>
      </c>
      <c r="AA53" s="99">
        <v>-0.42495698544999999</v>
      </c>
    </row>
    <row r="54" spans="24:27" x14ac:dyDescent="0.25">
      <c r="X54">
        <v>60</v>
      </c>
      <c r="Y54" t="s">
        <v>87</v>
      </c>
      <c r="Z54" s="98">
        <f>VehAvailCoefficient!E62</f>
        <v>-0.11124462416</v>
      </c>
      <c r="AA54" s="99">
        <v>-0.11124462416</v>
      </c>
    </row>
    <row r="55" spans="24:27" x14ac:dyDescent="0.25">
      <c r="X55">
        <v>63</v>
      </c>
      <c r="Y55" t="s">
        <v>88</v>
      </c>
      <c r="Z55" s="98">
        <f>VehAvailCoefficient!E63</f>
        <v>-1.2627495896200001</v>
      </c>
      <c r="AA55" s="99">
        <v>-1.2627495896200001</v>
      </c>
    </row>
    <row r="56" spans="24:27" x14ac:dyDescent="0.25">
      <c r="X56">
        <v>69</v>
      </c>
      <c r="Y56" t="s">
        <v>89</v>
      </c>
      <c r="Z56" s="98">
        <f>VehAvailCoefficient!E64</f>
        <v>-0.182881856812</v>
      </c>
      <c r="AA56" s="99">
        <v>-0.182881856812</v>
      </c>
    </row>
    <row r="57" spans="24:27" x14ac:dyDescent="0.25">
      <c r="X57">
        <v>72</v>
      </c>
      <c r="Y57" t="s">
        <v>90</v>
      </c>
      <c r="Z57" s="98">
        <f>VehAvailCoefficient!E65</f>
        <v>0.14811075420100001</v>
      </c>
      <c r="AA57" s="99">
        <v>0.14811075420100001</v>
      </c>
    </row>
    <row r="58" spans="24:27" x14ac:dyDescent="0.25">
      <c r="X58">
        <v>73</v>
      </c>
      <c r="Y58" t="s">
        <v>91</v>
      </c>
      <c r="Z58" s="98">
        <f>VehAvailCoefficient!E66</f>
        <v>7.1458236224400005E-4</v>
      </c>
      <c r="AA58" s="99">
        <v>7.1458236224400005E-4</v>
      </c>
    </row>
    <row r="59" spans="24:27" x14ac:dyDescent="0.25">
      <c r="X59">
        <v>75</v>
      </c>
      <c r="Y59" t="s">
        <v>92</v>
      </c>
      <c r="Z59" s="98">
        <f>VehAvailCoefficient!E67</f>
        <v>0.29597958689600001</v>
      </c>
      <c r="AA59" s="99">
        <v>0.29597958689600001</v>
      </c>
    </row>
    <row r="60" spans="24:27" x14ac:dyDescent="0.25">
      <c r="X60">
        <v>76</v>
      </c>
      <c r="Y60" t="s">
        <v>93</v>
      </c>
      <c r="Z60" s="98">
        <f>VehAvailCoefficient!E68</f>
        <v>0.19796492273399999</v>
      </c>
      <c r="AA60" s="99">
        <v>0.19796492273399999</v>
      </c>
    </row>
    <row r="61" spans="24:27" x14ac:dyDescent="0.25">
      <c r="X61">
        <v>77</v>
      </c>
      <c r="Y61" t="s">
        <v>94</v>
      </c>
      <c r="Z61" s="98">
        <f>VehAvailCoefficient!E69</f>
        <v>0.27817460170199998</v>
      </c>
      <c r="AA61" s="99">
        <v>0.27817460170199998</v>
      </c>
    </row>
    <row r="62" spans="24:27" x14ac:dyDescent="0.25">
      <c r="X62">
        <v>83</v>
      </c>
      <c r="Y62" t="s">
        <v>95</v>
      </c>
      <c r="Z62" s="98">
        <f>VehAvailCoefficient!E70</f>
        <v>-0.77256225305799997</v>
      </c>
      <c r="AA62" s="99">
        <v>-0.77256225305799997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Vehicles_by_County</vt:lpstr>
      <vt:lpstr>Vehicles_by_Income</vt:lpstr>
      <vt:lpstr>Vehicles_by_HHDrivers</vt:lpstr>
      <vt:lpstr>Coeff</vt:lpstr>
      <vt:lpstr>VehAvailCoefficient</vt:lpstr>
      <vt:lpstr>calibration</vt:lpstr>
      <vt:lpstr>county</vt:lpstr>
      <vt:lpstr>drivers</vt:lpstr>
      <vt:lpstr>income</vt:lpstr>
      <vt:lpstr>out1</vt:lpstr>
      <vt:lpstr>out2</vt:lpstr>
      <vt:lpstr>out3</vt:lpstr>
      <vt:lpstr>out4</vt:lpstr>
      <vt:lpstr>out5</vt:lpstr>
      <vt:lpstr>out6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2011-02-15T20:20:51Z</dcterms:created>
  <dc:creator>Bhargava Sana</dc:creator>
  <cp:lastModifiedBy>Nagendra Dhakar</cp:lastModifiedBy>
  <dcterms:modified xsi:type="dcterms:W3CDTF">2015-04-30T16:44:33Z</dcterms:modified>
</cp:coreProperties>
</file>