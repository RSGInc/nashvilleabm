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4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13">SchoolAtHome!$B$7:$D$13</definedName>
    <definedName name="out15">SchoolAtHome!$F$18:$F$24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  <definedName name="out14">SchoolAtHome!$I$7:$K$13</definedName>
  </definedNames>
  <calcPr calcId="145621"/>
</workbook>
</file>

<file path=xl/calcChain.xml><?xml version="1.0" encoding="utf-8"?>
<calcChain xmlns="http://schemas.openxmlformats.org/spreadsheetml/2006/main">
  <c r="F25" i="12" l="1"/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Q33" i="12" s="1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G26" i="1" s="1"/>
  <c r="U9" i="1"/>
  <c r="H22" i="1" s="1"/>
  <c r="U8" i="1"/>
  <c r="H21" i="1" s="1"/>
  <c r="U7" i="1"/>
  <c r="J7" i="1"/>
  <c r="J26" i="1" l="1"/>
  <c r="D26" i="1"/>
  <c r="B26" i="1"/>
  <c r="E26" i="1"/>
  <c r="F26" i="1"/>
  <c r="C26" i="1"/>
  <c r="H26" i="1"/>
  <c r="I26" i="1"/>
  <c r="H20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G17" i="15" l="1"/>
  <c r="H28" i="1"/>
  <c r="O39" i="1"/>
  <c r="P39" i="1"/>
  <c r="M39" i="1"/>
  <c r="S34" i="1"/>
  <c r="Q39" i="1"/>
  <c r="S33" i="1"/>
  <c r="T40" i="1"/>
  <c r="R39" i="1"/>
  <c r="S39" i="1"/>
  <c r="N40" i="1"/>
  <c r="Q40" i="1"/>
  <c r="U40" i="1"/>
  <c r="T39" i="1"/>
  <c r="P40" i="1"/>
  <c r="S38" i="1"/>
  <c r="N39" i="1"/>
  <c r="S36" i="1"/>
  <c r="M40" i="1"/>
  <c r="R40" i="1"/>
  <c r="S35" i="1"/>
  <c r="S37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F35" i="1" l="1"/>
  <c r="H40" i="1"/>
  <c r="AD40" i="1" s="1"/>
  <c r="G39" i="1"/>
  <c r="H35" i="1"/>
  <c r="J39" i="1"/>
  <c r="H36" i="1"/>
  <c r="AD36" i="1" s="1"/>
  <c r="E39" i="1"/>
  <c r="H38" i="1"/>
  <c r="D39" i="1"/>
  <c r="H37" i="1"/>
  <c r="B39" i="1"/>
  <c r="X39" i="1" s="1"/>
  <c r="C39" i="1"/>
  <c r="F39" i="1"/>
  <c r="H39" i="1"/>
  <c r="H34" i="1"/>
  <c r="AD38" i="1"/>
  <c r="AD39" i="1"/>
  <c r="AB39" i="1"/>
  <c r="AD34" i="1"/>
  <c r="AD37" i="1"/>
  <c r="AC39" i="1"/>
  <c r="AD35" i="1"/>
  <c r="AA39" i="1"/>
  <c r="Z39" i="1"/>
  <c r="AF39" i="1"/>
  <c r="H41" i="1"/>
  <c r="AD41" i="1" s="1"/>
  <c r="Y39" i="1"/>
  <c r="I39" i="1"/>
  <c r="AE39" i="1" s="1"/>
  <c r="H33" i="1"/>
  <c r="AD33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AB35" i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<sst xmlns="http://schemas.openxmlformats.org/spreadsheetml/2006/main" count="680" uniqueCount="267">
  <si>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</si>
  <si>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</si>
  <si>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</si>
  <si>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</si>
  <si>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</si>
  <si>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</si>
  <si>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</si>
  <si>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</si>
  <si>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</si>
  <si>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</si>
  <si>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</si>
  <si>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</si>
  <si>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</si>
  <si>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</si>
  <si>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</si>
  <si>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</si>
  <si>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</si>
  <si>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</si>
  <si>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</si>
  <si>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</si>
  <si>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</si>
  <si>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</si>
  <si>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</si>
  <si>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</si>
  <si>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</si>
  <si>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</si>
  <si>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</si>
  <si>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</si>
  <si>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</si>
  <si>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</si>
  <si>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</si>
  <si>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</si>
  <si>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</si>
  <si>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</si>
  <si>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</si>
  <si>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</si>
  <si>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</si>
  <si>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</si>
  <si>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</si>
  <si>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</si>
  <si>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</si>
  <si>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</si>
  <si>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</si>
  <si>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</si>
  <si>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</si>
  <si>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</si>
  <si>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</si>
  <si>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</si>
  <si>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</si>
  <si>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</si>
  <si>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</si>
  <si>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</si>
  <si>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</si>
  <si>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</si>
  <si>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</si>
  <si>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</si>
  <si>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</si>
  <si>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</si>
  <si>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</si>
  <si>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</si>
  <si>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</si>
  <si>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</si>
  <si>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</si>
  <si>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</si>
  <si>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</si>
  <si>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</si>
  <si>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</si>
  <si>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</si>
  <si>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</si>
  <si>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</si>
  <si>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</si>
  <si>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</si>
  <si>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</si>
  <si>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</si>
  <si>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</si>
  <si>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</si>
  <si>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</si>
  <si>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</si>
  <si>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</si>
  <si>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</si>
  <si>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</si>
  <si>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</si>
  <si>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</si>
  <si>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</si>
  <si>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</si>
  <si>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</si>
  <si>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</si>
  <si>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</si>
  <si>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</si>
  <si>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</si>
  <si>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</si>
  <si>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</si>
  <si>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</si>
  <si>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</si>
  <si>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</si>
  <si>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</si>
  <si>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</si>
  <si>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</si>
  <si>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</si>
  <si>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</si>
  <si>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</si>
  <si>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</si>
  <si>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</si>
  <si>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</si>
  <si>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</si>
  <si>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</si>
  <si>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</si>
  <si>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</si>
  <si>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</si>
  <si>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</si>
  <si>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</si>
  <si>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</si>
  <si>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</si>
  <si>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</si>
  <si>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</si>
  <si>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</si>
  <si>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</si>
  <si>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</si>
  <si>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</si>
  <si>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</si>
  <si>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</si>
  <si>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</si>
  <si>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</si>
  <si>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</si>
  <si>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</si>
  <si>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</si>
  <si>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</si>
  <si>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</si>
  <si>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</si>
  <si>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</si>
  <si>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</si>
  <si>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</si>
  <si>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</si>
  <si>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</si>
  <si>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</si>
  <si>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</si>
  <si>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</si>
  <si>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</si>
  <si>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</si>
  <si>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</si>
  <si>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</si>
  <si>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</si>
  <si>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</si>
  <si>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</si>
  <si>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</si>
  <si>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</si>
  <si>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</si>
  <si>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</si>
  <si>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</si>
  <si>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</si>
  <si>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</si>
  <si>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</si>
  <si>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</si>
  <si>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</si>
  <si>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</si>
  <si>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</si>
  <si>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</si>
  <si>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</si>
  <si>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</si>
  <si>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</si>
  <si>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</si>
  <si>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</si>
  <si>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</si>
  <si>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</si>
  <si>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</si>
  <si>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</si>
  <si>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</si>
  <si>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</si>
  <si>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</si>
  <si>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</si>
  <si>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</si>
  <si>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</si>
  <si>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</si>
  <si>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</si>
  <si>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</si>
  <si>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</si>
  <si>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</si>
  <si>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</si>
  <si>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</si>
  <si>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</si>
  <si>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</si>
  <si>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</si>
  <si>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</si>
  <si>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</si>
  <si>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</si>
  <si>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</si>
  <si>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</si>
  <si>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</si>
  <si>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</si>
  <si>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</si>
  <si>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</si>
  <si>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</si>
  <si>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</si>
  <si>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</si>
  <si>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</si>
  <si>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</si>
  <si>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</si>
  <si>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</si>
  <si>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</si>
  <si>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</si>
  <si>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</si>
  <si>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</si>
  <si>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</si>
  <si>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</si>
  <si>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</si>
  <si>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</si>
  <si>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</si>
  <si>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</si>
  <si>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</si>
  <si>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</si>
  <si>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</si>
  <si>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</si>
  <si>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</si>
  <si>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</si>
  <si>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</si>
  <si>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</si>
  <si>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Observed Sources: Survey, 4-county Jacksonville Region only</t>
  </si>
  <si>
    <t>Table X. Weighted School at Home Counts by County: Survey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</si>
  <si>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</si>
  <si>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</si>
  <si>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</si>
  <si>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</si>
  <si>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</si>
  <si>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</si>
  <si>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</si>
  <si>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</si>
  <si>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</si>
  <si>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</si>
  <si>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</si>
  <si>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</si>
  <si>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</si>
  <si>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</si>
  <si>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</si>
  <si>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</si>
  <si>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</si>
  <si>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</si>
  <si>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</si>
  <si>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</si>
  <si>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</si>
  <si>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</si>
  <si>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</si>
  <si>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</si>
  <si>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</si>
  <si>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</si>
  <si>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</si>
  <si>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</si>
  <si>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</si>
  <si>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</si>
  <si>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</si>
  <si>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</si>
  <si>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</si>
  <si>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</si>
  <si>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</si>
  <si>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</si>
  <si>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</si>
  <si>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</si>
  <si>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</si>
  <si>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</si>
  <si>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</si>
  <si>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</si>
  <si>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</si>
  <si>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</si>
  <si>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</si>
  <si>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</si>
  <si>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</si>
  <si>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</si>
  <si>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Missing School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</si>
</sst>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yy\ hh:mm:ss"/>
    <numFmt numFmtId="166" formatCode="0.0000000000000"/>
    <numFmt numFmtId="167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1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1" fontId="0" fillId="0" borderId="3" xfId="0" applyNumberForma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1" fontId="0" fillId="0" borderId="4" xfId="0" applyNumberForma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0" fontId="0" fillId="0" borderId="0" xfId="0" applyFill="1" applyBorder="1" applyAlignment="1">
      <alignment horizontal="left" vertical="top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14474.004379444077</c:v>
                </c:pt>
                <c:pt idx="1">
                  <c:v>38648.709607300261</c:v>
                </c:pt>
                <c:pt idx="2">
                  <c:v>39439.868690695708</c:v>
                </c:pt>
                <c:pt idx="3">
                  <c:v>26618.932683012037</c:v>
                </c:pt>
                <c:pt idx="4">
                  <c:v>23498.654818640334</c:v>
                </c:pt>
                <c:pt idx="5">
                  <c:v>16693.723964352488</c:v>
                </c:pt>
                <c:pt idx="6">
                  <c:v>14277.194352415798</c:v>
                </c:pt>
                <c:pt idx="7">
                  <c:v>12674.241971258101</c:v>
                </c:pt>
                <c:pt idx="8">
                  <c:v>6905.9312138915402</c:v>
                </c:pt>
                <c:pt idx="9">
                  <c:v>7970.3181340707742</c:v>
                </c:pt>
                <c:pt idx="10">
                  <c:v>5908.6991230527183</c:v>
                </c:pt>
                <c:pt idx="11">
                  <c:v>7145.9400388989079</c:v>
                </c:pt>
                <c:pt idx="12">
                  <c:v>5528.9803905827666</c:v>
                </c:pt>
                <c:pt idx="13">
                  <c:v>5045.2308368169133</c:v>
                </c:pt>
                <c:pt idx="14">
                  <c:v>5947.133407228871</c:v>
                </c:pt>
                <c:pt idx="15">
                  <c:v>4713.6591659823998</c:v>
                </c:pt>
                <c:pt idx="16">
                  <c:v>1724.3005057131843</c:v>
                </c:pt>
                <c:pt idx="17">
                  <c:v>1715.235402111339</c:v>
                </c:pt>
                <c:pt idx="18">
                  <c:v>442.01039968118323</c:v>
                </c:pt>
                <c:pt idx="19">
                  <c:v>1019.4954473823868</c:v>
                </c:pt>
                <c:pt idx="20">
                  <c:v>781.92021147562082</c:v>
                </c:pt>
                <c:pt idx="21">
                  <c:v>542.29769224841198</c:v>
                </c:pt>
                <c:pt idx="22">
                  <c:v>444.63870164768582</c:v>
                </c:pt>
                <c:pt idx="23">
                  <c:v>556.15522772866109</c:v>
                </c:pt>
                <c:pt idx="24">
                  <c:v>506.12224879416397</c:v>
                </c:pt>
                <c:pt idx="25">
                  <c:v>1131.1992065993686</c:v>
                </c:pt>
                <c:pt idx="26">
                  <c:v>394.89697712799864</c:v>
                </c:pt>
                <c:pt idx="27">
                  <c:v>2170.0849644105483</c:v>
                </c:pt>
                <c:pt idx="28">
                  <c:v>1267.6813488137034</c:v>
                </c:pt>
                <c:pt idx="29">
                  <c:v>373.25240346408322</c:v>
                </c:pt>
                <c:pt idx="30">
                  <c:v>354.27248528745008</c:v>
                </c:pt>
                <c:pt idx="31">
                  <c:v>687.54021352329596</c:v>
                </c:pt>
                <c:pt idx="32">
                  <c:v>50.020377960500099</c:v>
                </c:pt>
                <c:pt idx="33">
                  <c:v>0</c:v>
                </c:pt>
                <c:pt idx="34">
                  <c:v>548.84343469860414</c:v>
                </c:pt>
                <c:pt idx="35">
                  <c:v>66.409570740295194</c:v>
                </c:pt>
                <c:pt idx="36">
                  <c:v>366.082424987433</c:v>
                </c:pt>
                <c:pt idx="37">
                  <c:v>248.28897831103799</c:v>
                </c:pt>
                <c:pt idx="38">
                  <c:v>53.740541973535102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48.485455860049797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178.42366388132899</c:v>
                </c:pt>
                <c:pt idx="48">
                  <c:v>51.787570040342004</c:v>
                </c:pt>
                <c:pt idx="49">
                  <c:v>139.31933184590338</c:v>
                </c:pt>
                <c:pt idx="50">
                  <c:v>0</c:v>
                </c:pt>
                <c:pt idx="51">
                  <c:v>35.796826948541302</c:v>
                </c:pt>
                <c:pt idx="52">
                  <c:v>208.5172498519118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44756</c:v>
                </c:pt>
                <c:pt idx="1">
                  <c:v>62914</c:v>
                </c:pt>
                <c:pt idx="2">
                  <c:v>47428</c:v>
                </c:pt>
                <c:pt idx="3">
                  <c:v>32843</c:v>
                </c:pt>
                <c:pt idx="4">
                  <c:v>20445</c:v>
                </c:pt>
                <c:pt idx="5">
                  <c:v>16058</c:v>
                </c:pt>
                <c:pt idx="6">
                  <c:v>13906</c:v>
                </c:pt>
                <c:pt idx="7">
                  <c:v>11714</c:v>
                </c:pt>
                <c:pt idx="8">
                  <c:v>10635</c:v>
                </c:pt>
                <c:pt idx="9">
                  <c:v>9670</c:v>
                </c:pt>
                <c:pt idx="10">
                  <c:v>8869</c:v>
                </c:pt>
                <c:pt idx="11">
                  <c:v>7676</c:v>
                </c:pt>
                <c:pt idx="12">
                  <c:v>7111</c:v>
                </c:pt>
                <c:pt idx="13">
                  <c:v>6430</c:v>
                </c:pt>
                <c:pt idx="14">
                  <c:v>5452</c:v>
                </c:pt>
                <c:pt idx="15">
                  <c:v>4729</c:v>
                </c:pt>
                <c:pt idx="16">
                  <c:v>3937</c:v>
                </c:pt>
                <c:pt idx="17">
                  <c:v>3692</c:v>
                </c:pt>
                <c:pt idx="18">
                  <c:v>3008</c:v>
                </c:pt>
                <c:pt idx="19">
                  <c:v>2599</c:v>
                </c:pt>
                <c:pt idx="20">
                  <c:v>2174</c:v>
                </c:pt>
                <c:pt idx="21">
                  <c:v>1998</c:v>
                </c:pt>
                <c:pt idx="22">
                  <c:v>1779</c:v>
                </c:pt>
                <c:pt idx="23">
                  <c:v>1532</c:v>
                </c:pt>
                <c:pt idx="24">
                  <c:v>1214</c:v>
                </c:pt>
                <c:pt idx="25">
                  <c:v>1104</c:v>
                </c:pt>
                <c:pt idx="26">
                  <c:v>1124</c:v>
                </c:pt>
                <c:pt idx="27">
                  <c:v>967</c:v>
                </c:pt>
                <c:pt idx="28">
                  <c:v>807</c:v>
                </c:pt>
                <c:pt idx="29">
                  <c:v>674</c:v>
                </c:pt>
                <c:pt idx="30">
                  <c:v>542</c:v>
                </c:pt>
                <c:pt idx="31">
                  <c:v>574</c:v>
                </c:pt>
                <c:pt idx="32">
                  <c:v>473</c:v>
                </c:pt>
                <c:pt idx="33">
                  <c:v>481</c:v>
                </c:pt>
                <c:pt idx="34">
                  <c:v>448</c:v>
                </c:pt>
                <c:pt idx="35">
                  <c:v>325</c:v>
                </c:pt>
                <c:pt idx="36">
                  <c:v>272</c:v>
                </c:pt>
                <c:pt idx="37">
                  <c:v>200</c:v>
                </c:pt>
                <c:pt idx="38">
                  <c:v>144</c:v>
                </c:pt>
                <c:pt idx="39">
                  <c:v>140</c:v>
                </c:pt>
                <c:pt idx="40">
                  <c:v>119</c:v>
                </c:pt>
                <c:pt idx="41">
                  <c:v>108</c:v>
                </c:pt>
                <c:pt idx="42">
                  <c:v>103</c:v>
                </c:pt>
                <c:pt idx="43">
                  <c:v>81</c:v>
                </c:pt>
                <c:pt idx="44">
                  <c:v>70</c:v>
                </c:pt>
                <c:pt idx="45">
                  <c:v>78</c:v>
                </c:pt>
                <c:pt idx="46">
                  <c:v>35</c:v>
                </c:pt>
                <c:pt idx="47">
                  <c:v>36</c:v>
                </c:pt>
                <c:pt idx="48">
                  <c:v>33</c:v>
                </c:pt>
                <c:pt idx="49">
                  <c:v>28</c:v>
                </c:pt>
                <c:pt idx="50">
                  <c:v>29</c:v>
                </c:pt>
                <c:pt idx="51">
                  <c:v>25</c:v>
                </c:pt>
                <c:pt idx="52">
                  <c:v>27</c:v>
                </c:pt>
                <c:pt idx="53">
                  <c:v>19</c:v>
                </c:pt>
                <c:pt idx="54">
                  <c:v>8</c:v>
                </c:pt>
                <c:pt idx="55">
                  <c:v>11</c:v>
                </c:pt>
                <c:pt idx="56">
                  <c:v>10</c:v>
                </c:pt>
                <c:pt idx="57">
                  <c:v>12</c:v>
                </c:pt>
                <c:pt idx="58">
                  <c:v>6</c:v>
                </c:pt>
                <c:pt idx="59">
                  <c:v>6</c:v>
                </c:pt>
                <c:pt idx="6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28416"/>
        <c:axId val="111164160"/>
      </c:lineChart>
      <c:catAx>
        <c:axId val="13682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64160"/>
        <c:crosses val="autoZero"/>
        <c:auto val="1"/>
        <c:lblAlgn val="ctr"/>
        <c:lblOffset val="100"/>
        <c:noMultiLvlLbl val="0"/>
      </c:catAx>
      <c:valAx>
        <c:axId val="111164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3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969.56272511539248</c:v>
                </c:pt>
                <c:pt idx="3">
                  <c:v>13236.110368138292</c:v>
                </c:pt>
                <c:pt idx="4">
                  <c:v>11408.906369681508</c:v>
                </c:pt>
                <c:pt idx="5">
                  <c:v>27307.51901176522</c:v>
                </c:pt>
                <c:pt idx="6">
                  <c:v>21534.356632862768</c:v>
                </c:pt>
                <c:pt idx="7">
                  <c:v>17099.37921391381</c:v>
                </c:pt>
                <c:pt idx="8">
                  <c:v>20522.174375390714</c:v>
                </c:pt>
                <c:pt idx="9">
                  <c:v>16681.163235045959</c:v>
                </c:pt>
                <c:pt idx="10">
                  <c:v>14033.270810391734</c:v>
                </c:pt>
                <c:pt idx="11">
                  <c:v>9156.3363994766605</c:v>
                </c:pt>
                <c:pt idx="12">
                  <c:v>14275.733665089458</c:v>
                </c:pt>
                <c:pt idx="13">
                  <c:v>10453.656118664674</c:v>
                </c:pt>
                <c:pt idx="14">
                  <c:v>7910.3781803955544</c:v>
                </c:pt>
                <c:pt idx="15">
                  <c:v>5598.8600356514053</c:v>
                </c:pt>
                <c:pt idx="16">
                  <c:v>4870.3071765360128</c:v>
                </c:pt>
                <c:pt idx="17">
                  <c:v>5089.8763913950233</c:v>
                </c:pt>
                <c:pt idx="18">
                  <c:v>2431.3128804858402</c:v>
                </c:pt>
                <c:pt idx="19">
                  <c:v>2996.3800871291569</c:v>
                </c:pt>
                <c:pt idx="20">
                  <c:v>1537.3358158409089</c:v>
                </c:pt>
                <c:pt idx="21">
                  <c:v>5425.2193016441433</c:v>
                </c:pt>
                <c:pt idx="22">
                  <c:v>3463.5328374459614</c:v>
                </c:pt>
                <c:pt idx="23">
                  <c:v>5889.251186385839</c:v>
                </c:pt>
                <c:pt idx="24">
                  <c:v>2148.7011487160125</c:v>
                </c:pt>
                <c:pt idx="25">
                  <c:v>3647.574751277878</c:v>
                </c:pt>
                <c:pt idx="26">
                  <c:v>3515.8548142201398</c:v>
                </c:pt>
                <c:pt idx="27">
                  <c:v>1715.3910928606965</c:v>
                </c:pt>
                <c:pt idx="28">
                  <c:v>2501.3072259998248</c:v>
                </c:pt>
                <c:pt idx="29">
                  <c:v>589.36103034721373</c:v>
                </c:pt>
                <c:pt idx="30">
                  <c:v>1298.2861331964218</c:v>
                </c:pt>
                <c:pt idx="31">
                  <c:v>42.832754174231397</c:v>
                </c:pt>
                <c:pt idx="32">
                  <c:v>672.08091974741706</c:v>
                </c:pt>
                <c:pt idx="33">
                  <c:v>1232.1105808369894</c:v>
                </c:pt>
                <c:pt idx="34">
                  <c:v>83.408383223706906</c:v>
                </c:pt>
                <c:pt idx="35">
                  <c:v>1473.4864283193726</c:v>
                </c:pt>
                <c:pt idx="36">
                  <c:v>447.13569604237375</c:v>
                </c:pt>
                <c:pt idx="37">
                  <c:v>1065.3055583026483</c:v>
                </c:pt>
                <c:pt idx="38">
                  <c:v>131.5873075767644</c:v>
                </c:pt>
                <c:pt idx="39">
                  <c:v>1213.4308849254967</c:v>
                </c:pt>
                <c:pt idx="40">
                  <c:v>82.593932695325407</c:v>
                </c:pt>
                <c:pt idx="41">
                  <c:v>1240.2313526955127</c:v>
                </c:pt>
                <c:pt idx="42">
                  <c:v>0</c:v>
                </c:pt>
                <c:pt idx="43">
                  <c:v>189.11891134113228</c:v>
                </c:pt>
                <c:pt idx="44">
                  <c:v>1024.441176096773</c:v>
                </c:pt>
                <c:pt idx="45">
                  <c:v>1112.9279751078986</c:v>
                </c:pt>
                <c:pt idx="46">
                  <c:v>1350.4226961664137</c:v>
                </c:pt>
                <c:pt idx="47">
                  <c:v>492.67394688875669</c:v>
                </c:pt>
                <c:pt idx="48">
                  <c:v>0</c:v>
                </c:pt>
                <c:pt idx="49">
                  <c:v>0</c:v>
                </c:pt>
                <c:pt idx="50">
                  <c:v>76.510484000817598</c:v>
                </c:pt>
                <c:pt idx="51">
                  <c:v>293.35538073419099</c:v>
                </c:pt>
                <c:pt idx="52">
                  <c:v>864.53302089145097</c:v>
                </c:pt>
                <c:pt idx="53">
                  <c:v>120.60217053173199</c:v>
                </c:pt>
                <c:pt idx="54">
                  <c:v>0</c:v>
                </c:pt>
                <c:pt idx="55">
                  <c:v>53.740541973535102</c:v>
                </c:pt>
                <c:pt idx="56">
                  <c:v>366.082424987433</c:v>
                </c:pt>
                <c:pt idx="57">
                  <c:v>0</c:v>
                </c:pt>
                <c:pt idx="58">
                  <c:v>178.42366388132899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2993</c:v>
                </c:pt>
                <c:pt idx="1">
                  <c:v>6407</c:v>
                </c:pt>
                <c:pt idx="2">
                  <c:v>10084</c:v>
                </c:pt>
                <c:pt idx="3">
                  <c:v>17870</c:v>
                </c:pt>
                <c:pt idx="4">
                  <c:v>23259</c:v>
                </c:pt>
                <c:pt idx="5">
                  <c:v>29777</c:v>
                </c:pt>
                <c:pt idx="6">
                  <c:v>29545</c:v>
                </c:pt>
                <c:pt idx="7">
                  <c:v>24686</c:v>
                </c:pt>
                <c:pt idx="8">
                  <c:v>19972</c:v>
                </c:pt>
                <c:pt idx="9">
                  <c:v>15581</c:v>
                </c:pt>
                <c:pt idx="10">
                  <c:v>12516</c:v>
                </c:pt>
                <c:pt idx="11">
                  <c:v>12703</c:v>
                </c:pt>
                <c:pt idx="12">
                  <c:v>10043</c:v>
                </c:pt>
                <c:pt idx="13">
                  <c:v>8016</c:v>
                </c:pt>
                <c:pt idx="14">
                  <c:v>7780</c:v>
                </c:pt>
                <c:pt idx="15">
                  <c:v>7161</c:v>
                </c:pt>
                <c:pt idx="16">
                  <c:v>6628</c:v>
                </c:pt>
                <c:pt idx="17">
                  <c:v>6251</c:v>
                </c:pt>
                <c:pt idx="18">
                  <c:v>5640</c:v>
                </c:pt>
                <c:pt idx="19">
                  <c:v>5247</c:v>
                </c:pt>
                <c:pt idx="20">
                  <c:v>4738</c:v>
                </c:pt>
                <c:pt idx="21">
                  <c:v>4512</c:v>
                </c:pt>
                <c:pt idx="22">
                  <c:v>4538</c:v>
                </c:pt>
                <c:pt idx="23">
                  <c:v>4064</c:v>
                </c:pt>
                <c:pt idx="24">
                  <c:v>4080</c:v>
                </c:pt>
                <c:pt idx="25">
                  <c:v>3546</c:v>
                </c:pt>
                <c:pt idx="26">
                  <c:v>3299</c:v>
                </c:pt>
                <c:pt idx="27">
                  <c:v>2932</c:v>
                </c:pt>
                <c:pt idx="28">
                  <c:v>2674</c:v>
                </c:pt>
                <c:pt idx="29">
                  <c:v>2787</c:v>
                </c:pt>
                <c:pt idx="30">
                  <c:v>2570</c:v>
                </c:pt>
                <c:pt idx="31">
                  <c:v>2499</c:v>
                </c:pt>
                <c:pt idx="32">
                  <c:v>2285</c:v>
                </c:pt>
                <c:pt idx="33">
                  <c:v>2205</c:v>
                </c:pt>
                <c:pt idx="34">
                  <c:v>2101</c:v>
                </c:pt>
                <c:pt idx="35">
                  <c:v>1891</c:v>
                </c:pt>
                <c:pt idx="36">
                  <c:v>1840</c:v>
                </c:pt>
                <c:pt idx="37">
                  <c:v>1658</c:v>
                </c:pt>
                <c:pt idx="38">
                  <c:v>1638</c:v>
                </c:pt>
                <c:pt idx="39">
                  <c:v>1667</c:v>
                </c:pt>
                <c:pt idx="40">
                  <c:v>1685</c:v>
                </c:pt>
                <c:pt idx="41">
                  <c:v>1714</c:v>
                </c:pt>
                <c:pt idx="42">
                  <c:v>1537</c:v>
                </c:pt>
                <c:pt idx="43">
                  <c:v>1411</c:v>
                </c:pt>
                <c:pt idx="44">
                  <c:v>1201</c:v>
                </c:pt>
                <c:pt idx="45">
                  <c:v>1192</c:v>
                </c:pt>
                <c:pt idx="46">
                  <c:v>1108</c:v>
                </c:pt>
                <c:pt idx="47">
                  <c:v>963</c:v>
                </c:pt>
                <c:pt idx="48">
                  <c:v>891</c:v>
                </c:pt>
                <c:pt idx="49">
                  <c:v>768</c:v>
                </c:pt>
                <c:pt idx="50">
                  <c:v>760</c:v>
                </c:pt>
                <c:pt idx="51">
                  <c:v>651</c:v>
                </c:pt>
                <c:pt idx="52">
                  <c:v>608</c:v>
                </c:pt>
                <c:pt idx="53">
                  <c:v>669</c:v>
                </c:pt>
                <c:pt idx="54">
                  <c:v>487</c:v>
                </c:pt>
                <c:pt idx="55">
                  <c:v>530</c:v>
                </c:pt>
                <c:pt idx="56">
                  <c:v>500</c:v>
                </c:pt>
                <c:pt idx="57">
                  <c:v>401</c:v>
                </c:pt>
                <c:pt idx="58">
                  <c:v>392</c:v>
                </c:pt>
                <c:pt idx="59">
                  <c:v>385</c:v>
                </c:pt>
                <c:pt idx="60">
                  <c:v>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23072"/>
        <c:axId val="116117440"/>
      </c:lineChart>
      <c:catAx>
        <c:axId val="139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117440"/>
        <c:crosses val="autoZero"/>
        <c:auto val="1"/>
        <c:lblAlgn val="ctr"/>
        <c:lblOffset val="100"/>
        <c:noMultiLvlLbl val="0"/>
      </c:catAx>
      <c:valAx>
        <c:axId val="1161174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952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workbookViewId="0">
      <selection activeCell="S13" sqref="S13"/>
    </sheetView>
  </sheetViews>
  <sheetFormatPr defaultRowHeight="15" x14ac:dyDescent="0.25"/>
  <cols>
    <col min="1" max="1" customWidth="true" width="13.5703125" collapsed="true"/>
  </cols>
  <sheetData>
    <row r="1" spans="1:19" x14ac:dyDescent="0.25">
      <c r="A1" t="s">
        <v>1</v>
      </c>
    </row>
    <row r="2" spans="1:19" x14ac:dyDescent="0.25">
      <c r="A2" t="s">
        <v>218</v>
      </c>
    </row>
    <row r="3" spans="1:19" x14ac:dyDescent="0.25">
      <c r="A3" t="s">
        <v>5</v>
      </c>
    </row>
    <row r="4" spans="1:19" x14ac:dyDescent="0.25">
      <c r="A4" t="s">
        <v>4</v>
      </c>
    </row>
    <row r="5" spans="1:19" x14ac:dyDescent="0.25">
      <c r="A5" t="s">
        <v>6</v>
      </c>
    </row>
    <row r="6" spans="1:19" x14ac:dyDescent="0.25">
      <c r="A6" t="s">
        <v>7</v>
      </c>
    </row>
    <row r="7" spans="1:19" x14ac:dyDescent="0.25">
      <c r="A7" t="s">
        <v>11</v>
      </c>
    </row>
    <row r="9" spans="1:19" ht="15.75" thickBot="1" x14ac:dyDescent="0.3">
      <c r="A9" s="4" t="s">
        <v>209</v>
      </c>
      <c r="B9" s="1"/>
      <c r="C9" s="1"/>
      <c r="D9" s="1"/>
      <c r="E9" s="1"/>
      <c r="G9" s="4" t="s">
        <v>12</v>
      </c>
      <c r="H9" s="1"/>
      <c r="I9" s="1"/>
      <c r="J9" s="1"/>
      <c r="K9" s="1"/>
      <c r="L9" s="7"/>
      <c r="M9" s="11" t="s">
        <v>41</v>
      </c>
      <c r="Q9" s="11" t="s">
        <v>47</v>
      </c>
    </row>
    <row r="10" spans="1:19" x14ac:dyDescent="0.25">
      <c r="A10" s="2" t="s">
        <v>2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2</v>
      </c>
      <c r="H10" s="5" t="s">
        <v>48</v>
      </c>
      <c r="I10" s="5" t="s">
        <v>49</v>
      </c>
      <c r="J10" s="5" t="s">
        <v>50</v>
      </c>
      <c r="K10" s="5" t="s">
        <v>42</v>
      </c>
      <c r="L10" s="5"/>
      <c r="M10" s="2"/>
      <c r="N10" s="5" t="s">
        <v>219</v>
      </c>
      <c r="O10" s="5" t="s">
        <v>42</v>
      </c>
      <c r="Q10" s="30"/>
      <c r="R10" s="35" t="s">
        <v>219</v>
      </c>
      <c r="S10" s="35" t="s">
        <v>42</v>
      </c>
    </row>
    <row r="11" spans="1:19" ht="15.75" thickBot="1" x14ac:dyDescent="0.3">
      <c r="A11">
        <v>0</v>
      </c>
      <c r="B11" s="9" t="n">
        <v>9863.442960998722</v>
      </c>
      <c r="C11" s="9" t="n">
        <v>1037.8569314995648</v>
      </c>
      <c r="D11" s="9" t="n">
        <v>3572.704486945791</v>
      </c>
      <c r="E11" s="9">
        <f t="shared" ref="E11:E42" si="0">SUM(B11:D11)</f>
        <v>14474.004379444077</v>
      </c>
      <c r="G11">
        <v>0</v>
      </c>
      <c r="H11" t="n">
        <v>24637.0</v>
      </c>
      <c r="I11" t="n">
        <v>1575.0</v>
      </c>
      <c r="J11" s="20" t="n">
        <v>5101.0</v>
      </c>
      <c r="K11">
        <f t="shared" ref="K11:K42" si="1">SUM(H11:J11)</f>
        <v>44756</v>
      </c>
      <c r="M11" t="s">
        <v>48</v>
      </c>
      <c r="N11" s="9" t="n">
        <v>4.954881054205187</v>
      </c>
      <c r="O11" s="9" t="n">
        <v>5.4718019502777215</v>
      </c>
      <c r="Q11" s="1" t="s">
        <v>3</v>
      </c>
      <c r="R11" s="10"/>
      <c r="S11" s="10"/>
    </row>
    <row r="12" spans="1:19" x14ac:dyDescent="0.25">
      <c r="A12">
        <v>1</v>
      </c>
      <c r="B12" s="9" t="n">
        <v>28755.50424263482</v>
      </c>
      <c r="C12" s="9" t="n">
        <v>5173.6664752773595</v>
      </c>
      <c r="D12" s="9" t="n">
        <v>4719.538889388084</v>
      </c>
      <c r="E12" s="9">
        <f t="shared" si="0"/>
        <v>38648.709607300261</v>
      </c>
      <c r="G12">
        <v>1</v>
      </c>
      <c r="H12" t="n">
        <v>47847.0</v>
      </c>
      <c r="I12" t="n">
        <v>4810.0</v>
      </c>
      <c r="J12" s="20" t="n">
        <v>8292.0</v>
      </c>
      <c r="K12">
        <f t="shared" si="1"/>
        <v>62914</v>
      </c>
      <c r="M12" t="s">
        <v>49</v>
      </c>
      <c r="N12" s="9" t="n">
        <v>7.27326574383964</v>
      </c>
      <c r="O12" s="9" t="n">
        <v>6.466155270628975</v>
      </c>
      <c r="R12" s="9"/>
      <c r="S12" s="9"/>
    </row>
    <row r="13" spans="1:19" x14ac:dyDescent="0.25">
      <c r="A13">
        <v>2</v>
      </c>
      <c r="B13" s="9" t="n">
        <v>31551.69708624817</v>
      </c>
      <c r="C13" s="9" t="n">
        <v>4327.467028347659</v>
      </c>
      <c r="D13" s="9" t="n">
        <v>3560.704576099881</v>
      </c>
      <c r="E13" s="9">
        <f t="shared" si="0"/>
        <v>39439.868690695708</v>
      </c>
      <c r="G13">
        <v>2</v>
      </c>
      <c r="H13" t="n">
        <v>44822.0</v>
      </c>
      <c r="I13" t="n">
        <v>7174.0</v>
      </c>
      <c r="J13" s="20" t="n">
        <v>8033.0</v>
      </c>
      <c r="K13">
        <f t="shared" si="1"/>
        <v>47428</v>
      </c>
      <c r="M13" s="6" t="s">
        <v>50</v>
      </c>
      <c r="N13" s="18" t="n">
        <v>11.44683446830346</v>
      </c>
      <c r="O13" s="18" t="n">
        <v>9.811732473419758</v>
      </c>
      <c r="Q13" s="7"/>
      <c r="R13" s="34"/>
      <c r="S13" s="34"/>
    </row>
    <row r="14" spans="1:19" ht="15.75" thickBot="1" x14ac:dyDescent="0.3">
      <c r="A14">
        <v>3</v>
      </c>
      <c r="B14" s="9" t="n">
        <v>23137.283963873757</v>
      </c>
      <c r="C14" s="9" t="n">
        <v>1471.6465645024061</v>
      </c>
      <c r="D14" s="9" t="n">
        <v>2010.0021546358741</v>
      </c>
      <c r="E14" s="9">
        <f t="shared" si="0"/>
        <v>26618.932683012037</v>
      </c>
      <c r="G14">
        <v>3</v>
      </c>
      <c r="H14" t="n">
        <v>21447.0</v>
      </c>
      <c r="I14" t="n">
        <v>6000.0</v>
      </c>
      <c r="J14" s="20" t="n">
        <v>5641.0</v>
      </c>
      <c r="K14">
        <f t="shared" si="1"/>
        <v>32843</v>
      </c>
      <c r="M14" s="1" t="s">
        <v>3</v>
      </c>
      <c r="N14" s="10" t="n">
        <v>6.461834137742379</v>
      </c>
      <c r="O14" s="10" t="n">
        <v>6.538390996261305</v>
      </c>
    </row>
    <row r="15" spans="1:19" x14ac:dyDescent="0.25">
      <c r="A15">
        <v>4</v>
      </c>
      <c r="B15" s="9" t="n">
        <v>15142.049295532835</v>
      </c>
      <c r="C15" s="9" t="n">
        <v>5900.834968270987</v>
      </c>
      <c r="D15" s="9" t="n">
        <v>2455.7705548365125</v>
      </c>
      <c r="E15" s="9">
        <f t="shared" si="0"/>
        <v>23498.654818640334</v>
      </c>
      <c r="G15">
        <v>4</v>
      </c>
      <c r="H15" t="n">
        <v>11310.0</v>
      </c>
      <c r="I15" t="n">
        <v>5065.0</v>
      </c>
      <c r="J15" s="20" t="n">
        <v>4006.0</v>
      </c>
      <c r="K15">
        <f t="shared" si="1"/>
        <v>20445</v>
      </c>
    </row>
    <row r="16" spans="1:19" x14ac:dyDescent="0.25">
      <c r="A16">
        <v>5</v>
      </c>
      <c r="B16" s="9" t="n">
        <v>11955.480506281674</v>
      </c>
      <c r="C16" s="9" t="n">
        <v>3719.281581373277</v>
      </c>
      <c r="D16" s="9" t="n">
        <v>1018.9618766975377</v>
      </c>
      <c r="E16" s="9">
        <f t="shared" si="0"/>
        <v>16693.723964352488</v>
      </c>
      <c r="G16">
        <v>5</v>
      </c>
      <c r="H16" t="n">
        <v>7445.0</v>
      </c>
      <c r="I16" t="n">
        <v>4966.0</v>
      </c>
      <c r="J16" s="20" t="n">
        <v>4196.0</v>
      </c>
      <c r="K16">
        <f t="shared" si="1"/>
        <v>16058</v>
      </c>
    </row>
    <row r="17" spans="1:11" x14ac:dyDescent="0.25">
      <c r="A17">
        <v>6</v>
      </c>
      <c r="B17" s="9" t="n">
        <v>11467.663932358508</v>
      </c>
      <c r="C17" s="9" t="n">
        <v>1705.6317452452213</v>
      </c>
      <c r="D17" s="9" t="n">
        <v>1103.8986748120692</v>
      </c>
      <c r="E17" s="9">
        <f t="shared" si="0"/>
        <v>14277.194352415798</v>
      </c>
      <c r="G17">
        <v>6</v>
      </c>
      <c r="H17" t="n">
        <v>7149.0</v>
      </c>
      <c r="I17" t="n">
        <v>3781.0</v>
      </c>
      <c r="J17" s="20" t="n">
        <v>3126.0</v>
      </c>
      <c r="K17">
        <f t="shared" si="1"/>
        <v>13906</v>
      </c>
    </row>
    <row r="18" spans="1:11" x14ac:dyDescent="0.25">
      <c r="A18">
        <v>7</v>
      </c>
      <c r="B18" s="9" t="n">
        <v>7581.767063675641</v>
      </c>
      <c r="C18" s="9" t="n">
        <v>3111.3367318571595</v>
      </c>
      <c r="D18" s="9" t="n">
        <v>1981.138175725301</v>
      </c>
      <c r="E18" s="9">
        <f t="shared" si="0"/>
        <v>12674.241971258101</v>
      </c>
      <c r="G18">
        <v>7</v>
      </c>
      <c r="H18" t="n">
        <v>6343.0</v>
      </c>
      <c r="I18" t="n">
        <v>2965.0</v>
      </c>
      <c r="J18" s="20" t="n">
        <v>2525.0</v>
      </c>
      <c r="K18">
        <f t="shared" si="1"/>
        <v>11714</v>
      </c>
    </row>
    <row r="19" spans="1:11" x14ac:dyDescent="0.25">
      <c r="A19">
        <v>8</v>
      </c>
      <c r="B19" s="9" t="n">
        <v>3970.853649300172</v>
      </c>
      <c r="C19" s="9" t="n">
        <v>1308.9465646580632</v>
      </c>
      <c r="D19" s="9" t="n">
        <v>1626.1309999333052</v>
      </c>
      <c r="E19" s="9">
        <f t="shared" si="0"/>
        <v>6905.9312138915402</v>
      </c>
      <c r="G19">
        <v>8</v>
      </c>
      <c r="H19" t="n">
        <v>5929.0</v>
      </c>
      <c r="I19" t="n">
        <v>2374.0</v>
      </c>
      <c r="J19" s="20" t="n">
        <v>2498.0</v>
      </c>
      <c r="K19">
        <f t="shared" si="1"/>
        <v>10635</v>
      </c>
    </row>
    <row r="20" spans="1:11" x14ac:dyDescent="0.25">
      <c r="A20">
        <v>9</v>
      </c>
      <c r="B20" s="9" t="n">
        <v>5749.298998991747</v>
      </c>
      <c r="C20" s="9" t="n">
        <v>1432.060049942087</v>
      </c>
      <c r="D20" s="9" t="n">
        <v>788.9590851369405</v>
      </c>
      <c r="E20" s="9">
        <f t="shared" si="0"/>
        <v>7970.3181340707742</v>
      </c>
      <c r="G20">
        <v>9</v>
      </c>
      <c r="H20" t="n">
        <v>5625.0</v>
      </c>
      <c r="I20" t="n">
        <v>1999.0</v>
      </c>
      <c r="J20" s="20" t="n">
        <v>2324.0</v>
      </c>
      <c r="K20">
        <f t="shared" si="1"/>
        <v>9670</v>
      </c>
    </row>
    <row r="21" spans="1:11" x14ac:dyDescent="0.25">
      <c r="A21">
        <v>10</v>
      </c>
      <c r="B21" s="9" t="n">
        <v>2586.483321194984</v>
      </c>
      <c r="C21" s="9" t="n">
        <v>166.7024540649975</v>
      </c>
      <c r="D21" s="9" t="n">
        <v>3155.5133477927366</v>
      </c>
      <c r="E21" s="9">
        <f t="shared" si="0"/>
        <v>5908.6991230527183</v>
      </c>
      <c r="G21">
        <v>10</v>
      </c>
      <c r="H21" t="n">
        <v>4867.0</v>
      </c>
      <c r="I21" t="n">
        <v>1464.0</v>
      </c>
      <c r="J21" s="20" t="n">
        <v>2487.0</v>
      </c>
      <c r="K21">
        <f t="shared" si="1"/>
        <v>8869</v>
      </c>
    </row>
    <row r="22" spans="1:11" x14ac:dyDescent="0.25">
      <c r="A22">
        <v>11</v>
      </c>
      <c r="B22" s="9" t="n">
        <v>3421.4237855200868</v>
      </c>
      <c r="C22" s="9" t="n">
        <v>2435.7234918337144</v>
      </c>
      <c r="D22" s="9" t="n">
        <v>1288.7927615451074</v>
      </c>
      <c r="E22" s="9">
        <f t="shared" si="0"/>
        <v>7145.9400388989079</v>
      </c>
      <c r="G22">
        <v>11</v>
      </c>
      <c r="H22" t="n">
        <v>4450.0</v>
      </c>
      <c r="I22" t="n">
        <v>1351.0</v>
      </c>
      <c r="J22" s="20" t="n">
        <v>1922.0</v>
      </c>
      <c r="K22">
        <f t="shared" si="1"/>
        <v>7676</v>
      </c>
    </row>
    <row r="23" spans="1:11" x14ac:dyDescent="0.25">
      <c r="A23">
        <v>12</v>
      </c>
      <c r="B23" s="9" t="n">
        <v>2558.89337955904</v>
      </c>
      <c r="C23" s="9" t="n">
        <v>794.2819060961095</v>
      </c>
      <c r="D23" s="9" t="n">
        <v>2175.8051049276173</v>
      </c>
      <c r="E23" s="9">
        <f t="shared" si="0"/>
        <v>5528.9803905827666</v>
      </c>
      <c r="G23">
        <v>12</v>
      </c>
      <c r="H23" t="n">
        <v>3872.0</v>
      </c>
      <c r="I23" t="n">
        <v>1073.0</v>
      </c>
      <c r="J23" s="20" t="n">
        <v>2079.0</v>
      </c>
      <c r="K23">
        <f t="shared" si="1"/>
        <v>7111</v>
      </c>
    </row>
    <row r="24" spans="1:11" x14ac:dyDescent="0.25">
      <c r="A24">
        <v>13</v>
      </c>
      <c r="B24" s="9" t="n">
        <v>848.9504583288352</v>
      </c>
      <c r="C24" s="9" t="n">
        <v>904.1739440197954</v>
      </c>
      <c r="D24" s="9" t="n">
        <v>3292.1064344682827</v>
      </c>
      <c r="E24" s="9">
        <f t="shared" si="0"/>
        <v>5045.2308368169133</v>
      </c>
      <c r="G24">
        <v>13</v>
      </c>
      <c r="H24" t="n">
        <v>3356.0</v>
      </c>
      <c r="I24" t="n">
        <v>944.0</v>
      </c>
      <c r="J24" s="20" t="n">
        <v>2060.0</v>
      </c>
      <c r="K24">
        <f t="shared" si="1"/>
        <v>6430</v>
      </c>
    </row>
    <row r="25" spans="1:11" x14ac:dyDescent="0.25">
      <c r="A25">
        <v>14</v>
      </c>
      <c r="B25" s="9" t="n">
        <v>3388.3640937865075</v>
      </c>
      <c r="C25" s="9" t="n">
        <v>1859.282552767552</v>
      </c>
      <c r="D25" s="9" t="n">
        <v>699.4867606748109</v>
      </c>
      <c r="E25" s="9">
        <f t="shared" si="0"/>
        <v>5947.133407228871</v>
      </c>
      <c r="G25">
        <v>14</v>
      </c>
      <c r="H25" t="n">
        <v>2940.0</v>
      </c>
      <c r="I25" t="n">
        <v>709.0</v>
      </c>
      <c r="J25" s="20" t="n">
        <v>1629.0</v>
      </c>
      <c r="K25">
        <f t="shared" si="1"/>
        <v>5452</v>
      </c>
    </row>
    <row r="26" spans="1:11" x14ac:dyDescent="0.25">
      <c r="A26">
        <v>15</v>
      </c>
      <c r="B26" s="9" t="n">
        <v>1854.72014054822</v>
      </c>
      <c r="C26" s="9" t="n">
        <v>1680.969238329795</v>
      </c>
      <c r="D26" s="9" t="n">
        <v>1177.9697871043852</v>
      </c>
      <c r="E26" s="9">
        <f t="shared" si="0"/>
        <v>4713.6591659823998</v>
      </c>
      <c r="G26">
        <v>15</v>
      </c>
      <c r="H26" t="n">
        <v>2768.0</v>
      </c>
      <c r="I26" t="n">
        <v>601.0</v>
      </c>
      <c r="J26" s="20" t="n">
        <v>1387.0</v>
      </c>
      <c r="K26">
        <f t="shared" si="1"/>
        <v>4729</v>
      </c>
    </row>
    <row r="27" spans="1:11" x14ac:dyDescent="0.25">
      <c r="A27">
        <v>16</v>
      </c>
      <c r="B27" s="9" t="n">
        <v>1270.1791497620382</v>
      </c>
      <c r="C27" s="9" t="n">
        <v>0.0</v>
      </c>
      <c r="D27" s="9" t="n">
        <v>454.12135595114614</v>
      </c>
      <c r="E27" s="9">
        <f t="shared" si="0"/>
        <v>1724.3005057131843</v>
      </c>
      <c r="G27">
        <v>16</v>
      </c>
      <c r="H27" t="n">
        <v>2177.0</v>
      </c>
      <c r="I27" t="n">
        <v>440.0</v>
      </c>
      <c r="J27" s="20" t="n">
        <v>1214.0</v>
      </c>
      <c r="K27">
        <f t="shared" si="1"/>
        <v>3937</v>
      </c>
    </row>
    <row r="28" spans="1:11" x14ac:dyDescent="0.25">
      <c r="A28">
        <v>17</v>
      </c>
      <c r="B28" s="9" t="n">
        <v>1238.7890388065484</v>
      </c>
      <c r="C28" s="9" t="n">
        <v>314.2575711018506</v>
      </c>
      <c r="D28" s="9" t="n">
        <v>162.1887922029401</v>
      </c>
      <c r="E28" s="9">
        <f t="shared" si="0"/>
        <v>1715.235402111339</v>
      </c>
      <c r="G28">
        <v>17</v>
      </c>
      <c r="H28" t="n">
        <v>1788.0</v>
      </c>
      <c r="I28" t="n">
        <v>350.0</v>
      </c>
      <c r="J28" s="20" t="n">
        <v>1435.0</v>
      </c>
      <c r="K28">
        <f t="shared" si="1"/>
        <v>3692</v>
      </c>
    </row>
    <row r="29" spans="1:11" x14ac:dyDescent="0.25">
      <c r="A29">
        <v>18</v>
      </c>
      <c r="B29" s="9" t="n">
        <v>79.1071057710219</v>
      </c>
      <c r="C29" s="9" t="n">
        <v>0.0</v>
      </c>
      <c r="D29" s="9" t="n">
        <v>362.9032939101613</v>
      </c>
      <c r="E29" s="9">
        <f t="shared" si="0"/>
        <v>442.01039968118323</v>
      </c>
      <c r="G29">
        <v>18</v>
      </c>
      <c r="H29" t="n">
        <v>1477.0</v>
      </c>
      <c r="I29" t="n">
        <v>280.0</v>
      </c>
      <c r="J29" s="20" t="n">
        <v>1146.0</v>
      </c>
      <c r="K29">
        <f t="shared" si="1"/>
        <v>3008</v>
      </c>
    </row>
    <row r="30" spans="1:11" x14ac:dyDescent="0.25">
      <c r="A30">
        <v>19</v>
      </c>
      <c r="B30" s="9" t="n">
        <v>53.4613459214978</v>
      </c>
      <c r="C30" s="9" t="n">
        <v>573.834047316861</v>
      </c>
      <c r="D30" s="9" t="n">
        <v>392.200054144028</v>
      </c>
      <c r="E30" s="9">
        <f t="shared" si="0"/>
        <v>1019.4954473823868</v>
      </c>
      <c r="G30">
        <v>19</v>
      </c>
      <c r="H30" t="n">
        <v>1334.0</v>
      </c>
      <c r="I30" t="n">
        <v>205.0</v>
      </c>
      <c r="J30" s="20" t="n">
        <v>948.0</v>
      </c>
      <c r="K30">
        <f t="shared" si="1"/>
        <v>2599</v>
      </c>
    </row>
    <row r="31" spans="1:11" x14ac:dyDescent="0.25">
      <c r="A31">
        <v>20</v>
      </c>
      <c r="B31" s="9" t="n">
        <v>0.0</v>
      </c>
      <c r="C31" s="9" t="n">
        <v>277.4739918008205</v>
      </c>
      <c r="D31" s="9" t="n">
        <v>504.4462196748004</v>
      </c>
      <c r="E31" s="9">
        <f t="shared" si="0"/>
        <v>781.92021147562082</v>
      </c>
      <c r="G31">
        <v>20</v>
      </c>
      <c r="H31" t="n">
        <v>1123.0</v>
      </c>
      <c r="I31" t="n">
        <v>196.0</v>
      </c>
      <c r="J31" s="20" t="n">
        <v>895.0</v>
      </c>
      <c r="K31">
        <f t="shared" si="1"/>
        <v>2174</v>
      </c>
    </row>
    <row r="32" spans="1:11" x14ac:dyDescent="0.25">
      <c r="A32">
        <v>21</v>
      </c>
      <c r="B32" s="9" t="n">
        <v>90.2859894393106</v>
      </c>
      <c r="C32" s="9" t="n">
        <v>227.521124752485</v>
      </c>
      <c r="D32" s="9" t="n">
        <v>224.49057805661639</v>
      </c>
      <c r="E32" s="9">
        <f t="shared" si="0"/>
        <v>542.29769224841198</v>
      </c>
      <c r="G32">
        <v>21</v>
      </c>
      <c r="H32" t="n">
        <v>912.0</v>
      </c>
      <c r="I32" t="n">
        <v>155.0</v>
      </c>
      <c r="J32" s="20" t="n">
        <v>809.0</v>
      </c>
      <c r="K32">
        <f t="shared" si="1"/>
        <v>1998</v>
      </c>
    </row>
    <row r="33" spans="1:11" x14ac:dyDescent="0.25">
      <c r="A33">
        <v>22</v>
      </c>
      <c r="B33" s="9" t="n">
        <v>102.283514358069</v>
      </c>
      <c r="C33" s="9" t="n">
        <v>288.16258749818</v>
      </c>
      <c r="D33" s="9" t="n">
        <v>54.1925997914368</v>
      </c>
      <c r="E33" s="9">
        <f t="shared" si="0"/>
        <v>444.63870164768582</v>
      </c>
      <c r="G33">
        <v>22</v>
      </c>
      <c r="H33" t="n">
        <v>833.0</v>
      </c>
      <c r="I33" t="n">
        <v>120.0</v>
      </c>
      <c r="J33" s="20" t="n">
        <v>860.0</v>
      </c>
      <c r="K33">
        <f t="shared" si="1"/>
        <v>1779</v>
      </c>
    </row>
    <row r="34" spans="1:11" x14ac:dyDescent="0.25">
      <c r="A34">
        <v>23</v>
      </c>
      <c r="B34" s="9" t="n">
        <v>113.149135725981</v>
      </c>
      <c r="C34" s="9" t="n">
        <v>0.0</v>
      </c>
      <c r="D34" s="9" t="n">
        <v>443.0060920026801</v>
      </c>
      <c r="E34" s="9">
        <f t="shared" si="0"/>
        <v>556.15522772866109</v>
      </c>
      <c r="G34">
        <v>23</v>
      </c>
      <c r="H34" t="n">
        <v>705.0</v>
      </c>
      <c r="I34" t="n">
        <v>114.0</v>
      </c>
      <c r="J34" s="20" t="n">
        <v>793.0</v>
      </c>
      <c r="K34">
        <f t="shared" si="1"/>
        <v>1532</v>
      </c>
    </row>
    <row r="35" spans="1:11" x14ac:dyDescent="0.25">
      <c r="A35">
        <v>24</v>
      </c>
      <c r="B35" s="9" t="n">
        <v>0.0</v>
      </c>
      <c r="C35" s="9" t="n">
        <v>0.0</v>
      </c>
      <c r="D35" s="9" t="n">
        <v>506.12224879416397</v>
      </c>
      <c r="E35" s="9">
        <f t="shared" si="0"/>
        <v>506.12224879416397</v>
      </c>
      <c r="G35">
        <v>24</v>
      </c>
      <c r="H35" t="n">
        <v>589.0</v>
      </c>
      <c r="I35" t="n">
        <v>100.0</v>
      </c>
      <c r="J35" s="20" t="n">
        <v>574.0</v>
      </c>
      <c r="K35">
        <f t="shared" si="1"/>
        <v>1214</v>
      </c>
    </row>
    <row r="36" spans="1:11" x14ac:dyDescent="0.25">
      <c r="A36">
        <v>25</v>
      </c>
      <c r="B36" s="9" t="n">
        <v>0.0</v>
      </c>
      <c r="C36" s="9" t="n">
        <v>507.647858760398</v>
      </c>
      <c r="D36" s="9" t="n">
        <v>623.5513478389706</v>
      </c>
      <c r="E36" s="9">
        <f t="shared" si="0"/>
        <v>1131.1992065993686</v>
      </c>
      <c r="G36">
        <v>25</v>
      </c>
      <c r="H36" t="n">
        <v>440.0</v>
      </c>
      <c r="I36" t="n">
        <v>58.0</v>
      </c>
      <c r="J36" s="20" t="n">
        <v>660.0</v>
      </c>
      <c r="K36">
        <f t="shared" si="1"/>
        <v>1104</v>
      </c>
    </row>
    <row r="37" spans="1:11" x14ac:dyDescent="0.25">
      <c r="A37">
        <v>26</v>
      </c>
      <c r="B37" s="9" t="n">
        <v>0.0</v>
      </c>
      <c r="C37" s="9" t="n">
        <v>0.0</v>
      </c>
      <c r="D37" s="9" t="n">
        <v>394.89697712799864</v>
      </c>
      <c r="E37" s="9">
        <f t="shared" si="0"/>
        <v>394.89697712799864</v>
      </c>
      <c r="G37">
        <v>26</v>
      </c>
      <c r="H37" t="n">
        <v>410.0</v>
      </c>
      <c r="I37" t="n">
        <v>58.0</v>
      </c>
      <c r="J37" s="20" t="n">
        <v>865.0</v>
      </c>
      <c r="K37">
        <f t="shared" si="1"/>
        <v>1124</v>
      </c>
    </row>
    <row r="38" spans="1:11" x14ac:dyDescent="0.25">
      <c r="A38">
        <v>27</v>
      </c>
      <c r="B38" s="9" t="n">
        <v>845.456127338339</v>
      </c>
      <c r="C38" s="9" t="n">
        <v>0.0</v>
      </c>
      <c r="D38" s="9" t="n">
        <v>1324.6288370722095</v>
      </c>
      <c r="E38" s="9">
        <f t="shared" si="0"/>
        <v>2170.0849644105483</v>
      </c>
      <c r="G38">
        <v>27</v>
      </c>
      <c r="H38" t="n">
        <v>394.0</v>
      </c>
      <c r="I38" t="n">
        <v>68.0</v>
      </c>
      <c r="J38" s="20" t="n">
        <v>677.0</v>
      </c>
      <c r="K38">
        <f t="shared" si="1"/>
        <v>967</v>
      </c>
    </row>
    <row r="39" spans="1:11" x14ac:dyDescent="0.25">
      <c r="A39">
        <v>28</v>
      </c>
      <c r="B39" s="9" t="n">
        <v>0.0</v>
      </c>
      <c r="C39" s="9" t="n">
        <v>0.0</v>
      </c>
      <c r="D39" s="9" t="n">
        <v>1267.6813488137034</v>
      </c>
      <c r="E39" s="9">
        <f t="shared" si="0"/>
        <v>1267.6813488137034</v>
      </c>
      <c r="G39">
        <v>28</v>
      </c>
      <c r="H39" t="n">
        <v>282.0</v>
      </c>
      <c r="I39" t="n">
        <v>46.0</v>
      </c>
      <c r="J39" s="20" t="n">
        <v>550.0</v>
      </c>
      <c r="K39">
        <f t="shared" si="1"/>
        <v>807</v>
      </c>
    </row>
    <row r="40" spans="1:11" x14ac:dyDescent="0.25">
      <c r="A40">
        <v>29</v>
      </c>
      <c r="B40" s="9" t="n">
        <v>50.3163281591207</v>
      </c>
      <c r="C40" s="9" t="n">
        <v>107.823473188872</v>
      </c>
      <c r="D40" s="9" t="n">
        <v>215.1126021160905</v>
      </c>
      <c r="E40" s="9">
        <f t="shared" si="0"/>
        <v>373.25240346408322</v>
      </c>
      <c r="G40">
        <v>29</v>
      </c>
      <c r="H40" t="n">
        <v>257.0</v>
      </c>
      <c r="I40" t="n">
        <v>39.0</v>
      </c>
      <c r="J40" s="20" t="n">
        <v>442.0</v>
      </c>
      <c r="K40">
        <f t="shared" si="1"/>
        <v>674</v>
      </c>
    </row>
    <row r="41" spans="1:11" x14ac:dyDescent="0.25">
      <c r="A41">
        <v>30</v>
      </c>
      <c r="B41" s="9" t="n">
        <v>236.211031774193</v>
      </c>
      <c r="C41" s="9" t="n">
        <v>0.0</v>
      </c>
      <c r="D41" s="9" t="n">
        <v>118.0614535132571</v>
      </c>
      <c r="E41" s="9">
        <f t="shared" si="0"/>
        <v>354.27248528745008</v>
      </c>
      <c r="G41">
        <v>30</v>
      </c>
      <c r="H41" t="n">
        <v>215.0</v>
      </c>
      <c r="I41" t="n">
        <v>30.0</v>
      </c>
      <c r="J41" s="20" t="n">
        <v>334.0</v>
      </c>
      <c r="K41">
        <f t="shared" si="1"/>
        <v>542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687.540213523296</v>
      </c>
      <c r="E42" s="9">
        <f t="shared" si="0"/>
        <v>687.54021352329596</v>
      </c>
      <c r="G42">
        <v>31</v>
      </c>
      <c r="H42" t="n">
        <v>198.0</v>
      </c>
      <c r="I42" t="n">
        <v>40.0</v>
      </c>
      <c r="J42" s="20" t="n">
        <v>447.0</v>
      </c>
      <c r="K42">
        <f t="shared" si="1"/>
        <v>574</v>
      </c>
    </row>
    <row r="43" spans="1:11" x14ac:dyDescent="0.25">
      <c r="A43">
        <v>32</v>
      </c>
      <c r="B43" s="9" t="n">
        <v>0.0</v>
      </c>
      <c r="C43" s="9" t="n">
        <v>0.0</v>
      </c>
      <c r="D43" s="9" t="n">
        <v>50.0203779605001</v>
      </c>
      <c r="E43" s="9">
        <f t="shared" ref="E43:E74" si="2">SUM(B43:D43)</f>
        <v>50.020377960500099</v>
      </c>
      <c r="G43">
        <v>32</v>
      </c>
      <c r="H43" t="n">
        <v>160.0</v>
      </c>
      <c r="I43" t="n">
        <v>26.0</v>
      </c>
      <c r="J43" s="20" t="n">
        <v>341.0</v>
      </c>
      <c r="K43">
        <f t="shared" ref="K43:K74" si="3">SUM(H43:J43)</f>
        <v>473</v>
      </c>
    </row>
    <row r="44" spans="1:11" x14ac:dyDescent="0.25">
      <c r="A44">
        <v>33</v>
      </c>
      <c r="B44" s="9" t="n">
        <v>0.0</v>
      </c>
      <c r="C44" s="9" t="n">
        <v>0.0</v>
      </c>
      <c r="D44" s="9" t="n">
        <v>0.0</v>
      </c>
      <c r="E44" s="9">
        <f t="shared" si="2"/>
        <v>0</v>
      </c>
      <c r="G44">
        <v>33</v>
      </c>
      <c r="H44" t="n">
        <v>139.0</v>
      </c>
      <c r="I44" t="n">
        <v>21.0</v>
      </c>
      <c r="J44" s="20" t="n">
        <v>439.0</v>
      </c>
      <c r="K44">
        <f t="shared" si="3"/>
        <v>481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548.8434346986041</v>
      </c>
      <c r="E45" s="9">
        <f t="shared" si="2"/>
        <v>548.84343469860414</v>
      </c>
      <c r="G45">
        <v>34</v>
      </c>
      <c r="H45" t="n">
        <v>97.0</v>
      </c>
      <c r="I45" t="n">
        <v>24.0</v>
      </c>
      <c r="J45" s="20" t="n">
        <v>317.0</v>
      </c>
      <c r="K45">
        <f t="shared" si="3"/>
        <v>448</v>
      </c>
    </row>
    <row r="46" spans="1:11" x14ac:dyDescent="0.25">
      <c r="A46">
        <v>35</v>
      </c>
      <c r="B46" s="9" t="n">
        <v>0.0</v>
      </c>
      <c r="C46" s="9" t="n">
        <v>0.0</v>
      </c>
      <c r="D46" s="9" t="n">
        <v>66.4095707402952</v>
      </c>
      <c r="E46" s="9">
        <f t="shared" si="2"/>
        <v>66.409570740295194</v>
      </c>
      <c r="G46">
        <v>35</v>
      </c>
      <c r="H46" t="n">
        <v>88.0</v>
      </c>
      <c r="I46" t="n">
        <v>24.0</v>
      </c>
      <c r="J46" s="20" t="n">
        <v>276.0</v>
      </c>
      <c r="K46">
        <f t="shared" si="3"/>
        <v>325</v>
      </c>
    </row>
    <row r="47" spans="1:11" x14ac:dyDescent="0.25">
      <c r="A47">
        <v>36</v>
      </c>
      <c r="B47" s="9" t="n">
        <v>0.0</v>
      </c>
      <c r="C47" s="9" t="n">
        <v>0.0</v>
      </c>
      <c r="D47" s="9" t="n">
        <v>366.082424987433</v>
      </c>
      <c r="E47" s="9">
        <f t="shared" si="2"/>
        <v>366.082424987433</v>
      </c>
      <c r="G47">
        <v>36</v>
      </c>
      <c r="H47" t="n">
        <v>90.0</v>
      </c>
      <c r="I47" t="n">
        <v>19.0</v>
      </c>
      <c r="J47" s="20" t="n">
        <v>198.0</v>
      </c>
      <c r="K47">
        <f t="shared" si="3"/>
        <v>272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248.288978311038</v>
      </c>
      <c r="E48" s="9">
        <f t="shared" si="2"/>
        <v>248.28897831103799</v>
      </c>
      <c r="G48">
        <v>37</v>
      </c>
      <c r="H48" t="n">
        <v>74.0</v>
      </c>
      <c r="I48" t="n">
        <v>8.0</v>
      </c>
      <c r="J48" s="20" t="n">
        <v>175.0</v>
      </c>
      <c r="K48">
        <f t="shared" si="3"/>
        <v>200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53.7405419735351</v>
      </c>
      <c r="E49" s="9">
        <f t="shared" si="2"/>
        <v>53.740541973535102</v>
      </c>
      <c r="G49">
        <v>38</v>
      </c>
      <c r="H49" t="n">
        <v>57.0</v>
      </c>
      <c r="I49" t="n">
        <v>6.0</v>
      </c>
      <c r="J49" s="20" t="n">
        <v>121.0</v>
      </c>
      <c r="K49">
        <f t="shared" si="3"/>
        <v>144</v>
      </c>
    </row>
    <row r="50" spans="1:11" x14ac:dyDescent="0.25">
      <c r="A50">
        <v>39</v>
      </c>
      <c r="B50" s="9" t="n">
        <v>0.0</v>
      </c>
      <c r="C50" s="9" t="n">
        <v>0.0</v>
      </c>
      <c r="D50" s="9" t="n">
        <v>0.0</v>
      </c>
      <c r="E50" s="9">
        <f t="shared" si="2"/>
        <v>0</v>
      </c>
      <c r="G50">
        <v>39</v>
      </c>
      <c r="H50" t="n">
        <v>61.0</v>
      </c>
      <c r="I50" t="n">
        <v>15.0</v>
      </c>
      <c r="J50" s="20" t="n">
        <v>116.0</v>
      </c>
      <c r="K50">
        <f t="shared" si="3"/>
        <v>140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0.0</v>
      </c>
      <c r="E51" s="9">
        <f t="shared" si="2"/>
        <v>0</v>
      </c>
      <c r="G51">
        <v>40</v>
      </c>
      <c r="H51" t="n">
        <v>53.0</v>
      </c>
      <c r="I51" t="n">
        <v>6.0</v>
      </c>
      <c r="J51" s="20" t="n">
        <v>98.0</v>
      </c>
      <c r="K51">
        <f t="shared" si="3"/>
        <v>119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0.0</v>
      </c>
      <c r="E52" s="9">
        <f t="shared" si="2"/>
        <v>0</v>
      </c>
      <c r="G52">
        <v>41</v>
      </c>
      <c r="H52" t="n">
        <v>50.0</v>
      </c>
      <c r="I52" t="n">
        <v>9.0</v>
      </c>
      <c r="J52" s="20" t="n">
        <v>72.0</v>
      </c>
      <c r="K52">
        <f t="shared" si="3"/>
        <v>108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48.0</v>
      </c>
      <c r="I53" t="n">
        <v>7.0</v>
      </c>
      <c r="J53" s="20" t="n">
        <v>89.0</v>
      </c>
      <c r="K53">
        <f t="shared" si="3"/>
        <v>103</v>
      </c>
    </row>
    <row r="54" spans="1:11" x14ac:dyDescent="0.25">
      <c r="A54">
        <v>43</v>
      </c>
      <c r="B54" s="9" t="n">
        <v>0.0</v>
      </c>
      <c r="C54" s="9" t="n">
        <v>0.0</v>
      </c>
      <c r="D54" s="9" t="n">
        <v>48.4854558600498</v>
      </c>
      <c r="E54" s="9">
        <f t="shared" si="2"/>
        <v>48.485455860049797</v>
      </c>
      <c r="G54">
        <v>43</v>
      </c>
      <c r="H54" t="n">
        <v>32.0</v>
      </c>
      <c r="I54" t="n">
        <v>6.0</v>
      </c>
      <c r="J54" s="20" t="n">
        <v>62.0</v>
      </c>
      <c r="K54">
        <f t="shared" si="3"/>
        <v>81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0.0</v>
      </c>
      <c r="E55" s="9">
        <f t="shared" si="2"/>
        <v>0</v>
      </c>
      <c r="G55">
        <v>44</v>
      </c>
      <c r="H55" t="n">
        <v>39.0</v>
      </c>
      <c r="I55" t="n">
        <v>4.0</v>
      </c>
      <c r="J55" s="20" t="n">
        <v>45.0</v>
      </c>
      <c r="K55">
        <f t="shared" si="3"/>
        <v>70</v>
      </c>
    </row>
    <row r="56" spans="1:11" x14ac:dyDescent="0.25">
      <c r="A56">
        <v>45</v>
      </c>
      <c r="B56" s="9" t="n">
        <v>0.0</v>
      </c>
      <c r="C56" s="9" t="n">
        <v>0.0</v>
      </c>
      <c r="D56" s="9" t="n">
        <v>0.0</v>
      </c>
      <c r="E56" s="9">
        <f t="shared" si="2"/>
        <v>0</v>
      </c>
      <c r="G56">
        <v>45</v>
      </c>
      <c r="H56" t="n">
        <v>30.0</v>
      </c>
      <c r="I56" t="n">
        <v>3.0</v>
      </c>
      <c r="J56" s="20" t="n">
        <v>44.0</v>
      </c>
      <c r="K56">
        <f t="shared" si="3"/>
        <v>78</v>
      </c>
    </row>
    <row r="57" spans="1:11" x14ac:dyDescent="0.25">
      <c r="A57">
        <v>46</v>
      </c>
      <c r="B57" s="9" t="n">
        <v>0.0</v>
      </c>
      <c r="C57" s="9" t="n">
        <v>0.0</v>
      </c>
      <c r="D57" s="9" t="n">
        <v>0.0</v>
      </c>
      <c r="E57" s="9">
        <f t="shared" si="2"/>
        <v>0</v>
      </c>
      <c r="G57">
        <v>46</v>
      </c>
      <c r="H57" t="n">
        <v>11.0</v>
      </c>
      <c r="I57" t="n">
        <v>2.0</v>
      </c>
      <c r="J57" s="20" t="n">
        <v>44.0</v>
      </c>
      <c r="K57">
        <f t="shared" si="3"/>
        <v>35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178.423663881329</v>
      </c>
      <c r="E58" s="9">
        <f t="shared" si="2"/>
        <v>178.42366388132899</v>
      </c>
      <c r="G58">
        <v>47</v>
      </c>
      <c r="H58" t="n">
        <v>28.0</v>
      </c>
      <c r="I58" t="n">
        <v>7.0</v>
      </c>
      <c r="J58" s="20" t="n">
        <v>42.0</v>
      </c>
      <c r="K58">
        <f t="shared" si="3"/>
        <v>36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51.787570040342004</v>
      </c>
      <c r="E59" s="9">
        <f t="shared" si="2"/>
        <v>51.787570040342004</v>
      </c>
      <c r="G59">
        <v>48</v>
      </c>
      <c r="H59" t="n">
        <v>29.0</v>
      </c>
      <c r="I59" t="n">
        <v>7.0</v>
      </c>
      <c r="J59" s="20" t="n">
        <v>34.0</v>
      </c>
      <c r="K59">
        <f t="shared" si="3"/>
        <v>33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139.31933184590338</v>
      </c>
      <c r="E60" s="9">
        <f t="shared" si="2"/>
        <v>139.31933184590338</v>
      </c>
      <c r="G60">
        <v>49</v>
      </c>
      <c r="H60" t="n">
        <v>26.0</v>
      </c>
      <c r="I60" t="n">
        <v>0.0</v>
      </c>
      <c r="J60" s="20" t="n">
        <v>18.0</v>
      </c>
      <c r="K60">
        <f t="shared" si="3"/>
        <v>28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0.0</v>
      </c>
      <c r="E61" s="9">
        <f t="shared" si="2"/>
        <v>0</v>
      </c>
      <c r="G61">
        <v>50</v>
      </c>
      <c r="H61" t="n">
        <v>25.0</v>
      </c>
      <c r="I61" t="n">
        <v>4.0</v>
      </c>
      <c r="J61" s="20" t="n">
        <v>23.0</v>
      </c>
      <c r="K61">
        <f t="shared" si="3"/>
        <v>29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35.7968269485413</v>
      </c>
      <c r="E62" s="9">
        <f t="shared" si="2"/>
        <v>35.796826948541302</v>
      </c>
      <c r="G62">
        <v>51</v>
      </c>
      <c r="H62" t="n">
        <v>21.0</v>
      </c>
      <c r="I62" t="n">
        <v>2.0</v>
      </c>
      <c r="J62" s="20" t="n">
        <v>26.0</v>
      </c>
      <c r="K62">
        <f t="shared" si="3"/>
        <v>25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208.5172498519118</v>
      </c>
      <c r="E63" s="9">
        <f t="shared" si="2"/>
        <v>208.5172498519118</v>
      </c>
      <c r="G63">
        <v>52</v>
      </c>
      <c r="H63" t="n">
        <v>20.0</v>
      </c>
      <c r="I63" t="n">
        <v>3.0</v>
      </c>
      <c r="J63" s="20" t="n">
        <v>19.0</v>
      </c>
      <c r="K63">
        <f t="shared" si="3"/>
        <v>27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0.0</v>
      </c>
      <c r="E64" s="9">
        <f t="shared" si="2"/>
        <v>0</v>
      </c>
      <c r="G64">
        <v>53</v>
      </c>
      <c r="H64" t="n">
        <v>23.0</v>
      </c>
      <c r="I64" t="n">
        <v>3.0</v>
      </c>
      <c r="J64" s="20" t="n">
        <v>29.0</v>
      </c>
      <c r="K64">
        <f t="shared" si="3"/>
        <v>19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14.0</v>
      </c>
      <c r="I65" t="n">
        <v>1.0</v>
      </c>
      <c r="J65" s="20" t="n">
        <v>17.0</v>
      </c>
      <c r="K65">
        <f t="shared" si="3"/>
        <v>8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2"/>
        <v>0</v>
      </c>
      <c r="G66">
        <v>55</v>
      </c>
      <c r="H66" t="n">
        <v>14.0</v>
      </c>
      <c r="I66" t="n">
        <v>1.0</v>
      </c>
      <c r="J66" s="20" t="n">
        <v>8.0</v>
      </c>
      <c r="K66">
        <f t="shared" si="3"/>
        <v>11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0.0</v>
      </c>
      <c r="E67" s="9">
        <f t="shared" si="2"/>
        <v>0</v>
      </c>
      <c r="G67">
        <v>56</v>
      </c>
      <c r="H67" t="n">
        <v>13.0</v>
      </c>
      <c r="I67" t="n">
        <v>2.0</v>
      </c>
      <c r="J67" s="20" t="n">
        <v>10.0</v>
      </c>
      <c r="K67">
        <f t="shared" si="3"/>
        <v>10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15.0</v>
      </c>
      <c r="I68" t="n">
        <v>1.0</v>
      </c>
      <c r="J68" s="20" t="n">
        <v>4.0</v>
      </c>
      <c r="K68">
        <f t="shared" si="3"/>
        <v>12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2"/>
        <v>0</v>
      </c>
      <c r="G69">
        <v>58</v>
      </c>
      <c r="H69" t="n">
        <v>18.0</v>
      </c>
      <c r="I69" t="n">
        <v>2.0</v>
      </c>
      <c r="J69" s="20" t="n">
        <v>2.0</v>
      </c>
      <c r="K69">
        <f t="shared" si="3"/>
        <v>6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20.0</v>
      </c>
      <c r="I70" t="n">
        <v>4.0</v>
      </c>
      <c r="J70" s="20" t="n">
        <v>5.0</v>
      </c>
      <c r="K70">
        <f t="shared" si="3"/>
        <v>6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12.0</v>
      </c>
      <c r="I71" t="n">
        <v>3.0</v>
      </c>
      <c r="J71" s="20" t="n">
        <v>1.0</v>
      </c>
      <c r="K71">
        <f t="shared" si="3"/>
        <v>2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17.0</v>
      </c>
      <c r="I72" t="n">
        <v>4.0</v>
      </c>
      <c r="J72" s="20" t="n">
        <v>4.0</v>
      </c>
      <c r="K72">
        <f t="shared" si="3"/>
        <v>4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6.0</v>
      </c>
      <c r="I73" t="n">
        <v>0.0</v>
      </c>
      <c r="J73" s="20" t="n">
        <v>3.0</v>
      </c>
      <c r="K73">
        <f t="shared" si="3"/>
        <v>1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18.0</v>
      </c>
      <c r="I74" t="n">
        <v>3.0</v>
      </c>
      <c r="J74" s="20" t="n">
        <v>2.0</v>
      </c>
      <c r="K74">
        <f t="shared" si="3"/>
        <v>1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ref="E75:E101" si="4">SUM(B75:D75)</f>
        <v>0</v>
      </c>
      <c r="G75">
        <v>64</v>
      </c>
      <c r="H75" t="n">
        <v>10.0</v>
      </c>
      <c r="I75" t="n">
        <v>1.0</v>
      </c>
      <c r="J75" s="20" t="n">
        <v>1.0</v>
      </c>
      <c r="K75">
        <f t="shared" ref="K75:K101" si="5">SUM(H75:J75)</f>
        <v>1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si="4"/>
        <v>0</v>
      </c>
      <c r="G76">
        <v>65</v>
      </c>
      <c r="H76" t="n">
        <v>15.0</v>
      </c>
      <c r="I76" t="n">
        <v>5.0</v>
      </c>
      <c r="J76" s="20" t="n">
        <v>3.0</v>
      </c>
      <c r="K76">
        <f t="shared" si="5"/>
        <v>2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4"/>
        <v>0</v>
      </c>
      <c r="G77">
        <v>66</v>
      </c>
      <c r="H77" t="n">
        <v>17.0</v>
      </c>
      <c r="I77" t="n">
        <v>1.0</v>
      </c>
      <c r="J77" t="n">
        <v>0.0</v>
      </c>
      <c r="K77">
        <f t="shared" si="5"/>
        <v>1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4"/>
        <v>0</v>
      </c>
      <c r="G78">
        <v>67</v>
      </c>
      <c r="H78" t="n">
        <v>3.0</v>
      </c>
      <c r="I78" t="n">
        <v>1.0</v>
      </c>
      <c r="J78" t="n">
        <v>0.0</v>
      </c>
      <c r="K78">
        <f t="shared" si="5"/>
        <v>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4"/>
        <v>0</v>
      </c>
      <c r="G79">
        <v>68</v>
      </c>
      <c r="H79" t="n">
        <v>18.0</v>
      </c>
      <c r="I79" t="n">
        <v>1.0</v>
      </c>
      <c r="J79" s="20" t="n">
        <v>1.0</v>
      </c>
      <c r="K79">
        <f t="shared" si="5"/>
        <v>0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4.0</v>
      </c>
      <c r="I80" t="n">
        <v>0.0</v>
      </c>
      <c r="J80" t="n">
        <v>2.0</v>
      </c>
      <c r="K80">
        <f t="shared" si="5"/>
        <v>0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15.0</v>
      </c>
      <c r="I81" t="n">
        <v>0.0</v>
      </c>
      <c r="J81" s="20" t="n">
        <v>0.0</v>
      </c>
      <c r="K81">
        <f t="shared" si="5"/>
        <v>1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4.0</v>
      </c>
      <c r="I82" t="n">
        <v>0.0</v>
      </c>
      <c r="J82" s="20" t="n">
        <v>0.0</v>
      </c>
      <c r="K82">
        <f t="shared" si="5"/>
        <v>0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14.0</v>
      </c>
      <c r="I83" t="n">
        <v>0.0</v>
      </c>
      <c r="J83" t="n">
        <v>0.0</v>
      </c>
      <c r="K83">
        <f t="shared" si="5"/>
        <v>1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5.0</v>
      </c>
      <c r="I84" t="n">
        <v>0.0</v>
      </c>
      <c r="J84" t="n">
        <v>0.0</v>
      </c>
      <c r="K84">
        <f t="shared" si="5"/>
        <v>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16.0</v>
      </c>
      <c r="I85" t="n">
        <v>2.0</v>
      </c>
      <c r="J85" t="n">
        <v>0.0</v>
      </c>
      <c r="K85">
        <f t="shared" si="5"/>
        <v>0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5.0</v>
      </c>
      <c r="I86" t="n">
        <v>0.0</v>
      </c>
      <c r="J86" t="n">
        <v>1.0</v>
      </c>
      <c r="K86">
        <f t="shared" si="5"/>
        <v>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5.0</v>
      </c>
      <c r="I87" t="n">
        <v>1.0</v>
      </c>
      <c r="J87" s="20" t="n">
        <v>0.0</v>
      </c>
      <c r="K87">
        <f t="shared" si="5"/>
        <v>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4.0</v>
      </c>
      <c r="I88" t="n">
        <v>3.0</v>
      </c>
      <c r="J88" t="n">
        <v>0.0</v>
      </c>
      <c r="K88">
        <f t="shared" si="5"/>
        <v>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4"/>
        <v>0</v>
      </c>
      <c r="G89">
        <v>78</v>
      </c>
      <c r="H89" t="n">
        <v>9.0</v>
      </c>
      <c r="I89" t="n">
        <v>1.0</v>
      </c>
      <c r="J89" s="20" t="n">
        <v>0.0</v>
      </c>
      <c r="K89">
        <f t="shared" si="5"/>
        <v>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9.0</v>
      </c>
      <c r="I90" t="n">
        <v>0.0</v>
      </c>
      <c r="J90" t="n">
        <v>0.0</v>
      </c>
      <c r="K90">
        <f t="shared" si="5"/>
        <v>0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4"/>
        <v>0</v>
      </c>
      <c r="G91">
        <v>80</v>
      </c>
      <c r="H91" t="n">
        <v>10.0</v>
      </c>
      <c r="I91" t="n">
        <v>1.0</v>
      </c>
      <c r="J91" t="n">
        <v>0.0</v>
      </c>
      <c r="K91">
        <f t="shared" si="5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6.0</v>
      </c>
      <c r="I92" t="n">
        <v>2.0</v>
      </c>
      <c r="J92" s="20" t="n">
        <v>0.0</v>
      </c>
      <c r="K92">
        <f t="shared" si="5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4"/>
        <v>0</v>
      </c>
      <c r="G93">
        <v>82</v>
      </c>
      <c r="H93" t="n">
        <v>6.0</v>
      </c>
      <c r="I93" t="n">
        <v>1.0</v>
      </c>
      <c r="J93" t="n">
        <v>0.0</v>
      </c>
      <c r="K93">
        <f t="shared" si="5"/>
        <v>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9.0</v>
      </c>
      <c r="I94" t="n">
        <v>0.0</v>
      </c>
      <c r="J94" t="n">
        <v>2.0</v>
      </c>
      <c r="K94">
        <f t="shared" si="5"/>
        <v>0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5.0</v>
      </c>
      <c r="I95" t="n">
        <v>0.0</v>
      </c>
      <c r="J95" t="n">
        <v>0.0</v>
      </c>
      <c r="K95">
        <f t="shared" si="5"/>
        <v>0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7.0</v>
      </c>
      <c r="I96" t="n">
        <v>0.0</v>
      </c>
      <c r="J96" t="n">
        <v>0.0</v>
      </c>
      <c r="K96">
        <f t="shared" si="5"/>
        <v>0</v>
      </c>
    </row>
    <row r="97" spans="1:12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8.0</v>
      </c>
      <c r="I97" t="n">
        <v>0.0</v>
      </c>
      <c r="J97" t="n">
        <v>0.0</v>
      </c>
      <c r="K97">
        <f t="shared" si="5"/>
        <v>0</v>
      </c>
    </row>
    <row r="98" spans="1:12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4.0</v>
      </c>
      <c r="I98" t="n">
        <v>1.0</v>
      </c>
      <c r="J98" t="n">
        <v>0.0</v>
      </c>
      <c r="K98">
        <f t="shared" si="5"/>
        <v>0</v>
      </c>
    </row>
    <row r="99" spans="1:12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12.0</v>
      </c>
      <c r="I99" t="n">
        <v>0.0</v>
      </c>
      <c r="J99" t="n">
        <v>0.0</v>
      </c>
      <c r="K99">
        <f t="shared" si="5"/>
        <v>0</v>
      </c>
    </row>
    <row r="100" spans="1:12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121.0</v>
      </c>
      <c r="I100" t="n">
        <v>19.0</v>
      </c>
      <c r="J100" t="n">
        <v>6.0</v>
      </c>
      <c r="K100">
        <f t="shared" si="5"/>
        <v>0</v>
      </c>
    </row>
    <row r="101" spans="1:12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1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218</v>
      </c>
    </row>
    <row r="3" spans="1:15" x14ac:dyDescent="0.25">
      <c r="A3" t="s">
        <v>9</v>
      </c>
    </row>
    <row r="4" spans="1:15" x14ac:dyDescent="0.25">
      <c r="A4" t="s">
        <v>8</v>
      </c>
    </row>
    <row r="5" spans="1:15" x14ac:dyDescent="0.25">
      <c r="A5" t="s">
        <v>10</v>
      </c>
    </row>
    <row r="9" spans="1:15" ht="15.75" thickBot="1" x14ac:dyDescent="0.3">
      <c r="A9" s="4" t="s">
        <v>210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1" t="s">
        <v>43</v>
      </c>
    </row>
    <row r="10" spans="1:15" x14ac:dyDescent="0.25">
      <c r="A10" s="2" t="s">
        <v>18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18</v>
      </c>
      <c r="H10" s="5" t="s">
        <v>48</v>
      </c>
      <c r="I10" s="5" t="s">
        <v>49</v>
      </c>
      <c r="J10" s="5" t="s">
        <v>50</v>
      </c>
      <c r="K10" s="5" t="s">
        <v>42</v>
      </c>
      <c r="M10" s="2"/>
      <c r="N10" s="5" t="s">
        <v>219</v>
      </c>
      <c r="O10" s="5" t="s">
        <v>42</v>
      </c>
    </row>
    <row r="11" spans="1:15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 t="shared" ref="E11:E42" si="0">SUM(B11:D11)</f>
        <v>0</v>
      </c>
      <c r="G11">
        <v>0</v>
      </c>
      <c r="H11" t="n">
        <v>3214.0</v>
      </c>
      <c r="I11" t="n">
        <v>310.0</v>
      </c>
      <c r="J11" s="20" t="n">
        <v>110.0</v>
      </c>
      <c r="K11">
        <f t="shared" ref="K11:K42" si="1">SUM(H11:J11)</f>
        <v>2993</v>
      </c>
      <c r="M11" t="s">
        <v>48</v>
      </c>
      <c r="N11" s="9" t="n">
        <v>10.675464322870809</v>
      </c>
      <c r="O11" s="9" t="n">
        <v>14.918162069936958</v>
      </c>
    </row>
    <row r="12" spans="1:15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si="0"/>
        <v>0</v>
      </c>
      <c r="G12">
        <v>1</v>
      </c>
      <c r="H12" t="n">
        <v>3340.0</v>
      </c>
      <c r="I12" t="n">
        <v>167.0</v>
      </c>
      <c r="J12" s="20" t="n">
        <v>277.0</v>
      </c>
      <c r="K12">
        <f t="shared" si="1"/>
        <v>6407</v>
      </c>
      <c r="M12" t="s">
        <v>49</v>
      </c>
      <c r="N12" s="9" t="n">
        <v>14.513354786860965</v>
      </c>
      <c r="O12" s="9" t="n">
        <v>17.76182396490958</v>
      </c>
    </row>
    <row r="13" spans="1:15" x14ac:dyDescent="0.25">
      <c r="A13">
        <v>2</v>
      </c>
      <c r="B13" s="9" t="n">
        <v>851.6192663093365</v>
      </c>
      <c r="C13" s="9" t="n">
        <v>117.943458806056</v>
      </c>
      <c r="D13" s="9" t="n">
        <v>0.0</v>
      </c>
      <c r="E13" s="9">
        <f t="shared" si="0"/>
        <v>969.56272511539248</v>
      </c>
      <c r="G13">
        <v>2</v>
      </c>
      <c r="H13" t="n">
        <v>5016.0</v>
      </c>
      <c r="I13" t="n">
        <v>281.0</v>
      </c>
      <c r="J13" s="20" t="n">
        <v>210.0</v>
      </c>
      <c r="K13">
        <f t="shared" si="1"/>
        <v>10084</v>
      </c>
      <c r="M13" s="6" t="s">
        <v>50</v>
      </c>
      <c r="N13" s="18" t="n">
        <v>20.938029307160818</v>
      </c>
      <c r="O13" s="18" t="n">
        <v>26.030421497207733</v>
      </c>
    </row>
    <row r="14" spans="1:15" ht="15.75" thickBot="1" x14ac:dyDescent="0.3">
      <c r="A14">
        <v>3</v>
      </c>
      <c r="B14" s="9" t="n">
        <v>9752.404830841708</v>
      </c>
      <c r="C14" s="9" t="n">
        <v>703.9646566785577</v>
      </c>
      <c r="D14" s="9" t="n">
        <v>2779.7408806180256</v>
      </c>
      <c r="E14" s="9">
        <f t="shared" si="0"/>
        <v>13236.110368138292</v>
      </c>
      <c r="G14">
        <v>3</v>
      </c>
      <c r="H14" t="n">
        <v>7075.0</v>
      </c>
      <c r="I14" t="n">
        <v>507.0</v>
      </c>
      <c r="J14" s="20" t="n">
        <v>1033.0</v>
      </c>
      <c r="K14">
        <f t="shared" si="1"/>
        <v>17870</v>
      </c>
      <c r="M14" s="1" t="s">
        <v>3</v>
      </c>
      <c r="N14" s="19" t="n">
        <v>13.084710008008534</v>
      </c>
      <c r="O14" s="19" t="n">
        <v>17.69217699683882</v>
      </c>
    </row>
    <row r="15" spans="1:15" x14ac:dyDescent="0.25">
      <c r="A15">
        <v>4</v>
      </c>
      <c r="B15" s="9" t="n">
        <v>8665.532874230516</v>
      </c>
      <c r="C15" s="9" t="n">
        <v>1989.3235305749224</v>
      </c>
      <c r="D15" s="9" t="n">
        <v>754.0499648760704</v>
      </c>
      <c r="E15" s="9">
        <f t="shared" si="0"/>
        <v>11408.906369681508</v>
      </c>
      <c r="G15">
        <v>4</v>
      </c>
      <c r="H15" t="n">
        <v>11158.0</v>
      </c>
      <c r="I15" t="n">
        <v>965.0</v>
      </c>
      <c r="J15" s="20" t="n">
        <v>1943.0</v>
      </c>
      <c r="K15">
        <f t="shared" si="1"/>
        <v>23259</v>
      </c>
    </row>
    <row r="16" spans="1:15" x14ac:dyDescent="0.25">
      <c r="A16">
        <v>5</v>
      </c>
      <c r="B16" s="9" t="n">
        <v>20910.58868473189</v>
      </c>
      <c r="C16" s="9" t="n">
        <v>3814.0463480633907</v>
      </c>
      <c r="D16" s="9" t="n">
        <v>2582.8839789699377</v>
      </c>
      <c r="E16" s="9">
        <f t="shared" si="0"/>
        <v>27307.51901176522</v>
      </c>
      <c r="G16">
        <v>5</v>
      </c>
      <c r="H16" t="n">
        <v>17960.0</v>
      </c>
      <c r="I16" t="n">
        <v>1478.0</v>
      </c>
      <c r="J16" s="20" t="n">
        <v>2520.0</v>
      </c>
      <c r="K16">
        <f t="shared" si="1"/>
        <v>29777</v>
      </c>
    </row>
    <row r="17" spans="1:11" x14ac:dyDescent="0.25">
      <c r="A17">
        <v>6</v>
      </c>
      <c r="B17" s="9" t="n">
        <v>18235.473056017192</v>
      </c>
      <c r="C17" s="9" t="n">
        <v>964.5670136920435</v>
      </c>
      <c r="D17" s="9" t="n">
        <v>2334.3165631535344</v>
      </c>
      <c r="E17" s="9">
        <f t="shared" si="0"/>
        <v>21534.356632862768</v>
      </c>
      <c r="G17">
        <v>6</v>
      </c>
      <c r="H17" t="n">
        <v>23993.0</v>
      </c>
      <c r="I17" t="n">
        <v>2531.0</v>
      </c>
      <c r="J17" s="20" t="n">
        <v>1537.0</v>
      </c>
      <c r="K17">
        <f t="shared" si="1"/>
        <v>29545</v>
      </c>
    </row>
    <row r="18" spans="1:11" x14ac:dyDescent="0.25">
      <c r="A18">
        <v>7</v>
      </c>
      <c r="B18" s="9" t="n">
        <v>12945.058146038315</v>
      </c>
      <c r="C18" s="9" t="n">
        <v>2386.5740940292612</v>
      </c>
      <c r="D18" s="9" t="n">
        <v>1767.7469738462314</v>
      </c>
      <c r="E18" s="9">
        <f t="shared" si="0"/>
        <v>17099.37921391381</v>
      </c>
      <c r="G18">
        <v>7</v>
      </c>
      <c r="H18" t="n">
        <v>22928.0</v>
      </c>
      <c r="I18" t="n">
        <v>3093.0</v>
      </c>
      <c r="J18" s="20" t="n">
        <v>3402.0</v>
      </c>
      <c r="K18">
        <f t="shared" si="1"/>
        <v>24686</v>
      </c>
    </row>
    <row r="19" spans="1:11" x14ac:dyDescent="0.25">
      <c r="A19">
        <v>8</v>
      </c>
      <c r="B19" s="9" t="n">
        <v>16529.899122989722</v>
      </c>
      <c r="C19" s="9" t="n">
        <v>1953.508513747059</v>
      </c>
      <c r="D19" s="9" t="n">
        <v>2038.766738653932</v>
      </c>
      <c r="E19" s="9">
        <f t="shared" si="0"/>
        <v>20522.174375390714</v>
      </c>
      <c r="G19">
        <v>8</v>
      </c>
      <c r="H19" t="n">
        <v>17978.0</v>
      </c>
      <c r="I19" t="n">
        <v>3706.0</v>
      </c>
      <c r="J19" s="20" t="n">
        <v>3871.0</v>
      </c>
      <c r="K19">
        <f t="shared" si="1"/>
        <v>19972</v>
      </c>
    </row>
    <row r="20" spans="1:11" x14ac:dyDescent="0.25">
      <c r="A20">
        <v>9</v>
      </c>
      <c r="B20" s="9" t="n">
        <v>13428.508667954702</v>
      </c>
      <c r="C20" s="9" t="n">
        <v>1773.7092841493188</v>
      </c>
      <c r="D20" s="9" t="n">
        <v>1478.9452829419386</v>
      </c>
      <c r="E20" s="9">
        <f t="shared" si="0"/>
        <v>16681.163235045959</v>
      </c>
      <c r="G20">
        <v>9</v>
      </c>
      <c r="H20" t="n">
        <v>12397.0</v>
      </c>
      <c r="I20" t="n">
        <v>3109.0</v>
      </c>
      <c r="J20" s="20" t="n">
        <v>5047.0</v>
      </c>
      <c r="K20">
        <f t="shared" si="1"/>
        <v>15581</v>
      </c>
    </row>
    <row r="21" spans="1:11" x14ac:dyDescent="0.25">
      <c r="A21">
        <v>10</v>
      </c>
      <c r="B21" s="9" t="n">
        <v>10443.825107456501</v>
      </c>
      <c r="C21" s="9" t="n">
        <v>2844.2979488065034</v>
      </c>
      <c r="D21" s="9" t="n">
        <v>745.14775412873</v>
      </c>
      <c r="E21" s="9">
        <f t="shared" si="0"/>
        <v>14033.270810391734</v>
      </c>
      <c r="G21">
        <v>10</v>
      </c>
      <c r="H21" t="n">
        <v>9422.0</v>
      </c>
      <c r="I21" t="n">
        <v>2918.0</v>
      </c>
      <c r="J21" s="20" t="n">
        <v>2409.0</v>
      </c>
      <c r="K21">
        <f t="shared" si="1"/>
        <v>12516</v>
      </c>
    </row>
    <row r="22" spans="1:11" x14ac:dyDescent="0.25">
      <c r="A22">
        <v>11</v>
      </c>
      <c r="B22" s="9" t="n">
        <v>6108.254994788854</v>
      </c>
      <c r="C22" s="9" t="n">
        <v>2630.5891083067213</v>
      </c>
      <c r="D22" s="9" t="n">
        <v>417.4922963810855</v>
      </c>
      <c r="E22" s="9">
        <f t="shared" si="0"/>
        <v>9156.3363994766605</v>
      </c>
      <c r="G22">
        <v>11</v>
      </c>
      <c r="H22" t="n">
        <v>6984.0</v>
      </c>
      <c r="I22" t="n">
        <v>2446.0</v>
      </c>
      <c r="J22" s="20" t="n">
        <v>1628.0</v>
      </c>
      <c r="K22">
        <f t="shared" si="1"/>
        <v>12703</v>
      </c>
    </row>
    <row r="23" spans="1:11" x14ac:dyDescent="0.25">
      <c r="A23">
        <v>12</v>
      </c>
      <c r="B23" s="9" t="n">
        <v>9776.161492381958</v>
      </c>
      <c r="C23" s="9" t="n">
        <v>2178.3767796720954</v>
      </c>
      <c r="D23" s="9" t="n">
        <v>2321.195393035405</v>
      </c>
      <c r="E23" s="9">
        <f t="shared" si="0"/>
        <v>14275.733665089458</v>
      </c>
      <c r="G23">
        <v>12</v>
      </c>
      <c r="H23" t="n">
        <v>5841.0</v>
      </c>
      <c r="I23" t="n">
        <v>2207.0</v>
      </c>
      <c r="J23" s="20" t="n">
        <v>2905.0</v>
      </c>
      <c r="K23">
        <f t="shared" si="1"/>
        <v>10043</v>
      </c>
    </row>
    <row r="24" spans="1:11" x14ac:dyDescent="0.25">
      <c r="A24">
        <v>13</v>
      </c>
      <c r="B24" s="9" t="n">
        <v>6719.042235651533</v>
      </c>
      <c r="C24" s="9" t="n">
        <v>3234.2126193437225</v>
      </c>
      <c r="D24" s="9" t="n">
        <v>500.401263669419</v>
      </c>
      <c r="E24" s="9">
        <f t="shared" si="0"/>
        <v>10453.656118664674</v>
      </c>
      <c r="G24">
        <v>13</v>
      </c>
      <c r="H24" t="n">
        <v>4952.0</v>
      </c>
      <c r="I24" t="n">
        <v>2282.0</v>
      </c>
      <c r="J24" s="20" t="n">
        <v>2126.0</v>
      </c>
      <c r="K24">
        <f t="shared" si="1"/>
        <v>8016</v>
      </c>
    </row>
    <row r="25" spans="1:11" x14ac:dyDescent="0.25">
      <c r="A25">
        <v>14</v>
      </c>
      <c r="B25" s="9" t="n">
        <v>6193.01852421852</v>
      </c>
      <c r="C25" s="9" t="n">
        <v>942.9098983062097</v>
      </c>
      <c r="D25" s="9" t="n">
        <v>774.4497578708252</v>
      </c>
      <c r="E25" s="9">
        <f t="shared" si="0"/>
        <v>7910.3781803955544</v>
      </c>
      <c r="G25">
        <v>14</v>
      </c>
      <c r="H25" t="n">
        <v>4171.0</v>
      </c>
      <c r="I25" t="n">
        <v>2106.0</v>
      </c>
      <c r="J25" s="20" t="n">
        <v>1134.0</v>
      </c>
      <c r="K25">
        <f t="shared" si="1"/>
        <v>7780</v>
      </c>
    </row>
    <row r="26" spans="1:11" x14ac:dyDescent="0.25">
      <c r="A26">
        <v>15</v>
      </c>
      <c r="B26" s="9" t="n">
        <v>3408.543679840627</v>
      </c>
      <c r="C26" s="9" t="n">
        <v>1480.0457994959531</v>
      </c>
      <c r="D26" s="9" t="n">
        <v>710.2705563148251</v>
      </c>
      <c r="E26" s="9">
        <f t="shared" si="0"/>
        <v>5598.8600356514053</v>
      </c>
      <c r="G26">
        <v>15</v>
      </c>
      <c r="H26" t="n">
        <v>3739.0</v>
      </c>
      <c r="I26" t="n">
        <v>1822.0</v>
      </c>
      <c r="J26" s="20" t="n">
        <v>1785.0</v>
      </c>
      <c r="K26">
        <f t="shared" si="1"/>
        <v>7161</v>
      </c>
    </row>
    <row r="27" spans="1:11" x14ac:dyDescent="0.25">
      <c r="A27">
        <v>16</v>
      </c>
      <c r="B27" s="9" t="n">
        <v>1867.242142422159</v>
      </c>
      <c r="C27" s="9" t="n">
        <v>889.2624584778727</v>
      </c>
      <c r="D27" s="9" t="n">
        <v>2113.802575635981</v>
      </c>
      <c r="E27" s="9">
        <f t="shared" si="0"/>
        <v>4870.3071765360128</v>
      </c>
      <c r="G27">
        <v>16</v>
      </c>
      <c r="H27" t="n">
        <v>3494.0</v>
      </c>
      <c r="I27" t="n">
        <v>1426.0</v>
      </c>
      <c r="J27" s="20" t="n">
        <v>1421.0</v>
      </c>
      <c r="K27">
        <f t="shared" si="1"/>
        <v>6628</v>
      </c>
    </row>
    <row r="28" spans="1:11" x14ac:dyDescent="0.25">
      <c r="A28">
        <v>17</v>
      </c>
      <c r="B28" s="9" t="n">
        <v>3487.1911478926163</v>
      </c>
      <c r="C28" s="9" t="n">
        <v>857.6673614399284</v>
      </c>
      <c r="D28" s="9" t="n">
        <v>745.0178820624786</v>
      </c>
      <c r="E28" s="9">
        <f t="shared" si="0"/>
        <v>5089.8763913950233</v>
      </c>
      <c r="G28">
        <v>17</v>
      </c>
      <c r="H28" t="n">
        <v>3522.0</v>
      </c>
      <c r="I28" t="n">
        <v>1501.0</v>
      </c>
      <c r="J28" s="20" t="n">
        <v>1399.0</v>
      </c>
      <c r="K28">
        <f t="shared" si="1"/>
        <v>6251</v>
      </c>
    </row>
    <row r="29" spans="1:11" x14ac:dyDescent="0.25">
      <c r="A29">
        <v>18</v>
      </c>
      <c r="B29" s="9" t="n">
        <v>1292.6266778634067</v>
      </c>
      <c r="C29" s="9" t="n">
        <v>459.71079446057</v>
      </c>
      <c r="D29" s="9" t="n">
        <v>678.9754081618635</v>
      </c>
      <c r="E29" s="9">
        <f t="shared" si="0"/>
        <v>2431.3128804858402</v>
      </c>
      <c r="G29">
        <v>18</v>
      </c>
      <c r="H29" t="n">
        <v>3147.0</v>
      </c>
      <c r="I29" t="n">
        <v>1352.0</v>
      </c>
      <c r="J29" s="20" t="n">
        <v>1274.0</v>
      </c>
      <c r="K29">
        <f t="shared" si="1"/>
        <v>5640</v>
      </c>
    </row>
    <row r="30" spans="1:11" x14ac:dyDescent="0.25">
      <c r="A30">
        <v>19</v>
      </c>
      <c r="B30" s="9" t="n">
        <v>1415.5788802999814</v>
      </c>
      <c r="C30" s="9" t="n">
        <v>344.97803126214853</v>
      </c>
      <c r="D30" s="9" t="n">
        <v>1235.8231755670267</v>
      </c>
      <c r="E30" s="9">
        <f t="shared" si="0"/>
        <v>2996.3800871291569</v>
      </c>
      <c r="G30">
        <v>19</v>
      </c>
      <c r="H30" t="n">
        <v>2853.0</v>
      </c>
      <c r="I30" t="n">
        <v>1173.0</v>
      </c>
      <c r="J30" s="20" t="n">
        <v>1178.0</v>
      </c>
      <c r="K30">
        <f t="shared" si="1"/>
        <v>5247</v>
      </c>
    </row>
    <row r="31" spans="1:11" x14ac:dyDescent="0.25">
      <c r="A31">
        <v>20</v>
      </c>
      <c r="B31" s="9" t="n">
        <v>529.7603292129269</v>
      </c>
      <c r="C31" s="9" t="n">
        <v>809.622282657491</v>
      </c>
      <c r="D31" s="9" t="n">
        <v>197.9532039704912</v>
      </c>
      <c r="E31" s="9">
        <f t="shared" si="0"/>
        <v>1537.3358158409089</v>
      </c>
      <c r="G31">
        <v>20</v>
      </c>
      <c r="H31" t="n">
        <v>2788.0</v>
      </c>
      <c r="I31" t="n">
        <v>1112.0</v>
      </c>
      <c r="J31" s="20" t="n">
        <v>1172.0</v>
      </c>
      <c r="K31">
        <f t="shared" si="1"/>
        <v>4738</v>
      </c>
    </row>
    <row r="32" spans="1:11" x14ac:dyDescent="0.25">
      <c r="A32">
        <v>21</v>
      </c>
      <c r="B32" s="9" t="n">
        <v>1443.9056129879184</v>
      </c>
      <c r="C32" s="9" t="n">
        <v>2091.584913679</v>
      </c>
      <c r="D32" s="9" t="n">
        <v>1889.7287749772254</v>
      </c>
      <c r="E32" s="9">
        <f t="shared" si="0"/>
        <v>5425.2193016441433</v>
      </c>
      <c r="G32">
        <v>21</v>
      </c>
      <c r="H32" t="n">
        <v>2624.0</v>
      </c>
      <c r="I32" t="n">
        <v>1042.0</v>
      </c>
      <c r="J32" s="20" t="n">
        <v>1355.0</v>
      </c>
      <c r="K32">
        <f t="shared" si="1"/>
        <v>4512</v>
      </c>
    </row>
    <row r="33" spans="1:11" x14ac:dyDescent="0.25">
      <c r="A33">
        <v>22</v>
      </c>
      <c r="B33" s="9" t="n">
        <v>1666.5853576487323</v>
      </c>
      <c r="C33" s="9" t="n">
        <v>874.6007665633243</v>
      </c>
      <c r="D33" s="9" t="n">
        <v>922.3467132339049</v>
      </c>
      <c r="E33" s="9">
        <f t="shared" si="0"/>
        <v>3463.5328374459614</v>
      </c>
      <c r="G33">
        <v>22</v>
      </c>
      <c r="H33" t="n">
        <v>2352.0</v>
      </c>
      <c r="I33" t="n">
        <v>887.0</v>
      </c>
      <c r="J33" s="20" t="n">
        <v>1100.0</v>
      </c>
      <c r="K33">
        <f t="shared" si="1"/>
        <v>4538</v>
      </c>
    </row>
    <row r="34" spans="1:11" x14ac:dyDescent="0.25">
      <c r="A34">
        <v>23</v>
      </c>
      <c r="B34" s="9" t="n">
        <v>1826.4092345454148</v>
      </c>
      <c r="C34" s="9" t="n">
        <v>1037.662604907693</v>
      </c>
      <c r="D34" s="9" t="n">
        <v>3025.1793469327313</v>
      </c>
      <c r="E34" s="9">
        <f t="shared" si="0"/>
        <v>5889.251186385839</v>
      </c>
      <c r="G34">
        <v>23</v>
      </c>
      <c r="H34" t="n">
        <v>2153.0</v>
      </c>
      <c r="I34" t="n">
        <v>866.0</v>
      </c>
      <c r="J34" s="20" t="n">
        <v>1161.0</v>
      </c>
      <c r="K34">
        <f t="shared" si="1"/>
        <v>4064</v>
      </c>
    </row>
    <row r="35" spans="1:11" x14ac:dyDescent="0.25">
      <c r="A35">
        <v>24</v>
      </c>
      <c r="B35" s="9" t="n">
        <v>976.4035790365299</v>
      </c>
      <c r="C35" s="9" t="n">
        <v>226.397482863218</v>
      </c>
      <c r="D35" s="9" t="n">
        <v>945.9000868162648</v>
      </c>
      <c r="E35" s="9">
        <f t="shared" si="0"/>
        <v>2148.7011487160125</v>
      </c>
      <c r="G35">
        <v>24</v>
      </c>
      <c r="H35" t="n">
        <v>2007.0</v>
      </c>
      <c r="I35" t="n">
        <v>746.0</v>
      </c>
      <c r="J35" s="20" t="n">
        <v>980.0</v>
      </c>
      <c r="K35">
        <f t="shared" si="1"/>
        <v>4080</v>
      </c>
    </row>
    <row r="36" spans="1:11" x14ac:dyDescent="0.25">
      <c r="A36">
        <v>25</v>
      </c>
      <c r="B36" s="9" t="n">
        <v>2663.223143631683</v>
      </c>
      <c r="C36" s="9" t="n">
        <v>0.0</v>
      </c>
      <c r="D36" s="9" t="n">
        <v>984.3516076461954</v>
      </c>
      <c r="E36" s="9">
        <f t="shared" si="0"/>
        <v>3647.574751277878</v>
      </c>
      <c r="G36">
        <v>25</v>
      </c>
      <c r="H36" t="n">
        <v>1849.0</v>
      </c>
      <c r="I36" t="n">
        <v>662.0</v>
      </c>
      <c r="J36" s="20" t="n">
        <v>984.0</v>
      </c>
      <c r="K36">
        <f t="shared" si="1"/>
        <v>3546</v>
      </c>
    </row>
    <row r="37" spans="1:11" x14ac:dyDescent="0.25">
      <c r="A37">
        <v>26</v>
      </c>
      <c r="B37" s="9" t="n">
        <v>502.1628785576658</v>
      </c>
      <c r="C37" s="9" t="n">
        <v>1461.54748124557</v>
      </c>
      <c r="D37" s="9" t="n">
        <v>1552.1444544169042</v>
      </c>
      <c r="E37" s="9">
        <f t="shared" si="0"/>
        <v>3515.8548142201398</v>
      </c>
      <c r="G37">
        <v>26</v>
      </c>
      <c r="H37" t="n">
        <v>1744.0</v>
      </c>
      <c r="I37" t="n">
        <v>586.0</v>
      </c>
      <c r="J37" s="20" t="n">
        <v>1048.0</v>
      </c>
      <c r="K37">
        <f t="shared" si="1"/>
        <v>3299</v>
      </c>
    </row>
    <row r="38" spans="1:11" x14ac:dyDescent="0.25">
      <c r="A38">
        <v>27</v>
      </c>
      <c r="B38" s="9" t="n">
        <v>969.7851711423596</v>
      </c>
      <c r="C38" s="9" t="n">
        <v>0.0</v>
      </c>
      <c r="D38" s="9" t="n">
        <v>745.605921718337</v>
      </c>
      <c r="E38" s="9">
        <f t="shared" si="0"/>
        <v>1715.3910928606965</v>
      </c>
      <c r="G38">
        <v>27</v>
      </c>
      <c r="H38" t="n">
        <v>1689.0</v>
      </c>
      <c r="I38" t="n">
        <v>529.0</v>
      </c>
      <c r="J38" s="20" t="n">
        <v>1179.0</v>
      </c>
      <c r="K38">
        <f t="shared" si="1"/>
        <v>2932</v>
      </c>
    </row>
    <row r="39" spans="1:11" x14ac:dyDescent="0.25">
      <c r="A39">
        <v>28</v>
      </c>
      <c r="B39" s="9" t="n">
        <v>1190.2883239147898</v>
      </c>
      <c r="C39" s="9" t="n">
        <v>1189.156479720335</v>
      </c>
      <c r="D39" s="9" t="n">
        <v>121.8624223646996</v>
      </c>
      <c r="E39" s="9">
        <f t="shared" si="0"/>
        <v>2501.3072259998248</v>
      </c>
      <c r="G39">
        <v>28</v>
      </c>
      <c r="H39" t="n">
        <v>1524.0</v>
      </c>
      <c r="I39" t="n">
        <v>534.0</v>
      </c>
      <c r="J39" s="20" t="n">
        <v>1204.0</v>
      </c>
      <c r="K39">
        <f t="shared" si="1"/>
        <v>2674</v>
      </c>
    </row>
    <row r="40" spans="1:11" x14ac:dyDescent="0.25">
      <c r="A40">
        <v>29</v>
      </c>
      <c r="B40" s="9" t="n">
        <v>0.0</v>
      </c>
      <c r="C40" s="9" t="n">
        <v>0.0</v>
      </c>
      <c r="D40" s="9" t="n">
        <v>589.3610303472137</v>
      </c>
      <c r="E40" s="9">
        <f t="shared" si="0"/>
        <v>589.36103034721373</v>
      </c>
      <c r="G40">
        <v>29</v>
      </c>
      <c r="H40" t="n">
        <v>1479.0</v>
      </c>
      <c r="I40" t="n">
        <v>460.0</v>
      </c>
      <c r="J40" s="20" t="n">
        <v>1072.0</v>
      </c>
      <c r="K40">
        <f t="shared" si="1"/>
        <v>2787</v>
      </c>
    </row>
    <row r="41" spans="1:11" x14ac:dyDescent="0.25">
      <c r="A41">
        <v>30</v>
      </c>
      <c r="B41" s="9" t="n">
        <v>1298.2861331964218</v>
      </c>
      <c r="C41" s="9" t="n">
        <v>0.0</v>
      </c>
      <c r="D41" s="9" t="n">
        <v>0.0</v>
      </c>
      <c r="E41" s="9">
        <f t="shared" si="0"/>
        <v>1298.2861331964218</v>
      </c>
      <c r="G41">
        <v>30</v>
      </c>
      <c r="H41" t="n">
        <v>1303.0</v>
      </c>
      <c r="I41" t="n">
        <v>396.0</v>
      </c>
      <c r="J41" s="20" t="n">
        <v>737.0</v>
      </c>
      <c r="K41">
        <f t="shared" si="1"/>
        <v>2570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42.8327541742314</v>
      </c>
      <c r="E42" s="9">
        <f t="shared" si="0"/>
        <v>42.832754174231397</v>
      </c>
      <c r="G42">
        <v>31</v>
      </c>
      <c r="H42" t="n">
        <v>1211.0</v>
      </c>
      <c r="I42" t="n">
        <v>342.0</v>
      </c>
      <c r="J42" s="20" t="n">
        <v>751.0</v>
      </c>
      <c r="K42">
        <f t="shared" si="1"/>
        <v>2499</v>
      </c>
    </row>
    <row r="43" spans="1:11" x14ac:dyDescent="0.25">
      <c r="A43">
        <v>32</v>
      </c>
      <c r="B43" s="9" t="n">
        <v>382.410917824633</v>
      </c>
      <c r="C43" s="9" t="n">
        <v>0.0</v>
      </c>
      <c r="D43" s="9" t="n">
        <v>289.670001922784</v>
      </c>
      <c r="E43" s="9">
        <f t="shared" ref="E43:E74" si="2">SUM(B43:D43)</f>
        <v>672.08091974741706</v>
      </c>
      <c r="G43">
        <v>32</v>
      </c>
      <c r="H43" t="n">
        <v>1187.0</v>
      </c>
      <c r="I43" t="n">
        <v>326.0</v>
      </c>
      <c r="J43" s="20" t="n">
        <v>703.0</v>
      </c>
      <c r="K43">
        <f t="shared" ref="K43:K74" si="3">SUM(H43:J43)</f>
        <v>2285</v>
      </c>
    </row>
    <row r="44" spans="1:11" x14ac:dyDescent="0.25">
      <c r="A44">
        <v>33</v>
      </c>
      <c r="B44" s="9" t="n">
        <v>139.2451844842998</v>
      </c>
      <c r="C44" s="9" t="n">
        <v>277.4739918008205</v>
      </c>
      <c r="D44" s="9" t="n">
        <v>815.391404551869</v>
      </c>
      <c r="E44" s="9">
        <f t="shared" si="2"/>
        <v>1232.1105808369894</v>
      </c>
      <c r="G44">
        <v>33</v>
      </c>
      <c r="H44" t="n">
        <v>1110.0</v>
      </c>
      <c r="I44" t="n">
        <v>358.0</v>
      </c>
      <c r="J44" s="20" t="n">
        <v>889.0</v>
      </c>
      <c r="K44">
        <f t="shared" si="3"/>
        <v>2205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83.4083832237069</v>
      </c>
      <c r="E45" s="9">
        <f t="shared" si="2"/>
        <v>83.408383223706906</v>
      </c>
      <c r="G45">
        <v>34</v>
      </c>
      <c r="H45" t="n">
        <v>1153.0</v>
      </c>
      <c r="I45" t="n">
        <v>295.0</v>
      </c>
      <c r="J45" s="20" t="n">
        <v>571.0</v>
      </c>
      <c r="K45">
        <f t="shared" si="3"/>
        <v>2101</v>
      </c>
    </row>
    <row r="46" spans="1:11" x14ac:dyDescent="0.25">
      <c r="A46">
        <v>35</v>
      </c>
      <c r="B46" s="9" t="n">
        <v>908.0509663930577</v>
      </c>
      <c r="C46" s="9" t="n">
        <v>0.0</v>
      </c>
      <c r="D46" s="9" t="n">
        <v>565.4354619263149</v>
      </c>
      <c r="E46" s="9">
        <f t="shared" si="2"/>
        <v>1473.4864283193726</v>
      </c>
      <c r="G46">
        <v>35</v>
      </c>
      <c r="H46" t="n">
        <v>1099.0</v>
      </c>
      <c r="I46" t="n">
        <v>280.0</v>
      </c>
      <c r="J46" s="20" t="n">
        <v>606.0</v>
      </c>
      <c r="K46">
        <f t="shared" si="3"/>
        <v>1891</v>
      </c>
    </row>
    <row r="47" spans="1:11" x14ac:dyDescent="0.25">
      <c r="A47">
        <v>36</v>
      </c>
      <c r="B47" s="9" t="n">
        <v>106.9226918429956</v>
      </c>
      <c r="C47" s="9" t="n">
        <v>0.0</v>
      </c>
      <c r="D47" s="9" t="n">
        <v>340.21300419937813</v>
      </c>
      <c r="E47" s="9">
        <f t="shared" si="2"/>
        <v>447.13569604237375</v>
      </c>
      <c r="G47">
        <v>36</v>
      </c>
      <c r="H47" t="n">
        <v>983.0</v>
      </c>
      <c r="I47" t="n">
        <v>271.0</v>
      </c>
      <c r="J47" s="20" t="n">
        <v>684.0</v>
      </c>
      <c r="K47">
        <f t="shared" si="3"/>
        <v>1840</v>
      </c>
    </row>
    <row r="48" spans="1:11" x14ac:dyDescent="0.25">
      <c r="A48">
        <v>37</v>
      </c>
      <c r="B48" s="9" t="n">
        <v>0.0</v>
      </c>
      <c r="C48" s="9" t="n">
        <v>87.8600882386326</v>
      </c>
      <c r="D48" s="9" t="n">
        <v>977.4454700640156</v>
      </c>
      <c r="E48" s="9">
        <f t="shared" si="2"/>
        <v>1065.3055583026483</v>
      </c>
      <c r="G48">
        <v>37</v>
      </c>
      <c r="H48" t="n">
        <v>903.0</v>
      </c>
      <c r="I48" t="n">
        <v>247.0</v>
      </c>
      <c r="J48" s="20" t="n">
        <v>801.0</v>
      </c>
      <c r="K48">
        <f t="shared" si="3"/>
        <v>1658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131.5873075767644</v>
      </c>
      <c r="E49" s="9">
        <f t="shared" si="2"/>
        <v>131.5873075767644</v>
      </c>
      <c r="G49">
        <v>38</v>
      </c>
      <c r="H49" t="n">
        <v>1000.0</v>
      </c>
      <c r="I49" t="n">
        <v>282.0</v>
      </c>
      <c r="J49" s="20" t="n">
        <v>756.0</v>
      </c>
      <c r="K49">
        <f t="shared" si="3"/>
        <v>1638</v>
      </c>
    </row>
    <row r="50" spans="1:11" x14ac:dyDescent="0.25">
      <c r="A50">
        <v>39</v>
      </c>
      <c r="B50" s="9" t="n">
        <v>0.0</v>
      </c>
      <c r="C50" s="9" t="n">
        <v>801.3551720693459</v>
      </c>
      <c r="D50" s="9" t="n">
        <v>412.07571285615086</v>
      </c>
      <c r="E50" s="9">
        <f t="shared" si="2"/>
        <v>1213.4308849254967</v>
      </c>
      <c r="G50">
        <v>39</v>
      </c>
      <c r="H50" t="n">
        <v>878.0</v>
      </c>
      <c r="I50" t="n">
        <v>249.0</v>
      </c>
      <c r="J50" s="20" t="n">
        <v>803.0</v>
      </c>
      <c r="K50">
        <f t="shared" si="3"/>
        <v>1667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82.5939326953254</v>
      </c>
      <c r="E51" s="9">
        <f t="shared" si="2"/>
        <v>82.593932695325407</v>
      </c>
      <c r="G51">
        <v>40</v>
      </c>
      <c r="H51" t="n">
        <v>828.0</v>
      </c>
      <c r="I51" t="n">
        <v>235.0</v>
      </c>
      <c r="J51" s="20" t="n">
        <v>584.0</v>
      </c>
      <c r="K51">
        <f t="shared" si="3"/>
        <v>1685</v>
      </c>
    </row>
    <row r="52" spans="1:11" x14ac:dyDescent="0.25">
      <c r="A52">
        <v>41</v>
      </c>
      <c r="B52" s="9" t="n">
        <v>102.283514358069</v>
      </c>
      <c r="C52" s="9" t="n">
        <v>0.0</v>
      </c>
      <c r="D52" s="9" t="n">
        <v>1137.9478383374437</v>
      </c>
      <c r="E52" s="9">
        <f t="shared" si="2"/>
        <v>1240.2313526955127</v>
      </c>
      <c r="G52">
        <v>41</v>
      </c>
      <c r="H52" t="n">
        <v>763.0</v>
      </c>
      <c r="I52" t="n">
        <v>202.0</v>
      </c>
      <c r="J52" s="20" t="n">
        <v>639.0</v>
      </c>
      <c r="K52">
        <f t="shared" si="3"/>
        <v>1714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686.0</v>
      </c>
      <c r="I53" t="n">
        <v>199.0</v>
      </c>
      <c r="J53" s="20" t="n">
        <v>772.0</v>
      </c>
      <c r="K53">
        <f t="shared" si="3"/>
        <v>1537</v>
      </c>
    </row>
    <row r="54" spans="1:11" x14ac:dyDescent="0.25">
      <c r="A54">
        <v>43</v>
      </c>
      <c r="B54" s="9" t="n">
        <v>44.8395879111538</v>
      </c>
      <c r="C54" s="9" t="n">
        <v>0.0</v>
      </c>
      <c r="D54" s="9" t="n">
        <v>144.2793234299785</v>
      </c>
      <c r="E54" s="9">
        <f t="shared" si="2"/>
        <v>189.11891134113228</v>
      </c>
      <c r="G54">
        <v>43</v>
      </c>
      <c r="H54" t="n">
        <v>678.0</v>
      </c>
      <c r="I54" t="n">
        <v>184.0</v>
      </c>
      <c r="J54" s="20" t="n">
        <v>710.0</v>
      </c>
      <c r="K54">
        <f t="shared" si="3"/>
        <v>1411</v>
      </c>
    </row>
    <row r="55" spans="1:11" x14ac:dyDescent="0.25">
      <c r="A55">
        <v>44</v>
      </c>
      <c r="B55" s="9" t="n">
        <v>0.0</v>
      </c>
      <c r="C55" s="9" t="n">
        <v>795.8104462585779</v>
      </c>
      <c r="D55" s="9" t="n">
        <v>228.6307298381951</v>
      </c>
      <c r="E55" s="9">
        <f t="shared" si="2"/>
        <v>1024.441176096773</v>
      </c>
      <c r="G55">
        <v>44</v>
      </c>
      <c r="H55" t="n">
        <v>678.0</v>
      </c>
      <c r="I55" t="n">
        <v>203.0</v>
      </c>
      <c r="J55" s="20" t="n">
        <v>761.0</v>
      </c>
      <c r="K55">
        <f t="shared" si="3"/>
        <v>1201</v>
      </c>
    </row>
    <row r="56" spans="1:11" x14ac:dyDescent="0.25">
      <c r="A56">
        <v>45</v>
      </c>
      <c r="B56" s="9" t="n">
        <v>660.813709099158</v>
      </c>
      <c r="C56" s="9" t="n">
        <v>0.0</v>
      </c>
      <c r="D56" s="9" t="n">
        <v>452.1142660087407</v>
      </c>
      <c r="E56" s="9">
        <f t="shared" si="2"/>
        <v>1112.9279751078986</v>
      </c>
      <c r="G56">
        <v>45</v>
      </c>
      <c r="H56" t="n">
        <v>654.0</v>
      </c>
      <c r="I56" t="n">
        <v>193.0</v>
      </c>
      <c r="J56" s="20" t="n">
        <v>641.0</v>
      </c>
      <c r="K56">
        <f t="shared" si="3"/>
        <v>1192</v>
      </c>
    </row>
    <row r="57" spans="1:11" x14ac:dyDescent="0.25">
      <c r="A57">
        <v>46</v>
      </c>
      <c r="B57" s="9" t="n">
        <v>471.1697781724947</v>
      </c>
      <c r="C57" s="9" t="n">
        <v>107.823473188872</v>
      </c>
      <c r="D57" s="9" t="n">
        <v>771.4294448050471</v>
      </c>
      <c r="E57" s="9">
        <f t="shared" si="2"/>
        <v>1350.4226961664137</v>
      </c>
      <c r="G57">
        <v>46</v>
      </c>
      <c r="H57" t="n">
        <v>644.0</v>
      </c>
      <c r="I57" t="n">
        <v>172.0</v>
      </c>
      <c r="J57" s="20" t="n">
        <v>646.0</v>
      </c>
      <c r="K57">
        <f t="shared" si="3"/>
        <v>1108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492.6739468887567</v>
      </c>
      <c r="E58" s="9">
        <f t="shared" si="2"/>
        <v>492.67394688875669</v>
      </c>
      <c r="G58">
        <v>47</v>
      </c>
      <c r="H58" t="n">
        <v>587.0</v>
      </c>
      <c r="I58" t="n">
        <v>172.0</v>
      </c>
      <c r="J58" s="20" t="n">
        <v>554.0</v>
      </c>
      <c r="K58">
        <f t="shared" si="3"/>
        <v>963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0.0</v>
      </c>
      <c r="E59" s="9">
        <f t="shared" si="2"/>
        <v>0</v>
      </c>
      <c r="G59">
        <v>48</v>
      </c>
      <c r="H59" t="n">
        <v>542.0</v>
      </c>
      <c r="I59" t="n">
        <v>131.0</v>
      </c>
      <c r="J59" s="20" t="n">
        <v>602.0</v>
      </c>
      <c r="K59">
        <f t="shared" si="3"/>
        <v>891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0.0</v>
      </c>
      <c r="E60" s="9">
        <f t="shared" si="2"/>
        <v>0</v>
      </c>
      <c r="G60">
        <v>49</v>
      </c>
      <c r="H60" t="n">
        <v>542.0</v>
      </c>
      <c r="I60" t="n">
        <v>141.0</v>
      </c>
      <c r="J60" s="20" t="n">
        <v>545.0</v>
      </c>
      <c r="K60">
        <f t="shared" si="3"/>
        <v>768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76.5104840008176</v>
      </c>
      <c r="E61" s="9">
        <f t="shared" si="2"/>
        <v>76.510484000817598</v>
      </c>
      <c r="G61">
        <v>50</v>
      </c>
      <c r="H61" t="n">
        <v>518.0</v>
      </c>
      <c r="I61" t="n">
        <v>118.0</v>
      </c>
      <c r="J61" s="20" t="n">
        <v>551.0</v>
      </c>
      <c r="K61">
        <f t="shared" si="3"/>
        <v>760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293.355380734191</v>
      </c>
      <c r="E62" s="9">
        <f t="shared" si="2"/>
        <v>293.35538073419099</v>
      </c>
      <c r="G62">
        <v>51</v>
      </c>
      <c r="H62" t="n">
        <v>486.0</v>
      </c>
      <c r="I62" t="n">
        <v>117.0</v>
      </c>
      <c r="J62" s="20" t="n">
        <v>537.0</v>
      </c>
      <c r="K62">
        <f t="shared" si="3"/>
        <v>651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864.533020891451</v>
      </c>
      <c r="E63" s="9">
        <f t="shared" si="2"/>
        <v>864.53302089145097</v>
      </c>
      <c r="G63">
        <v>52</v>
      </c>
      <c r="H63" t="n">
        <v>442.0</v>
      </c>
      <c r="I63" t="n">
        <v>109.0</v>
      </c>
      <c r="J63" s="20" t="n">
        <v>517.0</v>
      </c>
      <c r="K63">
        <f t="shared" si="3"/>
        <v>608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120.60217053173199</v>
      </c>
      <c r="E64" s="9">
        <f t="shared" si="2"/>
        <v>120.60217053173199</v>
      </c>
      <c r="G64">
        <v>53</v>
      </c>
      <c r="H64" t="n">
        <v>427.0</v>
      </c>
      <c r="I64" t="n">
        <v>94.0</v>
      </c>
      <c r="J64" s="20" t="n">
        <v>558.0</v>
      </c>
      <c r="K64">
        <f t="shared" si="3"/>
        <v>669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387.0</v>
      </c>
      <c r="I65" t="n">
        <v>105.0</v>
      </c>
      <c r="J65" s="20" t="n">
        <v>538.0</v>
      </c>
      <c r="K65">
        <f t="shared" si="3"/>
        <v>487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53.7405419735351</v>
      </c>
      <c r="E66" s="9">
        <f t="shared" si="2"/>
        <v>53.740541973535102</v>
      </c>
      <c r="G66">
        <v>55</v>
      </c>
      <c r="H66" t="n">
        <v>391.0</v>
      </c>
      <c r="I66" t="n">
        <v>74.0</v>
      </c>
      <c r="J66" s="20" t="n">
        <v>510.0</v>
      </c>
      <c r="K66">
        <f t="shared" si="3"/>
        <v>530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366.082424987433</v>
      </c>
      <c r="E67" s="9">
        <f t="shared" si="2"/>
        <v>366.082424987433</v>
      </c>
      <c r="G67">
        <v>56</v>
      </c>
      <c r="H67" t="n">
        <v>366.0</v>
      </c>
      <c r="I67" t="n">
        <v>69.0</v>
      </c>
      <c r="J67" s="20" t="n">
        <v>478.0</v>
      </c>
      <c r="K67">
        <f t="shared" si="3"/>
        <v>500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332.0</v>
      </c>
      <c r="I68" t="n">
        <v>53.0</v>
      </c>
      <c r="J68" s="20" t="n">
        <v>428.0</v>
      </c>
      <c r="K68">
        <f t="shared" si="3"/>
        <v>401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178.423663881329</v>
      </c>
      <c r="E69" s="9">
        <f t="shared" si="2"/>
        <v>178.42366388132899</v>
      </c>
      <c r="G69">
        <v>58</v>
      </c>
      <c r="H69" t="n">
        <v>294.0</v>
      </c>
      <c r="I69" t="n">
        <v>66.0</v>
      </c>
      <c r="J69" s="20" t="n">
        <v>430.0</v>
      </c>
      <c r="K69">
        <f t="shared" si="3"/>
        <v>392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301.0</v>
      </c>
      <c r="I70" t="n">
        <v>65.0</v>
      </c>
      <c r="J70" s="20" t="n">
        <v>386.0</v>
      </c>
      <c r="K70">
        <f t="shared" si="3"/>
        <v>385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236.0</v>
      </c>
      <c r="I71" t="n">
        <v>56.0</v>
      </c>
      <c r="J71" s="20" t="n">
        <v>366.0</v>
      </c>
      <c r="K71">
        <f t="shared" si="3"/>
        <v>358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231.0</v>
      </c>
      <c r="I72" t="n">
        <v>55.0</v>
      </c>
      <c r="J72" s="20" t="n">
        <v>333.0</v>
      </c>
      <c r="K72">
        <f t="shared" si="3"/>
        <v>296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210.0</v>
      </c>
      <c r="I73" t="n">
        <v>46.0</v>
      </c>
      <c r="J73" s="20" t="n">
        <v>316.0</v>
      </c>
      <c r="K73">
        <f t="shared" si="3"/>
        <v>282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185.0</v>
      </c>
      <c r="I74" t="n">
        <v>36.0</v>
      </c>
      <c r="J74" s="20" t="n">
        <v>275.0</v>
      </c>
      <c r="K74">
        <f t="shared" si="3"/>
        <v>317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52.2604776523025</v>
      </c>
      <c r="E75" s="9">
        <f t="shared" ref="E75:E101" si="4">SUM(B75:D75)</f>
        <v>52.260477652302498</v>
      </c>
      <c r="G75">
        <v>64</v>
      </c>
      <c r="H75" t="n">
        <v>188.0</v>
      </c>
      <c r="I75" t="n">
        <v>27.0</v>
      </c>
      <c r="J75" s="20" t="n">
        <v>225.0</v>
      </c>
      <c r="K75">
        <f t="shared" ref="K75:K101" si="5">SUM(H75:J75)</f>
        <v>232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24.4463447795067</v>
      </c>
      <c r="E76" s="9">
        <f t="shared" si="4"/>
        <v>24.446344779506699</v>
      </c>
      <c r="G76">
        <v>65</v>
      </c>
      <c r="H76" t="n">
        <v>167.0</v>
      </c>
      <c r="I76" t="n">
        <v>15.0</v>
      </c>
      <c r="J76" s="20" t="n">
        <v>223.0</v>
      </c>
      <c r="K76">
        <f t="shared" si="5"/>
        <v>274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87.0588541936009</v>
      </c>
      <c r="E77" s="9">
        <f t="shared" si="4"/>
        <v>87.058854193600894</v>
      </c>
      <c r="G77">
        <v>66</v>
      </c>
      <c r="H77" t="n">
        <v>154.0</v>
      </c>
      <c r="I77" t="n">
        <v>34.0</v>
      </c>
      <c r="J77" s="20" t="n">
        <v>226.0</v>
      </c>
      <c r="K77">
        <f t="shared" si="5"/>
        <v>214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48.4854558600498</v>
      </c>
      <c r="E78" s="9">
        <f t="shared" si="4"/>
        <v>48.485455860049797</v>
      </c>
      <c r="G78">
        <v>67</v>
      </c>
      <c r="H78" t="n">
        <v>159.0</v>
      </c>
      <c r="I78" t="n">
        <v>37.0</v>
      </c>
      <c r="J78" s="20" t="n">
        <v>234.0</v>
      </c>
      <c r="K78">
        <f t="shared" si="5"/>
        <v>220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76.7124481846778</v>
      </c>
      <c r="E79" s="9">
        <f t="shared" si="4"/>
        <v>76.712448184677797</v>
      </c>
      <c r="G79">
        <v>68</v>
      </c>
      <c r="H79" t="n">
        <v>142.0</v>
      </c>
      <c r="I79" t="n">
        <v>23.0</v>
      </c>
      <c r="J79" s="20" t="n">
        <v>239.0</v>
      </c>
      <c r="K79">
        <f t="shared" si="5"/>
        <v>203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122.0</v>
      </c>
      <c r="I80" t="n">
        <v>24.0</v>
      </c>
      <c r="J80" s="20" t="n">
        <v>200.0</v>
      </c>
      <c r="K80">
        <f t="shared" si="5"/>
        <v>218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142.0</v>
      </c>
      <c r="I81" t="n">
        <v>28.0</v>
      </c>
      <c r="J81" s="20" t="n">
        <v>205.0</v>
      </c>
      <c r="K81">
        <f t="shared" si="5"/>
        <v>198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130.0</v>
      </c>
      <c r="I82" t="n">
        <v>19.0</v>
      </c>
      <c r="J82" s="20" t="n">
        <v>176.0</v>
      </c>
      <c r="K82">
        <f t="shared" si="5"/>
        <v>148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107.0</v>
      </c>
      <c r="I83" t="n">
        <v>18.0</v>
      </c>
      <c r="J83" s="20" t="n">
        <v>161.0</v>
      </c>
      <c r="K83">
        <f t="shared" si="5"/>
        <v>145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85.0</v>
      </c>
      <c r="I84" t="n">
        <v>18.0</v>
      </c>
      <c r="J84" s="20" t="n">
        <v>177.0</v>
      </c>
      <c r="K84">
        <f t="shared" si="5"/>
        <v>102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110.0</v>
      </c>
      <c r="I85" t="n">
        <v>15.0</v>
      </c>
      <c r="J85" s="20" t="n">
        <v>168.0</v>
      </c>
      <c r="K85">
        <f t="shared" si="5"/>
        <v>114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93.0</v>
      </c>
      <c r="I86" t="n">
        <v>20.0</v>
      </c>
      <c r="J86" s="20" t="n">
        <v>143.0</v>
      </c>
      <c r="K86">
        <f t="shared" si="5"/>
        <v>117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83.0</v>
      </c>
      <c r="I87" t="n">
        <v>14.0</v>
      </c>
      <c r="J87" s="20" t="n">
        <v>141.0</v>
      </c>
      <c r="K87">
        <f t="shared" si="5"/>
        <v>93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83.0</v>
      </c>
      <c r="I88" t="n">
        <v>15.0</v>
      </c>
      <c r="J88" s="20" t="n">
        <v>131.0</v>
      </c>
      <c r="K88">
        <f t="shared" si="5"/>
        <v>73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27.3412252608353</v>
      </c>
      <c r="E89" s="9">
        <f t="shared" si="4"/>
        <v>27.341225260835301</v>
      </c>
      <c r="G89">
        <v>78</v>
      </c>
      <c r="H89" t="n">
        <v>65.0</v>
      </c>
      <c r="I89" t="n">
        <v>12.0</v>
      </c>
      <c r="J89" s="20" t="n">
        <v>167.0</v>
      </c>
      <c r="K89">
        <f t="shared" si="5"/>
        <v>60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64.0</v>
      </c>
      <c r="I90" t="n">
        <v>11.0</v>
      </c>
      <c r="J90" s="20" t="n">
        <v>145.0</v>
      </c>
      <c r="K90">
        <f t="shared" si="5"/>
        <v>72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131.804801667234</v>
      </c>
      <c r="E91" s="9">
        <f t="shared" si="4"/>
        <v>131.80480166723399</v>
      </c>
      <c r="G91">
        <v>80</v>
      </c>
      <c r="H91" t="n">
        <v>76.0</v>
      </c>
      <c r="I91" t="n">
        <v>15.0</v>
      </c>
      <c r="J91" s="20" t="n">
        <v>116.0</v>
      </c>
      <c r="K91">
        <f t="shared" si="5"/>
        <v>52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56.0</v>
      </c>
      <c r="I92" t="n">
        <v>6.0</v>
      </c>
      <c r="J92" s="20" t="n">
        <v>117.0</v>
      </c>
      <c r="K92">
        <f t="shared" si="5"/>
        <v>52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35.7968269485413</v>
      </c>
      <c r="E93" s="9">
        <f t="shared" si="4"/>
        <v>35.796826948541302</v>
      </c>
      <c r="G93">
        <v>82</v>
      </c>
      <c r="H93" t="n">
        <v>43.0</v>
      </c>
      <c r="I93" t="n">
        <v>11.0</v>
      </c>
      <c r="J93" s="20" t="n">
        <v>120.0</v>
      </c>
      <c r="K93">
        <f t="shared" si="5"/>
        <v>50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45.0</v>
      </c>
      <c r="I94" t="n">
        <v>10.0</v>
      </c>
      <c r="J94" s="20" t="n">
        <v>102.0</v>
      </c>
      <c r="K94">
        <f t="shared" si="5"/>
        <v>56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39.0</v>
      </c>
      <c r="I95" t="n">
        <v>9.0</v>
      </c>
      <c r="J95" s="20" t="n">
        <v>65.0</v>
      </c>
      <c r="K95">
        <f t="shared" si="5"/>
        <v>45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39.0</v>
      </c>
      <c r="I96" t="n">
        <v>9.0</v>
      </c>
      <c r="J96" s="20" t="n">
        <v>69.0</v>
      </c>
      <c r="K96">
        <f t="shared" si="5"/>
        <v>48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47.0</v>
      </c>
      <c r="I97" t="n">
        <v>7.0</v>
      </c>
      <c r="J97" s="20" t="n">
        <v>54.0</v>
      </c>
      <c r="K97">
        <f t="shared" si="5"/>
        <v>16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57.0</v>
      </c>
      <c r="I98" t="n">
        <v>8.0</v>
      </c>
      <c r="J98" s="20" t="n">
        <v>51.0</v>
      </c>
      <c r="K98">
        <f t="shared" si="5"/>
        <v>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35.0</v>
      </c>
      <c r="I99" t="n">
        <v>10.0</v>
      </c>
      <c r="J99" s="20" t="n">
        <v>44.0</v>
      </c>
      <c r="K99">
        <f t="shared" si="5"/>
        <v>13</v>
      </c>
    </row>
    <row r="100" spans="1:11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1671.0</v>
      </c>
      <c r="I100" t="n">
        <v>257.0</v>
      </c>
      <c r="J100" s="20" t="n">
        <v>514.0</v>
      </c>
      <c r="K100">
        <f t="shared" si="5"/>
        <v>78</v>
      </c>
    </row>
    <row r="101" spans="1:11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D7" sqref="D7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19</v>
      </c>
    </row>
    <row r="2" spans="1:12" x14ac:dyDescent="0.25">
      <c r="A2" t="s">
        <v>35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9" spans="1:12" ht="15.75" thickBot="1" x14ac:dyDescent="0.3">
      <c r="A9" s="4" t="s">
        <v>210</v>
      </c>
      <c r="B9" s="1"/>
      <c r="C9" s="1"/>
      <c r="D9" s="1"/>
      <c r="E9" s="1"/>
      <c r="H9" s="4" t="s">
        <v>13</v>
      </c>
      <c r="I9" s="1"/>
      <c r="J9" s="1"/>
      <c r="K9" s="1"/>
      <c r="L9" s="1"/>
    </row>
    <row r="10" spans="1:12" x14ac:dyDescent="0.25">
      <c r="A10" s="2" t="s">
        <v>18</v>
      </c>
      <c r="B10" s="5" t="s">
        <v>48</v>
      </c>
      <c r="C10" s="5" t="s">
        <v>49</v>
      </c>
      <c r="D10" s="5" t="s">
        <v>50</v>
      </c>
      <c r="E10" s="5" t="s">
        <v>3</v>
      </c>
      <c r="H10" s="2" t="s">
        <v>18</v>
      </c>
      <c r="I10" s="5" t="s">
        <v>48</v>
      </c>
      <c r="J10" s="5" t="s">
        <v>49</v>
      </c>
      <c r="K10" s="5" t="s">
        <v>50</v>
      </c>
      <c r="L10" s="5" t="s">
        <v>3</v>
      </c>
    </row>
    <row r="11" spans="1:12" x14ac:dyDescent="0.25">
      <c r="A11" t="s">
        <v>20</v>
      </c>
      <c r="B11" s="13">
        <f>SUM(TDFD!B11:B15)</f>
        <v>19269.55697138156</v>
      </c>
      <c r="C11" s="13">
        <f>SUM(TDFD!C11:C15)</f>
        <v>2811.2316460595362</v>
      </c>
      <c r="D11" s="13">
        <f>SUM(TDFD!D11:D15)</f>
        <v>3533.7908454940962</v>
      </c>
      <c r="E11" s="13">
        <f>SUM(TDFD!E11:E15)</f>
        <v>25614.579462935195</v>
      </c>
      <c r="H11" t="s">
        <v>20</v>
      </c>
      <c r="I11" s="13">
        <f>SUM(TDFD!H11:H15)</f>
        <v>51439</v>
      </c>
      <c r="J11" s="13">
        <f>SUM(TDFD!I11:I15)</f>
        <v>4169</v>
      </c>
      <c r="K11" s="13">
        <f>SUM(TDFD!J11:J15)</f>
        <v>5005</v>
      </c>
      <c r="L11" s="13">
        <f>SUM(TDFD!K11:K15)</f>
        <v>60613</v>
      </c>
    </row>
    <row r="12" spans="1:12" x14ac:dyDescent="0.25">
      <c r="A12" t="s">
        <v>21</v>
      </c>
      <c r="B12" s="13">
        <f>SUM(TDFD!B16:B20)</f>
        <v>82049.527677731821</v>
      </c>
      <c r="C12" s="13">
        <f>SUM(TDFD!C16:C20)</f>
        <v>10892.405253681074</v>
      </c>
      <c r="D12" s="13">
        <f>SUM(TDFD!D16:D20)</f>
        <v>10202.659537565574</v>
      </c>
      <c r="E12" s="13">
        <f>SUM(TDFD!E16:E20)</f>
        <v>103144.59246897847</v>
      </c>
      <c r="H12" t="s">
        <v>21</v>
      </c>
      <c r="I12" s="13">
        <f>SUM(TDFD!H16:H20)</f>
        <v>87464</v>
      </c>
      <c r="J12" s="13">
        <f>SUM(TDFD!I16:I20)</f>
        <v>15317</v>
      </c>
      <c r="K12" s="13">
        <f>SUM(TDFD!J16:J20)</f>
        <v>16780</v>
      </c>
      <c r="L12" s="13">
        <f>SUM(TDFD!K16:K20)</f>
        <v>119561</v>
      </c>
    </row>
    <row r="13" spans="1:12" x14ac:dyDescent="0.25">
      <c r="A13" t="s">
        <v>22</v>
      </c>
      <c r="B13" s="13">
        <f>SUM(TDFD!B21:B25)</f>
        <v>39240.302354497362</v>
      </c>
      <c r="C13" s="13">
        <f>SUM(TDFD!C21:C25)</f>
        <v>11830.386354435253</v>
      </c>
      <c r="D13" s="13">
        <f>SUM(TDFD!D21:D25)</f>
        <v>4758.6864650854641</v>
      </c>
      <c r="E13" s="13">
        <f>SUM(TDFD!E21:E25)</f>
        <v>55829.375174018081</v>
      </c>
      <c r="H13" t="s">
        <v>22</v>
      </c>
      <c r="I13" s="13">
        <f>SUM(TDFD!H21:H25)</f>
        <v>26247</v>
      </c>
      <c r="J13" s="13">
        <f>SUM(TDFD!I21:I25)</f>
        <v>12385</v>
      </c>
      <c r="K13" s="13">
        <f>SUM(TDFD!J21:J25)</f>
        <v>12426</v>
      </c>
      <c r="L13" s="13">
        <f>SUM(TDFD!K21:K25)</f>
        <v>51058</v>
      </c>
    </row>
    <row r="14" spans="1:12" x14ac:dyDescent="0.25">
      <c r="A14" t="s">
        <v>23</v>
      </c>
      <c r="B14" s="13">
        <f>SUM(TDFD!B26:B30)</f>
        <v>11471.182528318792</v>
      </c>
      <c r="C14" s="13">
        <f>SUM(TDFD!C26:C30)</f>
        <v>4031.6644451364728</v>
      </c>
      <c r="D14" s="13">
        <f>SUM(TDFD!D26:D30)</f>
        <v>5483.8895977421753</v>
      </c>
      <c r="E14" s="13">
        <f>SUM(TDFD!E26:E30)</f>
        <v>20986.736571197438</v>
      </c>
      <c r="H14" t="s">
        <v>23</v>
      </c>
      <c r="I14" s="13">
        <f>SUM(TDFD!H26:H30)</f>
        <v>16509</v>
      </c>
      <c r="J14" s="13">
        <f>SUM(TDFD!I26:I30)</f>
        <v>7294</v>
      </c>
      <c r="K14" s="13">
        <f>SUM(TDFD!J26:J30)</f>
        <v>7124</v>
      </c>
      <c r="L14" s="13">
        <f>SUM(TDFD!K26:K30)</f>
        <v>30927</v>
      </c>
    </row>
    <row r="15" spans="1:12" x14ac:dyDescent="0.25">
      <c r="A15" t="s">
        <v>24</v>
      </c>
      <c r="B15" s="13">
        <f>SUM(TDFD!B31:B35)</f>
        <v>6443.0641134315219</v>
      </c>
      <c r="C15" s="13">
        <f>SUM(TDFD!C31:C35)</f>
        <v>5039.868050670726</v>
      </c>
      <c r="D15" s="13">
        <f>SUM(TDFD!D31:D35)</f>
        <v>6981.1081259306175</v>
      </c>
      <c r="E15" s="13">
        <f>SUM(TDFD!E31:E35)</f>
        <v>18464.040290032866</v>
      </c>
      <c r="H15" t="s">
        <v>24</v>
      </c>
      <c r="I15" s="13">
        <f>SUM(TDFD!H31:H35)</f>
        <v>11732</v>
      </c>
      <c r="J15" s="13">
        <f>SUM(TDFD!I31:I35)</f>
        <v>3934</v>
      </c>
      <c r="K15" s="13">
        <f>SUM(TDFD!J31:J35)</f>
        <v>6266</v>
      </c>
      <c r="L15" s="13">
        <f>SUM(TDFD!K31:K35)</f>
        <v>21932</v>
      </c>
    </row>
    <row r="16" spans="1:12" x14ac:dyDescent="0.25">
      <c r="A16" t="s">
        <v>25</v>
      </c>
      <c r="B16" s="13">
        <f>SUM(TDFD!B36:B40)</f>
        <v>5325.4595172464979</v>
      </c>
      <c r="C16" s="13">
        <f>SUM(TDFD!C36:C40)</f>
        <v>2650.703960965905</v>
      </c>
      <c r="D16" s="13">
        <f>SUM(TDFD!D36:D40)</f>
        <v>3993.32543649335</v>
      </c>
      <c r="E16" s="13">
        <f>SUM(TDFD!E36:E40)</f>
        <v>11969.488914705753</v>
      </c>
      <c r="H16" t="s">
        <v>25</v>
      </c>
      <c r="I16" s="13">
        <f>SUM(TDFD!H36:H40)</f>
        <v>8253</v>
      </c>
      <c r="J16" s="13">
        <f>SUM(TDFD!I36:I40)</f>
        <v>2278</v>
      </c>
      <c r="K16" s="13">
        <f>SUM(TDFD!J36:J40)</f>
        <v>4707</v>
      </c>
      <c r="L16" s="13">
        <f>SUM(TDFD!K36:K40)</f>
        <v>15238</v>
      </c>
    </row>
    <row r="17" spans="1:12" x14ac:dyDescent="0.25">
      <c r="A17" t="s">
        <v>26</v>
      </c>
      <c r="B17" s="13">
        <f>SUM(TDFD!B41:B45)</f>
        <v>1819.9422355053548</v>
      </c>
      <c r="C17" s="13">
        <f>SUM(TDFD!C41:C45)</f>
        <v>277.4739918008205</v>
      </c>
      <c r="D17" s="13">
        <f>SUM(TDFD!D41:D45)</f>
        <v>1231.3025438725913</v>
      </c>
      <c r="E17" s="13">
        <f>SUM(TDFD!E41:E45)</f>
        <v>3328.7187711787669</v>
      </c>
      <c r="H17" t="s">
        <v>26</v>
      </c>
      <c r="I17" s="13">
        <f>SUM(TDFD!H41:H45)</f>
        <v>5982</v>
      </c>
      <c r="J17" s="13">
        <f>SUM(TDFD!I41:I45)</f>
        <v>1524</v>
      </c>
      <c r="K17" s="13">
        <f>SUM(TDFD!J41:J45)</f>
        <v>4154</v>
      </c>
      <c r="L17" s="13">
        <f>SUM(TDFD!K41:K45)</f>
        <v>11660</v>
      </c>
    </row>
    <row r="18" spans="1:12" x14ac:dyDescent="0.25">
      <c r="A18" t="s">
        <v>27</v>
      </c>
      <c r="B18" s="13">
        <f>SUM(TDFD!B46:B50)</f>
        <v>1014.9736582360533</v>
      </c>
      <c r="C18" s="13">
        <f>SUM(TDFD!C46:C50)</f>
        <v>889.2152603079785</v>
      </c>
      <c r="D18" s="13">
        <f>SUM(TDFD!D46:D50)</f>
        <v>2426.7569566226239</v>
      </c>
      <c r="E18" s="13">
        <f>SUM(TDFD!E46:E50)</f>
        <v>4330.9458751666552</v>
      </c>
      <c r="H18" t="s">
        <v>27</v>
      </c>
      <c r="I18" s="13">
        <f>SUM(TDFD!H46:H50)</f>
        <v>4184</v>
      </c>
      <c r="J18" s="13">
        <f>SUM(TDFD!I46:I50)</f>
        <v>952</v>
      </c>
      <c r="K18" s="13">
        <f>SUM(TDFD!J46:J50)</f>
        <v>3558</v>
      </c>
      <c r="L18" s="13">
        <f>SUM(TDFD!K46:K50)</f>
        <v>8694</v>
      </c>
    </row>
    <row r="19" spans="1:12" x14ac:dyDescent="0.25">
      <c r="A19" t="s">
        <v>28</v>
      </c>
      <c r="B19" s="13">
        <f>SUM(TDFD!B51:B55)</f>
        <v>147.12310226922278</v>
      </c>
      <c r="C19" s="13">
        <f>SUM(TDFD!C51:C55)</f>
        <v>795.81044625857794</v>
      </c>
      <c r="D19" s="13">
        <f>SUM(TDFD!D51:D55)</f>
        <v>1593.4518243009427</v>
      </c>
      <c r="E19" s="13">
        <f>SUM(TDFD!E51:E55)</f>
        <v>2536.3853728287431</v>
      </c>
      <c r="H19" t="s">
        <v>28</v>
      </c>
      <c r="I19" s="13">
        <f>SUM(TDFD!H51:H55)</f>
        <v>3048</v>
      </c>
      <c r="J19" s="13">
        <f>SUM(TDFD!I51:I55)</f>
        <v>656</v>
      </c>
      <c r="K19" s="13">
        <f>SUM(TDFD!J51:J55)</f>
        <v>3844</v>
      </c>
      <c r="L19" s="13">
        <f>SUM(TDFD!K51:K55)</f>
        <v>7548</v>
      </c>
    </row>
    <row r="20" spans="1:12" x14ac:dyDescent="0.25">
      <c r="A20" t="s">
        <v>29</v>
      </c>
      <c r="B20" s="13">
        <f>SUM(TDFD!B56:B70)</f>
        <v>1131.9834872716528</v>
      </c>
      <c r="C20" s="13">
        <f>SUM(TDFD!C56:C70)</f>
        <v>107.823473188872</v>
      </c>
      <c r="D20" s="13">
        <f>SUM(TDFD!D56:D70)</f>
        <v>3669.4653447030337</v>
      </c>
      <c r="E20" s="13">
        <f>SUM(TDFD!E56:E70)</f>
        <v>4909.2723051635576</v>
      </c>
      <c r="H20" t="s">
        <v>29</v>
      </c>
      <c r="I20" s="13">
        <f>SUM(TDFD!H56:H70)</f>
        <v>3829</v>
      </c>
      <c r="J20" s="13">
        <f>SUM(TDFD!I56:I70)</f>
        <v>728</v>
      </c>
      <c r="K20" s="13">
        <f>SUM(TDFD!J56:J70)</f>
        <v>5748</v>
      </c>
      <c r="L20" s="13">
        <f>SUM(TDFD!K56:K70)</f>
        <v>10305</v>
      </c>
    </row>
    <row r="21" spans="1:12" x14ac:dyDescent="0.25">
      <c r="A21" t="s">
        <v>30</v>
      </c>
      <c r="B21" s="13">
        <f>SUM(TDFD!B71:B100)</f>
        <v>0</v>
      </c>
      <c r="C21" s="13">
        <f>SUM(TDFD!C71:C100)</f>
        <v>0</v>
      </c>
      <c r="D21" s="13">
        <f>SUM(TDFD!D71:D100)</f>
        <v>483.90643454674824</v>
      </c>
      <c r="E21" s="13">
        <f>SUM(TDFD!E71:E100)</f>
        <v>483.90643454674824</v>
      </c>
      <c r="H21" t="s">
        <v>30</v>
      </c>
      <c r="I21" s="13">
        <f>SUM(TDFD!H71:H100)</f>
        <v>943</v>
      </c>
      <c r="J21" s="13">
        <f>SUM(TDFD!I71:I100)</f>
        <v>180</v>
      </c>
      <c r="K21" s="13">
        <f>SUM(TDFD!J71:J100)</f>
        <v>3043</v>
      </c>
      <c r="L21" s="13">
        <f>SUM(TDFD!K71:K100)</f>
        <v>4166</v>
      </c>
    </row>
    <row r="22" spans="1:12" ht="15.75" thickBot="1" x14ac:dyDescent="0.3">
      <c r="A22" s="1" t="s">
        <v>31</v>
      </c>
      <c r="B22" s="14">
        <f>TDFD!B101</f>
        <v>0</v>
      </c>
      <c r="C22" s="14">
        <f>TDFD!C101</f>
        <v>0</v>
      </c>
      <c r="D22" s="14">
        <f>TDFD!D101</f>
        <v>0</v>
      </c>
      <c r="E22" s="14">
        <f>TDFD!E101</f>
        <v>0</v>
      </c>
      <c r="H22" s="1" t="s">
        <v>31</v>
      </c>
      <c r="I22" s="14">
        <f>TDFD!H101</f>
        <v>0</v>
      </c>
      <c r="J22" s="14">
        <f>TDFD!I101</f>
        <v>0</v>
      </c>
      <c r="K22" s="14">
        <f>TDFD!J101</f>
        <v>0</v>
      </c>
      <c r="L22" s="14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2"/>
  <sheetViews>
    <sheetView workbookViewId="0">
      <selection activeCell="A45" sqref="A4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32</v>
      </c>
    </row>
    <row r="2" spans="1:22" x14ac:dyDescent="0.25">
      <c r="A2" t="s">
        <v>77</v>
      </c>
    </row>
    <row r="5" spans="1:22" ht="15.75" thickBot="1" x14ac:dyDescent="0.3">
      <c r="A5" s="4" t="s">
        <v>211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3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3</v>
      </c>
    </row>
    <row r="7" spans="1:22" x14ac:dyDescent="0.25">
      <c r="A7" s="53" t="s">
        <v>81</v>
      </c>
      <c r="B7" s="21" t="n">
        <v>30465.149157870128</v>
      </c>
      <c r="C7" s="21" t="n">
        <v>653.7250425944276</v>
      </c>
      <c r="D7" s="21" t="n">
        <v>0.0</v>
      </c>
      <c r="E7" s="21" t="n">
        <v>0.0</v>
      </c>
      <c r="F7" s="21" t="n">
        <v>5358.250383093728</v>
      </c>
      <c r="G7" s="21" t="n">
        <v>0.0</v>
      </c>
      <c r="H7" s="21" t="n">
        <v>0.0</v>
      </c>
      <c r="I7" s="21" t="n">
        <v>0.0</v>
      </c>
      <c r="J7" s="21">
        <f>SUM(B7:I7)</f>
        <v>36477.124583558281</v>
      </c>
      <c r="K7" s="21"/>
      <c r="L7" t="str">
        <f>$A$7</f>
        <v>Williamson</v>
      </c>
      <c r="M7" s="21" t="n">
        <v>34255.0</v>
      </c>
      <c r="N7" s="21" t="n">
        <v>1957.0</v>
      </c>
      <c r="O7" s="21" t="n">
        <v>107.0</v>
      </c>
      <c r="P7" s="21" t="n">
        <v>1.0</v>
      </c>
      <c r="Q7" s="21" t="n">
        <v>9012.0</v>
      </c>
      <c r="R7" s="21" t="n">
        <v>1831.0</v>
      </c>
      <c r="S7" s="21" t="n">
        <v>55.0</v>
      </c>
      <c r="T7" s="21" t="n">
        <v>0.0</v>
      </c>
      <c r="U7" s="21">
        <f>SUM(M7:T7)</f>
        <v>47218</v>
      </c>
    </row>
    <row r="8" spans="1:22" x14ac:dyDescent="0.25">
      <c r="A8" s="7" t="s">
        <v>82</v>
      </c>
      <c r="B8" s="22" t="n">
        <v>69.2248053913536</v>
      </c>
      <c r="C8" s="22" t="n">
        <v>44698.28165367552</v>
      </c>
      <c r="D8" s="22" t="n">
        <v>0.0</v>
      </c>
      <c r="E8" s="22" t="n">
        <v>0.0</v>
      </c>
      <c r="F8" s="22" t="n">
        <v>4998.761829695029</v>
      </c>
      <c r="G8" s="22" t="n">
        <v>0.0</v>
      </c>
      <c r="H8" s="22" t="n">
        <v>0.0</v>
      </c>
      <c r="I8" s="22" t="n">
        <v>0.0</v>
      </c>
      <c r="J8" s="22">
        <f t="shared" ref="J8:J12" si="0">SUM(B8:I8)</f>
        <v>49766.268288761908</v>
      </c>
      <c r="K8" s="21"/>
      <c r="L8" s="7" t="str">
        <f>$A$8</f>
        <v>Rutherford</v>
      </c>
      <c r="M8" s="22" t="n">
        <v>694.0</v>
      </c>
      <c r="N8" s="22" t="n">
        <v>63651.0</v>
      </c>
      <c r="O8" s="22" t="n">
        <v>143.0</v>
      </c>
      <c r="P8" s="22" t="n">
        <v>1.0</v>
      </c>
      <c r="Q8" s="22" t="n">
        <v>3663.0</v>
      </c>
      <c r="R8" s="22" t="n">
        <v>110.0</v>
      </c>
      <c r="S8" s="22" t="n">
        <v>443.0</v>
      </c>
      <c r="T8" s="22" t="n">
        <v>0.0</v>
      </c>
      <c r="U8" s="22">
        <f>SUM(M8:T8)</f>
        <v>68705</v>
      </c>
    </row>
    <row r="9" spans="1:22" x14ac:dyDescent="0.25">
      <c r="A9" s="7" t="s">
        <v>83</v>
      </c>
      <c r="B9" s="22" t="n">
        <v>0.0</v>
      </c>
      <c r="C9" s="22" t="n">
        <v>63.1380522093766</v>
      </c>
      <c r="D9" s="22" t="n">
        <v>21926.94421055477</v>
      </c>
      <c r="E9" s="22" t="n">
        <v>648.502716303536</v>
      </c>
      <c r="F9" s="22" t="n">
        <v>2292.531669404868</v>
      </c>
      <c r="G9" s="22" t="n">
        <v>0.0</v>
      </c>
      <c r="H9" s="22" t="n">
        <v>298.326161718925</v>
      </c>
      <c r="I9" s="22" t="n">
        <v>0.0</v>
      </c>
      <c r="J9" s="22">
        <f t="shared" si="0"/>
        <v>25229.442810191475</v>
      </c>
      <c r="K9" s="21"/>
      <c r="L9" s="7" t="str">
        <f>$A$9</f>
        <v>Sumner</v>
      </c>
      <c r="M9" s="22" t="n">
        <v>22.0</v>
      </c>
      <c r="N9" s="22" t="n">
        <v>112.0</v>
      </c>
      <c r="O9" s="22" t="n">
        <v>30567.0</v>
      </c>
      <c r="P9" s="22" t="n">
        <v>1248.0</v>
      </c>
      <c r="Q9" s="22" t="n">
        <v>3200.0</v>
      </c>
      <c r="R9" s="22" t="n">
        <v>4.0</v>
      </c>
      <c r="S9" s="22" t="n">
        <v>281.0</v>
      </c>
      <c r="T9" s="22" t="n">
        <v>0.0</v>
      </c>
      <c r="U9" s="22">
        <f>SUM(M9:T9)</f>
        <v>35434</v>
      </c>
      <c r="V9" s="7"/>
    </row>
    <row r="10" spans="1:22" x14ac:dyDescent="0.25">
      <c r="A10" s="7" t="s">
        <v>84</v>
      </c>
      <c r="B10" s="22" t="n">
        <v>0.0</v>
      </c>
      <c r="C10" s="22" t="n">
        <v>0.0</v>
      </c>
      <c r="D10" s="22" t="n">
        <v>1769.805586712108</v>
      </c>
      <c r="E10" s="22" t="n">
        <v>8179.817864661132</v>
      </c>
      <c r="F10" s="22" t="n">
        <v>296.6917508742623</v>
      </c>
      <c r="G10" s="22" t="n">
        <v>0.0</v>
      </c>
      <c r="H10" s="22" t="n">
        <v>0.0</v>
      </c>
      <c r="I10" s="22" t="n">
        <v>0.0</v>
      </c>
      <c r="J10" s="22">
        <f t="shared" si="0"/>
        <v>10246.315202247502</v>
      </c>
      <c r="K10" s="21"/>
      <c r="L10" s="7" t="str">
        <f>$A$10</f>
        <v>Roberston</v>
      </c>
      <c r="M10" s="22" t="n">
        <v>12.0</v>
      </c>
      <c r="N10" s="22" t="n">
        <v>18.0</v>
      </c>
      <c r="O10" s="22" t="n">
        <v>2188.0</v>
      </c>
      <c r="P10" s="22" t="n">
        <v>10237.0</v>
      </c>
      <c r="Q10" s="22" t="n">
        <v>2197.0</v>
      </c>
      <c r="R10" s="22" t="n">
        <v>1.0</v>
      </c>
      <c r="S10" s="22" t="n">
        <v>25.0</v>
      </c>
      <c r="T10" s="22" t="n">
        <v>0.0</v>
      </c>
      <c r="U10" s="22">
        <f t="shared" ref="U10:U13" si="1">SUM(M10:T10)</f>
        <v>14678</v>
      </c>
      <c r="V10" s="7"/>
    </row>
    <row r="11" spans="1:22" x14ac:dyDescent="0.25">
      <c r="A11" s="7" t="s">
        <v>85</v>
      </c>
      <c r="B11" s="22" t="n">
        <v>2563.921288217902</v>
      </c>
      <c r="C11" s="22" t="n">
        <v>1676.500231702318</v>
      </c>
      <c r="D11" s="22" t="n">
        <v>2403.691445474521</v>
      </c>
      <c r="E11" s="22" t="n">
        <v>0.0</v>
      </c>
      <c r="F11" s="22" t="n">
        <v>90557.63536822355</v>
      </c>
      <c r="G11" s="22" t="n">
        <v>0.0</v>
      </c>
      <c r="H11" s="22" t="n">
        <v>794.094048881194</v>
      </c>
      <c r="I11" s="22" t="n">
        <v>0.0</v>
      </c>
      <c r="J11" s="22">
        <f t="shared" si="0"/>
        <v>97995.842382499482</v>
      </c>
      <c r="K11" s="21"/>
      <c r="L11" s="7" t="str">
        <f>$A$11</f>
        <v>Davidson</v>
      </c>
      <c r="M11" s="22" t="n">
        <v>3083.0</v>
      </c>
      <c r="N11" s="22" t="n">
        <v>3933.0</v>
      </c>
      <c r="O11" s="22" t="n">
        <v>2557.0</v>
      </c>
      <c r="P11" s="22" t="n">
        <v>236.0</v>
      </c>
      <c r="Q11" s="22" t="n">
        <v>122878.0</v>
      </c>
      <c r="R11" s="22" t="n">
        <v>85.0</v>
      </c>
      <c r="S11" s="22" t="n">
        <v>1153.0</v>
      </c>
      <c r="T11" s="22" t="n">
        <v>0.0</v>
      </c>
      <c r="U11" s="22">
        <f t="shared" si="1"/>
        <v>133925</v>
      </c>
      <c r="V11" s="7"/>
    </row>
    <row r="12" spans="1:22" x14ac:dyDescent="0.25">
      <c r="A12" s="7" t="s">
        <v>86</v>
      </c>
      <c r="B12" s="22" t="n">
        <v>382.410917824633</v>
      </c>
      <c r="C12" s="22" t="n">
        <v>418.90178869141687</v>
      </c>
      <c r="D12" s="22" t="n">
        <v>0.0</v>
      </c>
      <c r="E12" s="22" t="n">
        <v>0.0</v>
      </c>
      <c r="F12" s="22" t="n">
        <v>372.6057809641298</v>
      </c>
      <c r="G12" s="22" t="n">
        <v>12454.395910466896</v>
      </c>
      <c r="H12" s="22" t="n">
        <v>0.0</v>
      </c>
      <c r="I12" s="22" t="n">
        <v>0.0</v>
      </c>
      <c r="J12" s="22">
        <f t="shared" si="0"/>
        <v>13628.314397947075</v>
      </c>
      <c r="K12" s="21"/>
      <c r="L12" s="7" t="str">
        <f>$A$12</f>
        <v>Maury</v>
      </c>
      <c r="M12" s="22" t="n">
        <v>1214.0</v>
      </c>
      <c r="N12" s="22" t="n">
        <v>42.0</v>
      </c>
      <c r="O12" s="22" t="n">
        <v>0.0</v>
      </c>
      <c r="P12" s="22" t="n">
        <v>0.0</v>
      </c>
      <c r="Q12" s="22" t="n">
        <v>87.0</v>
      </c>
      <c r="R12" s="22" t="n">
        <v>15183.0</v>
      </c>
      <c r="S12" s="22" t="n">
        <v>0.0</v>
      </c>
      <c r="T12" s="22" t="n">
        <v>0.0</v>
      </c>
      <c r="U12" s="22">
        <f t="shared" si="1"/>
        <v>16526</v>
      </c>
      <c r="V12" s="7"/>
    </row>
    <row r="13" spans="1:22" x14ac:dyDescent="0.25">
      <c r="A13" s="7" t="s">
        <v>87</v>
      </c>
      <c r="B13" s="22" t="n">
        <v>0.0</v>
      </c>
      <c r="C13" s="22" t="n">
        <v>1152.8177985411114</v>
      </c>
      <c r="D13" s="22" t="n">
        <v>129.0142636620761</v>
      </c>
      <c r="E13" s="22" t="n">
        <v>0.0</v>
      </c>
      <c r="F13" s="22" t="n">
        <v>808.8431551153892</v>
      </c>
      <c r="G13" s="22" t="n">
        <v>0.0</v>
      </c>
      <c r="H13" s="22" t="n">
        <v>16164.058758227962</v>
      </c>
      <c r="I13" s="22" t="n">
        <v>0.0</v>
      </c>
      <c r="J13" s="22">
        <f>SUM(B13:I13)</f>
        <v>18254.73397554654</v>
      </c>
      <c r="K13" s="21"/>
      <c r="L13" t="str">
        <f>$A$13</f>
        <v>Wilson</v>
      </c>
      <c r="M13" s="22" t="n">
        <v>62.0</v>
      </c>
      <c r="N13" s="22" t="n">
        <v>1676.0</v>
      </c>
      <c r="O13" s="22" t="n">
        <v>1197.0</v>
      </c>
      <c r="P13" s="22" t="n">
        <v>19.0</v>
      </c>
      <c r="Q13" s="22" t="n">
        <v>4923.0</v>
      </c>
      <c r="R13" s="22" t="n">
        <v>5.0</v>
      </c>
      <c r="S13" s="22" t="n">
        <v>17334.0</v>
      </c>
      <c r="T13" s="22" t="n">
        <v>0.0</v>
      </c>
      <c r="U13" s="22">
        <f t="shared" si="1"/>
        <v>25216</v>
      </c>
    </row>
    <row r="14" spans="1:22" x14ac:dyDescent="0.25">
      <c r="A14" s="26" t="s">
        <v>15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15</v>
      </c>
      <c r="M14" s="22"/>
      <c r="N14" s="22"/>
      <c r="O14" s="22"/>
      <c r="P14" s="22"/>
      <c r="Q14" s="22"/>
      <c r="R14" s="22"/>
      <c r="S14" s="22"/>
      <c r="T14" s="22"/>
      <c r="U14" s="22"/>
    </row>
    <row r="15" spans="1:22" ht="15.75" thickBot="1" x14ac:dyDescent="0.3">
      <c r="A15" s="12" t="s">
        <v>3</v>
      </c>
      <c r="B15" s="54">
        <f t="shared" ref="B15:G15" si="2">SUM(B7:B13)</f>
        <v>33480.706169304023</v>
      </c>
      <c r="C15" s="54">
        <f t="shared" si="2"/>
        <v>48663.364567414166</v>
      </c>
      <c r="D15" s="54">
        <f t="shared" si="2"/>
        <v>26229.455506403476</v>
      </c>
      <c r="E15" s="54">
        <f t="shared" si="2"/>
        <v>8828.3205809646679</v>
      </c>
      <c r="F15" s="54">
        <f t="shared" si="2"/>
        <v>104685.31993737096</v>
      </c>
      <c r="G15" s="54">
        <f t="shared" si="2"/>
        <v>12454.395910466896</v>
      </c>
      <c r="H15" s="54"/>
      <c r="I15" s="54">
        <f>SUM(I7:I13)</f>
        <v>0</v>
      </c>
      <c r="J15" s="54">
        <f>SUM(J7:J13)</f>
        <v>251598.04164075229</v>
      </c>
      <c r="K15" s="21"/>
      <c r="L15" s="54" t="s">
        <v>3</v>
      </c>
      <c r="M15" s="54">
        <f t="shared" ref="M15:S15" si="3">SUM(M7:M13)</f>
        <v>39278</v>
      </c>
      <c r="N15" s="54">
        <f t="shared" si="3"/>
        <v>69075</v>
      </c>
      <c r="O15" s="54">
        <f t="shared" si="3"/>
        <v>36097</v>
      </c>
      <c r="P15" s="54">
        <f t="shared" si="3"/>
        <v>11638</v>
      </c>
      <c r="Q15" s="54">
        <f t="shared" si="3"/>
        <v>149410</v>
      </c>
      <c r="R15" s="54">
        <f t="shared" si="3"/>
        <v>17182</v>
      </c>
      <c r="S15" s="54">
        <f t="shared" si="3"/>
        <v>19022</v>
      </c>
      <c r="T15" s="54">
        <f>SUM(T7:T13)</f>
        <v>0</v>
      </c>
      <c r="U15" s="54">
        <f>SUM(U7:U13)</f>
        <v>341702</v>
      </c>
    </row>
    <row r="18" spans="1:32" ht="15.75" thickBot="1" x14ac:dyDescent="0.3">
      <c r="A18" s="4" t="s">
        <v>212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t="shared" ref="B20:I26" si="4">($U7/$J7)*B7</f>
        <v>39435.767740988653</v>
      </c>
      <c r="C20" s="21">
        <f t="shared" si="4"/>
        <v>846.21771627078726</v>
      </c>
      <c r="D20" s="21">
        <f t="shared" si="4"/>
        <v>0</v>
      </c>
      <c r="E20" s="21">
        <f t="shared" si="4"/>
        <v>0</v>
      </c>
      <c r="F20" s="21">
        <f t="shared" si="4"/>
        <v>6936.014542740565</v>
      </c>
      <c r="G20" s="21">
        <f t="shared" si="4"/>
        <v>0</v>
      </c>
      <c r="H20" s="21">
        <f t="shared" si="4"/>
        <v>0</v>
      </c>
      <c r="I20" s="21">
        <f t="shared" ref="I20:J26" si="5">($U7/$J7)*I7</f>
        <v>0</v>
      </c>
      <c r="J20" s="21">
        <f t="shared" si="5"/>
        <v>47218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t="shared" si="4"/>
        <v>95.568553117472888</v>
      </c>
      <c r="C21" s="21">
        <f t="shared" si="4"/>
        <v>61708.372892191743</v>
      </c>
      <c r="D21" s="21">
        <f t="shared" si="4"/>
        <v>0</v>
      </c>
      <c r="E21" s="21">
        <f t="shared" si="4"/>
        <v>0</v>
      </c>
      <c r="F21" s="21">
        <f t="shared" si="4"/>
        <v>6901.0585546907823</v>
      </c>
      <c r="G21" s="21">
        <f t="shared" si="4"/>
        <v>0</v>
      </c>
      <c r="H21" s="21">
        <f t="shared" ref="H21" si="6">($U8/$J8)*H8</f>
        <v>0</v>
      </c>
      <c r="I21" s="21">
        <f t="shared" si="5"/>
        <v>0</v>
      </c>
      <c r="J21" s="21">
        <f t="shared" si="5"/>
        <v>68705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t="shared" si="4"/>
        <v>0</v>
      </c>
      <c r="C22" s="21">
        <f t="shared" si="4"/>
        <v>88.675511338812299</v>
      </c>
      <c r="D22" s="21">
        <f t="shared" si="4"/>
        <v>30795.739208435622</v>
      </c>
      <c r="E22" s="21">
        <f t="shared" si="4"/>
        <v>910.8027245142755</v>
      </c>
      <c r="F22" s="21">
        <f t="shared" si="4"/>
        <v>3219.792358667456</v>
      </c>
      <c r="G22" s="21">
        <f t="shared" si="4"/>
        <v>0</v>
      </c>
      <c r="H22" s="21">
        <f t="shared" ref="H22" si="7">($U9/$J9)*H9</f>
        <v>418.9901970438388</v>
      </c>
      <c r="I22" s="21">
        <f t="shared" si="5"/>
        <v>0</v>
      </c>
      <c r="J22" s="21">
        <f t="shared" si="5"/>
        <v>35434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t="shared" si="4"/>
        <v>0</v>
      </c>
      <c r="C23" s="21">
        <f t="shared" si="4"/>
        <v>0</v>
      </c>
      <c r="D23" s="21">
        <f t="shared" si="4"/>
        <v>2535.2730117127658</v>
      </c>
      <c r="E23" s="21">
        <f t="shared" si="4"/>
        <v>11717.711611210294</v>
      </c>
      <c r="F23" s="21">
        <f t="shared" si="4"/>
        <v>425.01537707694172</v>
      </c>
      <c r="G23" s="21">
        <f t="shared" si="4"/>
        <v>0</v>
      </c>
      <c r="H23" s="21">
        <f t="shared" ref="H23" si="8">($U10/$J10)*H10</f>
        <v>0</v>
      </c>
      <c r="I23" s="21">
        <f t="shared" si="5"/>
        <v>0</v>
      </c>
      <c r="J23" s="21">
        <f t="shared" si="5"/>
        <v>14678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t="shared" si="4"/>
        <v>3503.9563942347781</v>
      </c>
      <c r="C24" s="21">
        <f t="shared" si="4"/>
        <v>2291.1716259794061</v>
      </c>
      <c r="D24" s="21">
        <f t="shared" si="4"/>
        <v>3284.979944135508</v>
      </c>
      <c r="E24" s="21">
        <f t="shared" si="4"/>
        <v>0</v>
      </c>
      <c r="F24" s="21">
        <f t="shared" si="4"/>
        <v>123759.65165288682</v>
      </c>
      <c r="G24" s="21">
        <f t="shared" si="4"/>
        <v>0</v>
      </c>
      <c r="H24" s="21">
        <f t="shared" ref="H24" si="9">($U11/$J11)*H11</f>
        <v>1085.2403827634853</v>
      </c>
      <c r="I24" s="21">
        <f t="shared" si="5"/>
        <v>0</v>
      </c>
      <c r="J24" s="21">
        <f t="shared" si="5"/>
        <v>133925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t="shared" si="4"/>
        <v>463.72006423053074</v>
      </c>
      <c r="C25" s="21">
        <f t="shared" si="4"/>
        <v>507.96971347807909</v>
      </c>
      <c r="D25" s="21">
        <f t="shared" si="4"/>
        <v>0</v>
      </c>
      <c r="E25" s="21">
        <f t="shared" si="4"/>
        <v>0</v>
      </c>
      <c r="F25" s="21">
        <f t="shared" si="4"/>
        <v>451.8301351442833</v>
      </c>
      <c r="G25" s="21">
        <f t="shared" si="4"/>
        <v>15102.480087147107</v>
      </c>
      <c r="H25" s="21">
        <f t="shared" ref="H25" si="10">($U12/$J12)*H12</f>
        <v>0</v>
      </c>
      <c r="I25" s="21">
        <f t="shared" si="5"/>
        <v>0</v>
      </c>
      <c r="J25" s="21">
        <f t="shared" si="5"/>
        <v>16526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t="shared" si="4"/>
        <v>0</v>
      </c>
      <c r="C26" s="21">
        <f t="shared" si="4"/>
        <v>1592.4337022359887</v>
      </c>
      <c r="D26" s="21">
        <f t="shared" si="4"/>
        <v>178.21260374765393</v>
      </c>
      <c r="E26" s="21">
        <f t="shared" si="4"/>
        <v>0</v>
      </c>
      <c r="F26" s="21">
        <f t="shared" si="4"/>
        <v>1117.2876595578552</v>
      </c>
      <c r="G26" s="21">
        <f t="shared" si="4"/>
        <v>0</v>
      </c>
      <c r="H26" s="21">
        <f t="shared" si="4"/>
        <v>22328.066034458501</v>
      </c>
      <c r="I26" s="21">
        <f t="shared" si="4"/>
        <v>0</v>
      </c>
      <c r="J26" s="21">
        <f t="shared" si="5"/>
        <v>25216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15</v>
      </c>
      <c r="B27" s="23" t="e">
        <f>($U14/$J14)*B14</f>
        <v>#DIV/0!</v>
      </c>
      <c r="C27" s="23" t="e">
        <f t="shared" ref="C27:J27" si="11">($U14/$J14)*C14</f>
        <v>#DIV/0!</v>
      </c>
      <c r="D27" s="23" t="e">
        <f t="shared" si="11"/>
        <v>#DIV/0!</v>
      </c>
      <c r="E27" s="23" t="e">
        <f t="shared" si="11"/>
        <v>#DIV/0!</v>
      </c>
      <c r="F27" s="23" t="e">
        <f t="shared" si="11"/>
        <v>#DIV/0!</v>
      </c>
      <c r="G27" s="23" t="e">
        <f t="shared" si="11"/>
        <v>#DIV/0!</v>
      </c>
      <c r="H27" s="23" t="e">
        <f t="shared" si="11"/>
        <v>#DIV/0!</v>
      </c>
      <c r="I27" s="23" t="e">
        <f t="shared" si="11"/>
        <v>#DIV/0!</v>
      </c>
      <c r="J27" s="23" t="e">
        <f t="shared" si="11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r="28" spans="1:32" ht="15.75" thickBot="1" x14ac:dyDescent="0.3">
      <c r="A28" s="1" t="s">
        <v>3</v>
      </c>
      <c r="B28" s="25">
        <f t="shared" ref="B28:H28" si="12">($U15/$J15)*B15</f>
        <v>45471.038585423048</v>
      </c>
      <c r="C28" s="25">
        <f t="shared" si="12"/>
        <v>66091.011245459536</v>
      </c>
      <c r="D28" s="25">
        <f t="shared" si="12"/>
        <v>35622.921971095995</v>
      </c>
      <c r="E28" s="25">
        <f t="shared" si="12"/>
        <v>11989.977264863455</v>
      </c>
      <c r="F28" s="25">
        <f t="shared" si="12"/>
        <v>142175.92060718781</v>
      </c>
      <c r="G28" s="25">
        <f t="shared" si="12"/>
        <v>16914.646726364059</v>
      </c>
      <c r="H28" s="25">
        <f t="shared" si="12"/>
        <v>0</v>
      </c>
      <c r="I28" s="25">
        <f>($U15/$J15)*I15</f>
        <v>0</v>
      </c>
      <c r="J28" s="25">
        <f>($U15/$J15)*J15</f>
        <v>341702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31" spans="1:32" ht="15.75" thickBot="1" x14ac:dyDescent="0.3">
      <c r="A31" s="4" t="s">
        <v>212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3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3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3</v>
      </c>
    </row>
    <row r="33" spans="1:32" x14ac:dyDescent="0.25">
      <c r="A33" t="str">
        <f>$A$7</f>
        <v>Williamson</v>
      </c>
      <c r="B33" s="27">
        <f t="shared" ref="B33:J39" si="13">B20/$J$28</f>
        <v>0.11540982417717383</v>
      </c>
      <c r="C33" s="27">
        <f t="shared" si="13"/>
        <v>2.4764786751929673E-3</v>
      </c>
      <c r="D33" s="27">
        <f t="shared" si="13"/>
        <v>0</v>
      </c>
      <c r="E33" s="27">
        <f t="shared" si="13"/>
        <v>0</v>
      </c>
      <c r="F33" s="27">
        <f t="shared" si="13"/>
        <v>2.0298431214159019E-2</v>
      </c>
      <c r="G33" s="27">
        <f t="shared" si="13"/>
        <v>0</v>
      </c>
      <c r="H33" s="27">
        <f t="shared" si="13"/>
        <v>0</v>
      </c>
      <c r="I33" s="27">
        <f t="shared" ref="I33:J38" si="14">I20/$J$28</f>
        <v>0</v>
      </c>
      <c r="J33" s="27">
        <f t="shared" si="14"/>
        <v>0.13818473406652582</v>
      </c>
      <c r="L33" t="str">
        <f>$A$7</f>
        <v>Williamson</v>
      </c>
      <c r="M33" s="27">
        <f t="shared" ref="M33:U39" si="15">M7/$U$15</f>
        <v>9.9487272535718263E-2</v>
      </c>
      <c r="N33" s="27">
        <f t="shared" si="15"/>
        <v>4.8112097675752554E-3</v>
      </c>
      <c r="O33" s="27">
        <f t="shared" si="15"/>
        <v>2.2534254994117681E-4</v>
      </c>
      <c r="P33" s="27">
        <f t="shared" si="15"/>
        <v>2.9265266226126861E-6</v>
      </c>
      <c r="Q33" s="27">
        <f t="shared" si="15"/>
        <v>2.8290732860796836E-2</v>
      </c>
      <c r="R33" s="27">
        <f t="shared" si="15"/>
        <v>5.2677479207028349E-3</v>
      </c>
      <c r="S33" s="27">
        <f t="shared" si="15"/>
        <v>9.9501905168831322E-5</v>
      </c>
      <c r="T33" s="27">
        <f t="shared" ref="T33:U38" si="16">T7/$U$15</f>
        <v>0</v>
      </c>
      <c r="U33" s="27">
        <f t="shared" si="16"/>
        <v>0.13818473406652582</v>
      </c>
      <c r="W33" t="str">
        <f>$A$7</f>
        <v>Williamson</v>
      </c>
      <c r="X33" s="27">
        <f t="shared" ref="X33:Z35" si="17">M33-B33</f>
        <v>-1.5922551641455562E-2</v>
      </c>
      <c r="Y33" s="27">
        <f t="shared" si="17"/>
        <v>2.3347310923822881E-3</v>
      </c>
      <c r="Z33" s="27">
        <f t="shared" si="17"/>
        <v>2.2534254994117681E-4</v>
      </c>
      <c r="AA33" s="27">
        <f t="shared" ref="AA33:AA35" si="18">P33-E33</f>
        <v>2.9265266226126861E-6</v>
      </c>
      <c r="AB33" s="27">
        <f t="shared" ref="AB33:AB35" si="19">Q33-F33</f>
        <v>7.9923016466378165E-3</v>
      </c>
      <c r="AC33" s="27">
        <f t="shared" ref="AC33:AD40" si="20">R33-G33</f>
        <v>5.2677479207028349E-3</v>
      </c>
      <c r="AD33" s="27">
        <f t="shared" si="20"/>
        <v>9.9501905168831322E-5</v>
      </c>
      <c r="AE33" s="27">
        <f t="shared" ref="AE33:AF35" si="21">T33-I33</f>
        <v>0</v>
      </c>
      <c r="AF33" s="27">
        <f t="shared" si="21"/>
        <v>0</v>
      </c>
    </row>
    <row r="34" spans="1:32" x14ac:dyDescent="0.25">
      <c r="A34" t="str">
        <f>$A$8</f>
        <v>Rutherford</v>
      </c>
      <c r="B34" s="27">
        <f t="shared" si="13"/>
        <v>2.7968391498285898E-4</v>
      </c>
      <c r="C34" s="27">
        <f t="shared" si="13"/>
        <v>0.18059119610711011</v>
      </c>
      <c r="D34" s="27">
        <f t="shared" si="13"/>
        <v>0</v>
      </c>
      <c r="E34" s="27">
        <f t="shared" si="13"/>
        <v>0</v>
      </c>
      <c r="F34" s="27">
        <f t="shared" si="13"/>
        <v>2.0196131584511598E-2</v>
      </c>
      <c r="G34" s="27">
        <f t="shared" si="13"/>
        <v>0</v>
      </c>
      <c r="H34" s="27">
        <f t="shared" ref="H34" si="22">H21/$J$28</f>
        <v>0</v>
      </c>
      <c r="I34" s="27">
        <f t="shared" si="14"/>
        <v>0</v>
      </c>
      <c r="J34" s="27">
        <f t="shared" si="14"/>
        <v>0.20106701160660459</v>
      </c>
      <c r="L34" t="str">
        <f>$A$8</f>
        <v>Rutherford</v>
      </c>
      <c r="M34" s="27">
        <f t="shared" si="15"/>
        <v>2.2709846591474443E-3</v>
      </c>
      <c r="N34" s="27">
        <f t="shared" si="15"/>
        <v>0.18345810091834405</v>
      </c>
      <c r="O34" s="27">
        <f t="shared" si="15"/>
        <v>5.0043605246676926E-4</v>
      </c>
      <c r="P34" s="27">
        <f t="shared" si="15"/>
        <v>5.8530532452253722E-6</v>
      </c>
      <c r="Q34" s="27">
        <f t="shared" si="15"/>
        <v>1.306401484334303E-2</v>
      </c>
      <c r="R34" s="27">
        <f t="shared" si="15"/>
        <v>3.482566680909096E-4</v>
      </c>
      <c r="S34" s="27">
        <f t="shared" ref="S34" si="23">S8/$U$15</f>
        <v>1.4193654119671526E-3</v>
      </c>
      <c r="T34" s="27">
        <f t="shared" si="16"/>
        <v>0</v>
      </c>
      <c r="U34" s="27">
        <f t="shared" si="16"/>
        <v>0.20106701160660459</v>
      </c>
      <c r="W34" t="str">
        <f>$A$8</f>
        <v>Rutherford</v>
      </c>
      <c r="X34" s="27">
        <f t="shared" si="17"/>
        <v>1.9913007441645855E-3</v>
      </c>
      <c r="Y34" s="27">
        <f t="shared" si="17"/>
        <v>2.8669048112339446E-3</v>
      </c>
      <c r="Z34" s="27">
        <f t="shared" si="17"/>
        <v>5.0043605246676926E-4</v>
      </c>
      <c r="AA34" s="27">
        <f t="shared" si="18"/>
        <v>5.8530532452253722E-6</v>
      </c>
      <c r="AB34" s="27">
        <f t="shared" si="19"/>
        <v>-7.1321167411685683E-3</v>
      </c>
      <c r="AC34" s="27">
        <f t="shared" si="20"/>
        <v>3.482566680909096E-4</v>
      </c>
      <c r="AD34" s="27">
        <f t="shared" si="20"/>
        <v>1.4193654119671526E-3</v>
      </c>
      <c r="AE34" s="27">
        <f t="shared" si="21"/>
        <v>0</v>
      </c>
      <c r="AF34" s="27">
        <f t="shared" si="21"/>
        <v>0</v>
      </c>
    </row>
    <row r="35" spans="1:32" x14ac:dyDescent="0.25">
      <c r="A35" t="str">
        <f>$A$9</f>
        <v>Sumner</v>
      </c>
      <c r="B35" s="27">
        <f t="shared" si="13"/>
        <v>0</v>
      </c>
      <c r="C35" s="27">
        <f t="shared" si="13"/>
        <v>2.5951124470682731E-4</v>
      </c>
      <c r="D35" s="27">
        <f t="shared" si="13"/>
        <v>9.0124550656524166E-2</v>
      </c>
      <c r="E35" s="27">
        <f t="shared" si="13"/>
        <v>2.6654884212391951E-3</v>
      </c>
      <c r="F35" s="27">
        <f t="shared" si="13"/>
        <v>9.4228080569252037E-3</v>
      </c>
      <c r="G35" s="27">
        <f t="shared" si="13"/>
        <v>0</v>
      </c>
      <c r="H35" s="27">
        <f t="shared" ref="H35" si="24">H22/$J$28</f>
        <v>1.2261859662625293E-3</v>
      </c>
      <c r="I35" s="27">
        <f t="shared" si="14"/>
        <v>0</v>
      </c>
      <c r="J35" s="27">
        <f t="shared" si="14"/>
        <v>0.10369854434565791</v>
      </c>
      <c r="L35" t="str">
        <f>$A$9</f>
        <v>Sumner</v>
      </c>
      <c r="M35" s="27">
        <f t="shared" si="15"/>
        <v>7.023663894270446E-5</v>
      </c>
      <c r="N35" s="27">
        <f t="shared" si="15"/>
        <v>2.721669759029798E-4</v>
      </c>
      <c r="O35" s="27">
        <f t="shared" si="15"/>
        <v>8.7953831116001663E-2</v>
      </c>
      <c r="P35" s="27">
        <f t="shared" si="15"/>
        <v>3.6757174380015337E-3</v>
      </c>
      <c r="Q35" s="27">
        <f t="shared" si="15"/>
        <v>1.069938133227198E-2</v>
      </c>
      <c r="R35" s="27">
        <f t="shared" si="15"/>
        <v>8.7795798678380575E-6</v>
      </c>
      <c r="S35" s="27">
        <f t="shared" ref="S35" si="25">S9/$U$15</f>
        <v>1.0184312646692147E-3</v>
      </c>
      <c r="T35" s="27">
        <f t="shared" si="16"/>
        <v>0</v>
      </c>
      <c r="U35" s="27">
        <f t="shared" si="16"/>
        <v>0.10369854434565791</v>
      </c>
      <c r="W35" t="str">
        <f>$A$9</f>
        <v>Sumner</v>
      </c>
      <c r="X35" s="27">
        <f t="shared" si="17"/>
        <v>7.023663894270446E-5</v>
      </c>
      <c r="Y35" s="27">
        <f t="shared" si="17"/>
        <v>1.2655731196152488E-5</v>
      </c>
      <c r="Z35" s="27">
        <f t="shared" si="17"/>
        <v>-2.1707195405225033E-3</v>
      </c>
      <c r="AA35" s="27">
        <f t="shared" si="18"/>
        <v>1.0102290167623386E-3</v>
      </c>
      <c r="AB35" s="27">
        <f t="shared" si="19"/>
        <v>1.2765732753467762E-3</v>
      </c>
      <c r="AC35" s="27">
        <f t="shared" si="20"/>
        <v>8.7795798678380575E-6</v>
      </c>
      <c r="AD35" s="27">
        <f t="shared" si="20"/>
        <v>-2.0775470159331458E-4</v>
      </c>
      <c r="AE35" s="27">
        <f t="shared" si="21"/>
        <v>0</v>
      </c>
      <c r="AF35" s="27">
        <f t="shared" si="21"/>
        <v>0</v>
      </c>
    </row>
    <row r="36" spans="1:32" x14ac:dyDescent="0.25">
      <c r="A36" t="str">
        <f>$A$10</f>
        <v>Roberston</v>
      </c>
      <c r="B36" s="27">
        <f t="shared" si="13"/>
        <v>0</v>
      </c>
      <c r="C36" s="27">
        <f t="shared" si="13"/>
        <v>0</v>
      </c>
      <c r="D36" s="27">
        <f t="shared" si="13"/>
        <v>7.4195439643688528E-3</v>
      </c>
      <c r="E36" s="27">
        <f t="shared" si="13"/>
        <v>3.4292194986304717E-2</v>
      </c>
      <c r="F36" s="27">
        <f t="shared" si="13"/>
        <v>1.2438188160354394E-3</v>
      </c>
      <c r="G36" s="27">
        <f t="shared" si="13"/>
        <v>0</v>
      </c>
      <c r="H36" s="27">
        <f t="shared" ref="H36" si="26">H23/$J$28</f>
        <v>0</v>
      </c>
      <c r="I36" s="27">
        <f t="shared" si="14"/>
        <v>0</v>
      </c>
      <c r="J36" s="27">
        <f t="shared" si="14"/>
        <v>4.2955557766709007E-2</v>
      </c>
      <c r="L36" t="str">
        <f>$A$10</f>
        <v>Roberston</v>
      </c>
      <c r="M36" s="27">
        <f t="shared" si="15"/>
        <v>6.1457059074866409E-5</v>
      </c>
      <c r="N36" s="27">
        <f t="shared" si="15"/>
        <v>6.1457059074866409E-5</v>
      </c>
      <c r="O36" s="27">
        <f t="shared" si="15"/>
        <v>6.1544854873544783E-3</v>
      </c>
      <c r="P36" s="27">
        <f t="shared" si="15"/>
        <v>2.9508167935803711E-2</v>
      </c>
      <c r="Q36" s="27">
        <f t="shared" si="15"/>
        <v>7.1056066397036013E-3</v>
      </c>
      <c r="R36" s="27">
        <f t="shared" si="15"/>
        <v>2.9265266226126861E-6</v>
      </c>
      <c r="S36" s="27">
        <f t="shared" ref="S36" si="27">S10/$U$15</f>
        <v>6.1457059074866409E-5</v>
      </c>
      <c r="T36" s="27">
        <f t="shared" si="16"/>
        <v>0</v>
      </c>
      <c r="U36" s="27">
        <f t="shared" si="16"/>
        <v>4.2955557766709007E-2</v>
      </c>
      <c r="W36" t="str">
        <f>$A$10</f>
        <v>Roberston</v>
      </c>
      <c r="X36" s="27">
        <f t="shared" ref="X36:X39" si="28">M36-B36</f>
        <v>6.1457059074866409E-5</v>
      </c>
      <c r="Y36" s="27">
        <f t="shared" ref="Y36:Y39" si="29">N36-C36</f>
        <v>6.1457059074866409E-5</v>
      </c>
      <c r="Z36" s="27">
        <f t="shared" ref="Z36:Z39" si="30">O36-D36</f>
        <v>-1.2650584770143745E-3</v>
      </c>
      <c r="AA36" s="27">
        <f t="shared" ref="AA36:AA39" si="31">P36-E36</f>
        <v>-4.7840270505010059E-3</v>
      </c>
      <c r="AB36" s="27">
        <f t="shared" ref="AB36:AB39" si="32">Q36-F36</f>
        <v>5.8617878236681617E-3</v>
      </c>
      <c r="AC36" s="27">
        <f t="shared" ref="AC36:AC39" si="33">R36-G36</f>
        <v>2.9265266226126861E-6</v>
      </c>
      <c r="AD36" s="27">
        <f t="shared" si="20"/>
        <v>6.1457059074866409E-5</v>
      </c>
      <c r="AE36" s="27">
        <f t="shared" ref="AE36:AE39" si="34">T36-I36</f>
        <v>0</v>
      </c>
      <c r="AF36" s="27">
        <f t="shared" ref="AF36:AF39" si="35">U36-J36</f>
        <v>0</v>
      </c>
    </row>
    <row r="37" spans="1:32" x14ac:dyDescent="0.25">
      <c r="A37" t="str">
        <f>$A$11</f>
        <v>Davidson</v>
      </c>
      <c r="B37" s="27">
        <f t="shared" si="13"/>
        <v>1.025442167220203E-2</v>
      </c>
      <c r="C37" s="27">
        <f t="shared" si="13"/>
        <v>6.7051747604035278E-3</v>
      </c>
      <c r="D37" s="27">
        <f t="shared" si="13"/>
        <v>9.6135812612612986E-3</v>
      </c>
      <c r="E37" s="27">
        <f t="shared" si="13"/>
        <v>0</v>
      </c>
      <c r="F37" s="27">
        <f t="shared" si="13"/>
        <v>0.36218591536744538</v>
      </c>
      <c r="G37" s="27">
        <f t="shared" si="13"/>
        <v>0</v>
      </c>
      <c r="H37" s="27">
        <f t="shared" ref="H37" si="36">H24/$J$28</f>
        <v>3.1759848720917211E-3</v>
      </c>
      <c r="I37" s="27">
        <f t="shared" si="14"/>
        <v>0</v>
      </c>
      <c r="J37" s="27">
        <f t="shared" si="14"/>
        <v>0.39193507793340399</v>
      </c>
      <c r="L37" t="str">
        <f>$A$11</f>
        <v>Davidson</v>
      </c>
      <c r="M37" s="27">
        <f t="shared" si="15"/>
        <v>9.1775874885133835E-3</v>
      </c>
      <c r="N37" s="27">
        <f t="shared" si="15"/>
        <v>8.8937144061199524E-3</v>
      </c>
      <c r="O37" s="27">
        <f t="shared" si="15"/>
        <v>6.6637011196890861E-3</v>
      </c>
      <c r="P37" s="27">
        <f t="shared" si="15"/>
        <v>7.6089692187929832E-4</v>
      </c>
      <c r="Q37" s="27">
        <f t="shared" si="15"/>
        <v>0.36276931361244591</v>
      </c>
      <c r="R37" s="27">
        <f t="shared" si="15"/>
        <v>3.3069750835523353E-4</v>
      </c>
      <c r="S37" s="27">
        <f t="shared" ref="S37" si="37">S11/$U$15</f>
        <v>3.3391668764010747E-3</v>
      </c>
      <c r="T37" s="27">
        <f t="shared" si="16"/>
        <v>0</v>
      </c>
      <c r="U37" s="27">
        <f t="shared" si="16"/>
        <v>0.39193507793340399</v>
      </c>
      <c r="W37" t="str">
        <f>$A$11</f>
        <v>Davidson</v>
      </c>
      <c r="X37" s="27">
        <f t="shared" si="28"/>
        <v>-1.0768341836886464E-3</v>
      </c>
      <c r="Y37" s="27">
        <f t="shared" si="29"/>
        <v>2.1885396457164245E-3</v>
      </c>
      <c r="Z37" s="27">
        <f t="shared" si="30"/>
        <v>-2.9498801415722125E-3</v>
      </c>
      <c r="AA37" s="27">
        <f t="shared" si="31"/>
        <v>7.6089692187929832E-4</v>
      </c>
      <c r="AB37" s="27">
        <f t="shared" si="32"/>
        <v>5.8339824500053261E-4</v>
      </c>
      <c r="AC37" s="27">
        <f t="shared" si="33"/>
        <v>3.3069750835523353E-4</v>
      </c>
      <c r="AD37" s="27">
        <f t="shared" si="20"/>
        <v>1.6318200430935365E-4</v>
      </c>
      <c r="AE37" s="27">
        <f t="shared" si="34"/>
        <v>0</v>
      </c>
      <c r="AF37" s="27">
        <f t="shared" si="35"/>
        <v>0</v>
      </c>
    </row>
    <row r="38" spans="1:32" x14ac:dyDescent="0.25">
      <c r="A38" t="str">
        <f>$A$12</f>
        <v>Maury</v>
      </c>
      <c r="B38" s="27">
        <f t="shared" si="13"/>
        <v>1.3570891134103129E-3</v>
      </c>
      <c r="C38" s="27">
        <f t="shared" si="13"/>
        <v>1.4865868899745366E-3</v>
      </c>
      <c r="D38" s="27">
        <f t="shared" si="13"/>
        <v>0</v>
      </c>
      <c r="E38" s="27">
        <f t="shared" si="13"/>
        <v>0</v>
      </c>
      <c r="F38" s="27">
        <f t="shared" si="13"/>
        <v>1.3222929193984329E-3</v>
      </c>
      <c r="G38" s="27">
        <f t="shared" si="13"/>
        <v>4.4197810042513969E-2</v>
      </c>
      <c r="H38" s="27">
        <f t="shared" ref="H38" si="38">H25/$J$28</f>
        <v>0</v>
      </c>
      <c r="I38" s="27">
        <f t="shared" si="14"/>
        <v>0</v>
      </c>
      <c r="J38" s="27">
        <f t="shared" si="14"/>
        <v>4.8363778965297248E-2</v>
      </c>
      <c r="L38" t="str">
        <f>$A$12</f>
        <v>Maury</v>
      </c>
      <c r="M38" s="27">
        <f t="shared" si="15"/>
        <v>3.6230399587945054E-3</v>
      </c>
      <c r="N38" s="27">
        <f t="shared" si="15"/>
        <v>1.3462022464018355E-4</v>
      </c>
      <c r="O38" s="27">
        <f t="shared" si="15"/>
        <v>0</v>
      </c>
      <c r="P38" s="27">
        <f t="shared" si="15"/>
        <v>0</v>
      </c>
      <c r="Q38" s="27">
        <f t="shared" si="15"/>
        <v>2.9265266226126857E-4</v>
      </c>
      <c r="R38" s="27">
        <f t="shared" si="15"/>
        <v>4.4310539592978676E-2</v>
      </c>
      <c r="S38" s="27">
        <f t="shared" ref="S38" si="39">S12/$U$15</f>
        <v>2.9265266226126861E-6</v>
      </c>
      <c r="T38" s="27">
        <f t="shared" si="16"/>
        <v>0</v>
      </c>
      <c r="U38" s="27">
        <f t="shared" si="16"/>
        <v>4.8363778965297248E-2</v>
      </c>
      <c r="W38" t="str">
        <f>$A$12</f>
        <v>Maury</v>
      </c>
      <c r="X38" s="27">
        <f t="shared" si="28"/>
        <v>2.2659508453841924E-3</v>
      </c>
      <c r="Y38" s="27">
        <f t="shared" si="29"/>
        <v>-1.351966665334353E-3</v>
      </c>
      <c r="Z38" s="27">
        <f t="shared" si="30"/>
        <v>0</v>
      </c>
      <c r="AA38" s="27">
        <f t="shared" si="31"/>
        <v>0</v>
      </c>
      <c r="AB38" s="27">
        <f t="shared" si="32"/>
        <v>-1.0296402571371643E-3</v>
      </c>
      <c r="AC38" s="27">
        <f t="shared" si="33"/>
        <v>1.1272955046470745E-4</v>
      </c>
      <c r="AD38" s="27">
        <f t="shared" si="20"/>
        <v>2.9265266226126861E-6</v>
      </c>
      <c r="AE38" s="27">
        <f t="shared" si="34"/>
        <v>0</v>
      </c>
      <c r="AF38" s="27">
        <f t="shared" si="35"/>
        <v>0</v>
      </c>
    </row>
    <row r="39" spans="1:32" x14ac:dyDescent="0.25">
      <c r="A39" t="str">
        <f>$A$13</f>
        <v>Wilson</v>
      </c>
      <c r="B39" s="27">
        <f t="shared" si="13"/>
        <v>0</v>
      </c>
      <c r="C39" s="27">
        <f t="shared" si="13"/>
        <v>4.6602996243393039E-3</v>
      </c>
      <c r="D39" s="27">
        <f t="shared" si="13"/>
        <v>5.2154392935263453E-4</v>
      </c>
      <c r="E39" s="27">
        <f t="shared" si="13"/>
        <v>0</v>
      </c>
      <c r="F39" s="27">
        <f t="shared" si="13"/>
        <v>3.2697720808126827E-3</v>
      </c>
      <c r="G39" s="27">
        <f t="shared" si="13"/>
        <v>0</v>
      </c>
      <c r="H39" s="27">
        <f t="shared" si="13"/>
        <v>6.5343679681296868E-2</v>
      </c>
      <c r="I39" s="27">
        <f t="shared" si="13"/>
        <v>0</v>
      </c>
      <c r="J39" s="27">
        <f t="shared" si="13"/>
        <v>7.3795295315801493E-2</v>
      </c>
      <c r="L39" t="str">
        <f>$A$13</f>
        <v>Wilson</v>
      </c>
      <c r="M39" s="27">
        <f t="shared" si="15"/>
        <v>2.5753434278991637E-4</v>
      </c>
      <c r="N39" s="27">
        <f t="shared" si="15"/>
        <v>4.518557105313987E-3</v>
      </c>
      <c r="O39" s="27">
        <f t="shared" si="15"/>
        <v>4.1410351709969505E-3</v>
      </c>
      <c r="P39" s="27">
        <f t="shared" si="15"/>
        <v>1.0535495841405669E-4</v>
      </c>
      <c r="Q39" s="27">
        <f t="shared" si="15"/>
        <v>1.5030640733738755E-2</v>
      </c>
      <c r="R39" s="27">
        <f t="shared" si="15"/>
        <v>1.463263311306343E-5</v>
      </c>
      <c r="S39" s="27">
        <f t="shared" si="15"/>
        <v>4.9727540371434759E-2</v>
      </c>
      <c r="T39" s="27">
        <f t="shared" si="15"/>
        <v>0</v>
      </c>
      <c r="U39" s="27">
        <f t="shared" si="15"/>
        <v>7.3795295315801493E-2</v>
      </c>
      <c r="W39" t="str">
        <f>$A$13</f>
        <v>Wilson</v>
      </c>
      <c r="X39" s="27">
        <f t="shared" si="28"/>
        <v>2.5753434278991637E-4</v>
      </c>
      <c r="Y39" s="27">
        <f t="shared" si="29"/>
        <v>-1.4174251902531691E-4</v>
      </c>
      <c r="Z39" s="27">
        <f t="shared" si="30"/>
        <v>3.619491241644316E-3</v>
      </c>
      <c r="AA39" s="27">
        <f t="shared" si="31"/>
        <v>1.0535495841405669E-4</v>
      </c>
      <c r="AB39" s="27">
        <f t="shared" si="32"/>
        <v>1.1760868652926072E-2</v>
      </c>
      <c r="AC39" s="27">
        <f t="shared" si="33"/>
        <v>1.463263311306343E-5</v>
      </c>
      <c r="AD39" s="27">
        <f t="shared" si="20"/>
        <v>-1.5616139309862109E-2</v>
      </c>
      <c r="AE39" s="27">
        <f t="shared" si="34"/>
        <v>0</v>
      </c>
      <c r="AF39" s="27">
        <f t="shared" si="35"/>
        <v>0</v>
      </c>
    </row>
    <row r="40" spans="1:32" x14ac:dyDescent="0.25">
      <c r="A40" s="8" t="s">
        <v>15</v>
      </c>
      <c r="B40" s="28" t="e">
        <f t="shared" ref="B40:H40" si="40">B27/$J$28</f>
        <v>#DIV/0!</v>
      </c>
      <c r="C40" s="28" t="e">
        <f t="shared" si="40"/>
        <v>#DIV/0!</v>
      </c>
      <c r="D40" s="28" t="e">
        <f t="shared" si="40"/>
        <v>#DIV/0!</v>
      </c>
      <c r="E40" s="28" t="e">
        <f t="shared" si="40"/>
        <v>#DIV/0!</v>
      </c>
      <c r="F40" s="28" t="e">
        <f t="shared" si="40"/>
        <v>#DIV/0!</v>
      </c>
      <c r="G40" s="28" t="e">
        <f t="shared" si="40"/>
        <v>#DIV/0!</v>
      </c>
      <c r="H40" s="28" t="e">
        <f t="shared" si="40"/>
        <v>#DIV/0!</v>
      </c>
      <c r="I40" s="28" t="e">
        <f>I27/$J$28</f>
        <v>#DIV/0!</v>
      </c>
      <c r="J40" s="28" t="e">
        <f>J27/$J$28</f>
        <v>#DIV/0!</v>
      </c>
      <c r="L40" s="24" t="s">
        <v>15</v>
      </c>
      <c r="M40" s="28">
        <f>M14/$U$15</f>
        <v>0</v>
      </c>
      <c r="N40" s="28">
        <f t="shared" ref="N40:U40" si="41">N14/$U$15</f>
        <v>0</v>
      </c>
      <c r="O40" s="28">
        <f t="shared" si="41"/>
        <v>0</v>
      </c>
      <c r="P40" s="28">
        <f t="shared" si="41"/>
        <v>0</v>
      </c>
      <c r="Q40" s="28">
        <f t="shared" si="41"/>
        <v>0</v>
      </c>
      <c r="R40" s="28">
        <f t="shared" si="41"/>
        <v>0</v>
      </c>
      <c r="S40" s="28">
        <f t="shared" si="41"/>
        <v>0</v>
      </c>
      <c r="T40" s="28">
        <f t="shared" si="41"/>
        <v>0</v>
      </c>
      <c r="U40" s="28">
        <f t="shared" si="41"/>
        <v>0</v>
      </c>
      <c r="W40" s="24" t="s">
        <v>15</v>
      </c>
      <c r="X40" s="28" t="e">
        <f t="shared" ref="X40:Z41" si="42">M40-B40</f>
        <v>#DIV/0!</v>
      </c>
      <c r="Y40" s="28" t="e">
        <f t="shared" si="42"/>
        <v>#DIV/0!</v>
      </c>
      <c r="Z40" s="28" t="e">
        <f t="shared" si="42"/>
        <v>#DIV/0!</v>
      </c>
      <c r="AA40" s="28" t="e">
        <f t="shared" ref="AA40:AA41" si="43">P40-E40</f>
        <v>#DIV/0!</v>
      </c>
      <c r="AB40" s="28" t="e">
        <f t="shared" ref="AB40:AB41" si="44">Q40-F40</f>
        <v>#DIV/0!</v>
      </c>
      <c r="AC40" s="28" t="e">
        <f t="shared" ref="AC40:AD41" si="45">R40-G40</f>
        <v>#DIV/0!</v>
      </c>
      <c r="AD40" s="27" t="e">
        <f t="shared" si="20"/>
        <v>#DIV/0!</v>
      </c>
      <c r="AE40" s="28" t="e">
        <f>T40-I40</f>
        <v>#DIV/0!</v>
      </c>
      <c r="AF40" s="28" t="e">
        <f>U40-J40</f>
        <v>#DIV/0!</v>
      </c>
    </row>
    <row r="41" spans="1:32" ht="15.75" thickBot="1" x14ac:dyDescent="0.3">
      <c r="A41" s="1" t="s">
        <v>3</v>
      </c>
      <c r="B41" s="29">
        <f>B28/$J$28</f>
        <v>0.13307220497808925</v>
      </c>
      <c r="C41" s="29">
        <f>C28/$J$28</f>
        <v>0.19341710392523173</v>
      </c>
      <c r="D41" s="29">
        <f>D28/$J$28</f>
        <v>0.10425142952366681</v>
      </c>
      <c r="E41" s="29">
        <f t="shared" ref="E41:H41" si="46">E28/$J$28</f>
        <v>3.5088987670143734E-2</v>
      </c>
      <c r="F41" s="29">
        <f t="shared" si="46"/>
        <v>0.41608161675140271</v>
      </c>
      <c r="G41" s="29">
        <f t="shared" si="46"/>
        <v>4.950116395679293E-2</v>
      </c>
      <c r="H41" s="29">
        <f t="shared" si="46"/>
        <v>0</v>
      </c>
      <c r="I41" s="29">
        <f>I28/$J$28</f>
        <v>0</v>
      </c>
      <c r="J41" s="29">
        <f>J28/$J$28</f>
        <v>1</v>
      </c>
      <c r="L41" s="25" t="s">
        <v>3</v>
      </c>
      <c r="M41" s="29">
        <f>M15/$U$15</f>
        <v>0.11494811268298108</v>
      </c>
      <c r="N41" s="29">
        <f>N15/$U$15</f>
        <v>0.20214982645697127</v>
      </c>
      <c r="O41" s="29">
        <f>O15/$U$15</f>
        <v>0.10563883149645012</v>
      </c>
      <c r="P41" s="29">
        <f t="shared" ref="P41:S41" si="47">P15/$U$15</f>
        <v>3.4058916833966439E-2</v>
      </c>
      <c r="Q41" s="29">
        <f t="shared" si="47"/>
        <v>0.43725234268456142</v>
      </c>
      <c r="R41" s="29">
        <f t="shared" si="47"/>
        <v>5.0283580429731169E-2</v>
      </c>
      <c r="S41" s="29">
        <f t="shared" si="47"/>
        <v>5.5668389415338512E-2</v>
      </c>
      <c r="T41" s="29">
        <f>T15/$U$15</f>
        <v>0</v>
      </c>
      <c r="U41" s="29">
        <f>U15/$U$15</f>
        <v>1</v>
      </c>
      <c r="W41" s="25" t="s">
        <v>3</v>
      </c>
      <c r="X41" s="29">
        <f t="shared" si="42"/>
        <v>-1.8124092295108168E-2</v>
      </c>
      <c r="Y41" s="29">
        <f t="shared" si="42"/>
        <v>8.7327225317395396E-3</v>
      </c>
      <c r="Z41" s="29">
        <f t="shared" si="42"/>
        <v>1.3874019727833087E-3</v>
      </c>
      <c r="AA41" s="29">
        <f t="shared" si="43"/>
        <v>-1.0300708361772951E-3</v>
      </c>
      <c r="AB41" s="29">
        <f t="shared" si="44"/>
        <v>2.1170725933158718E-2</v>
      </c>
      <c r="AC41" s="29">
        <f t="shared" si="45"/>
        <v>7.8241647293823824E-4</v>
      </c>
      <c r="AD41" s="29">
        <f t="shared" si="45"/>
        <v>5.5668389415338512E-2</v>
      </c>
      <c r="AE41" s="29">
        <f>T41-I41</f>
        <v>0</v>
      </c>
      <c r="AF41" s="29">
        <f>U41-J41</f>
        <v>0</v>
      </c>
    </row>
    <row r="44" spans="1:32" ht="15.75" thickBot="1" x14ac:dyDescent="0.3">
      <c r="A44" s="40" t="s">
        <v>213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45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46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14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14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14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r="52" spans="1:32" ht="15.75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6"/>
  <sheetViews>
    <sheetView tabSelected="1" workbookViewId="0"/>
  </sheetViews>
  <sheetFormatPr defaultRowHeight="15" x14ac:dyDescent="0.25"/>
  <cols>
    <col min="2" max="2" bestFit="true" customWidth="true" width="9.28515625" collapsed="true"/>
    <col min="3" max="3" bestFit="true" customWidth="true" width="9.5703125" collapsed="true"/>
    <col min="4" max="4" bestFit="true" customWidth="true" width="12.140625" collapsed="true"/>
    <col min="5" max="5" bestFit="true" customWidth="true" width="9.5703125" collapsed="true"/>
    <col min="11" max="11" bestFit="true" customWidth="true" width="12.0" collapsed="true"/>
    <col min="12" max="13" bestFit="true" customWidth="true" width="9.5703125" collapsed="true"/>
  </cols>
  <sheetData>
    <row r="1" spans="1:19" x14ac:dyDescent="0.25">
      <c r="A1" t="s">
        <v>36</v>
      </c>
    </row>
    <row r="2" spans="1:19" x14ac:dyDescent="0.25">
      <c r="A2" t="s">
        <v>216</v>
      </c>
    </row>
    <row r="3" spans="1:19" x14ac:dyDescent="0.25">
      <c r="A3" t="s">
        <v>37</v>
      </c>
    </row>
    <row r="5" spans="1:19" ht="15.75" thickBot="1" x14ac:dyDescent="0.3">
      <c r="A5" s="4" t="s">
        <v>217</v>
      </c>
      <c r="B5" s="1"/>
      <c r="C5" s="1"/>
      <c r="D5" s="1"/>
      <c r="H5" s="4" t="s">
        <v>39</v>
      </c>
      <c r="I5" s="1"/>
      <c r="J5" s="1"/>
      <c r="K5" s="1"/>
      <c r="O5" s="4" t="s">
        <v>78</v>
      </c>
      <c r="P5" s="1"/>
      <c r="Q5" s="1"/>
      <c r="R5" s="1"/>
      <c r="S5" s="1"/>
    </row>
    <row r="6" spans="1:19" x14ac:dyDescent="0.25">
      <c r="A6" s="2"/>
      <c r="B6" s="5" t="s">
        <v>48</v>
      </c>
      <c r="C6" s="5" t="s">
        <v>49</v>
      </c>
      <c r="D6" s="5" t="s">
        <v>50</v>
      </c>
      <c r="E6" s="3" t="s">
        <v>3</v>
      </c>
      <c r="H6" s="2"/>
      <c r="I6" s="5" t="s">
        <v>48</v>
      </c>
      <c r="J6" s="5" t="s">
        <v>49</v>
      </c>
      <c r="K6" s="5" t="s">
        <v>50</v>
      </c>
      <c r="L6" s="3" t="s">
        <v>3</v>
      </c>
      <c r="O6" s="2"/>
      <c r="P6" s="5" t="s">
        <v>48</v>
      </c>
      <c r="Q6" s="5" t="s">
        <v>49</v>
      </c>
      <c r="R6" s="5" t="s">
        <v>50</v>
      </c>
      <c r="S6" s="3" t="s">
        <v>3</v>
      </c>
    </row>
    <row r="7" spans="1:19" x14ac:dyDescent="0.25">
      <c r="A7" s="53" t="s">
        <v>81</v>
      </c>
      <c r="B7" t="n">
        <v>749.6847640255826</v>
      </c>
      <c r="C7" t="n">
        <v>0.0</v>
      </c>
      <c r="D7" t="n">
        <v>42.1697872186607</v>
      </c>
      <c r="E7">
        <f>SUM(B7:D7)</f>
        <v>791.85455124424334</v>
      </c>
      <c r="H7" s="15" t="str">
        <f>$A$7</f>
        <v>Williamson</v>
      </c>
      <c r="I7" t="n">
        <v>821.0</v>
      </c>
      <c r="J7" t="n">
        <v>98.0</v>
      </c>
      <c r="K7" t="n">
        <v>48.0</v>
      </c>
      <c r="L7">
        <f>SUM(I7:K7)</f>
        <v>982</v>
      </c>
      <c r="O7" s="15" t="str">
        <f>$A$7</f>
        <v>Williamson</v>
      </c>
      <c r="P7" s="21">
        <f>I7-B7</f>
        <v>82.315235974417419</v>
      </c>
      <c r="Q7" s="21">
        <f t="shared" ref="Q7:S14" si="0">J7-C7</f>
        <v>108</v>
      </c>
      <c r="R7" s="21">
        <f t="shared" si="0"/>
        <v>-0.16978721866070146</v>
      </c>
      <c r="S7" s="21">
        <f t="shared" si="0"/>
        <v>190.14544875575666</v>
      </c>
    </row>
    <row r="8" spans="1:19" x14ac:dyDescent="0.25">
      <c r="A8" s="7" t="s">
        <v>82</v>
      </c>
      <c r="B8" t="n">
        <v>138.4496107827072</v>
      </c>
      <c r="C8" t="n">
        <v>138.90468971559392</v>
      </c>
      <c r="D8" t="n">
        <v>319.0059258203151</v>
      </c>
      <c r="E8">
        <f>SUM(B8:D8)</f>
        <v>596.36022631861624</v>
      </c>
      <c r="H8" t="str">
        <f>$A$8</f>
        <v>Rutherford</v>
      </c>
      <c r="I8" t="n">
        <v>996.0</v>
      </c>
      <c r="J8" t="n">
        <v>134.0</v>
      </c>
      <c r="K8" t="n">
        <v>92.0</v>
      </c>
      <c r="L8">
        <f>SUM(I8:K8)</f>
        <v>1227</v>
      </c>
      <c r="O8" t="str">
        <f>$A$8</f>
        <v>Rutherford</v>
      </c>
      <c r="P8" s="21">
        <f t="shared" ref="P8:P14" si="1">I8-B8</f>
        <v>869.55038921729283</v>
      </c>
      <c r="Q8" s="21">
        <f t="shared" si="0"/>
        <v>-4.9046897155939178</v>
      </c>
      <c r="R8" s="21">
        <f t="shared" si="0"/>
        <v>-234.0059258203151</v>
      </c>
      <c r="S8" s="21">
        <f t="shared" si="0"/>
        <v>630.63977368138376</v>
      </c>
    </row>
    <row r="9" spans="1:19" x14ac:dyDescent="0.25">
      <c r="A9" s="7" t="s">
        <v>83</v>
      </c>
      <c r="B9" t="n">
        <v>312.698225902866</v>
      </c>
      <c r="C9" t="n">
        <v>0.0</v>
      </c>
      <c r="D9" t="n">
        <v>47.0454430212218</v>
      </c>
      <c r="E9">
        <f t="shared" ref="E9:E11" si="2">SUM(B9:D9)</f>
        <v>359.74366892408779</v>
      </c>
      <c r="H9" t="str">
        <f>$A$9</f>
        <v>Sumner</v>
      </c>
      <c r="I9" t="n">
        <v>530.0</v>
      </c>
      <c r="J9" t="n">
        <v>64.0</v>
      </c>
      <c r="K9" t="n">
        <v>23.0</v>
      </c>
      <c r="L9">
        <f t="shared" ref="L9:L11" si="3">SUM(I9:K9)</f>
        <v>705</v>
      </c>
      <c r="O9" t="str">
        <f>$A$9</f>
        <v>Sumner</v>
      </c>
      <c r="P9" s="21">
        <f t="shared" ref="P9:P11" si="4">I9-B9</f>
        <v>289.301774097134</v>
      </c>
      <c r="Q9" s="21">
        <f t="shared" ref="Q9:Q11" si="5">J9-C9</f>
        <v>85</v>
      </c>
      <c r="R9" s="21">
        <f t="shared" ref="R9:R11" si="6">K9-D9</f>
        <v>-29.0454430212218</v>
      </c>
      <c r="S9" s="21">
        <f t="shared" ref="S9:S11" si="7">L9-E9</f>
        <v>345.25633107591221</v>
      </c>
    </row>
    <row r="10" spans="1:19" x14ac:dyDescent="0.25">
      <c r="A10" s="7" t="s">
        <v>84</v>
      </c>
      <c r="B10" t="n">
        <v>96.8019625171952</v>
      </c>
      <c r="C10" t="n">
        <v>0.0</v>
      </c>
      <c r="D10" t="n">
        <v>0.0</v>
      </c>
      <c r="E10">
        <f t="shared" si="2"/>
        <v>96.801962517195193</v>
      </c>
      <c r="H10" t="str">
        <f>$A$10</f>
        <v>Roberston</v>
      </c>
      <c r="I10" t="n">
        <v>347.0</v>
      </c>
      <c r="J10" t="n">
        <v>40.0</v>
      </c>
      <c r="K10" t="n">
        <v>29.0</v>
      </c>
      <c r="L10">
        <f t="shared" si="3"/>
        <v>413</v>
      </c>
      <c r="O10" s="7" t="str">
        <f>$A$10</f>
        <v>Roberston</v>
      </c>
      <c r="P10" s="22">
        <f t="shared" si="4"/>
        <v>247.19803748280481</v>
      </c>
      <c r="Q10" s="22">
        <f t="shared" si="5"/>
        <v>53</v>
      </c>
      <c r="R10" s="22">
        <f t="shared" si="6"/>
        <v>16</v>
      </c>
      <c r="S10" s="22">
        <f t="shared" si="7"/>
        <v>316.19803748280481</v>
      </c>
    </row>
    <row r="11" spans="1:19" x14ac:dyDescent="0.25">
      <c r="A11" s="7" t="s">
        <v>85</v>
      </c>
      <c r="B11" t="n">
        <v>1093.7130981487203</v>
      </c>
      <c r="C11" t="n">
        <v>0.0</v>
      </c>
      <c r="D11" t="n">
        <v>941.501357163123</v>
      </c>
      <c r="E11">
        <f t="shared" si="2"/>
        <v>2035.2144553118433</v>
      </c>
      <c r="H11" t="str">
        <f>$A$11</f>
        <v>Davidson</v>
      </c>
      <c r="I11" t="n">
        <v>1934.0</v>
      </c>
      <c r="J11" t="n">
        <v>292.0</v>
      </c>
      <c r="K11" t="n">
        <v>163.0</v>
      </c>
      <c r="L11">
        <f t="shared" si="3"/>
        <v>2418</v>
      </c>
      <c r="O11" s="7" t="str">
        <f>$A$11</f>
        <v>Davidson</v>
      </c>
      <c r="P11" s="22">
        <f t="shared" si="4"/>
        <v>872.28690185127971</v>
      </c>
      <c r="Q11" s="22">
        <f t="shared" si="5"/>
        <v>282</v>
      </c>
      <c r="R11" s="22">
        <f t="shared" si="6"/>
        <v>-771.50135716312298</v>
      </c>
      <c r="S11" s="22">
        <f t="shared" si="7"/>
        <v>382.78554468815673</v>
      </c>
    </row>
    <row r="12" spans="1:19" x14ac:dyDescent="0.25">
      <c r="A12" s="7" t="s">
        <v>86</v>
      </c>
      <c r="B12" s="7" t="n">
        <v>381.3436978725345</v>
      </c>
      <c r="C12" s="7" t="n">
        <v>0.0</v>
      </c>
      <c r="D12" s="7" t="n">
        <v>0.0</v>
      </c>
      <c r="E12" s="7">
        <f>SUM(B12:D12)</f>
        <v>381.34369787253451</v>
      </c>
      <c r="H12" s="7" t="str">
        <f>$A$12</f>
        <v>Maury</v>
      </c>
      <c r="I12" s="7" t="n">
        <v>367.0</v>
      </c>
      <c r="J12" s="7" t="n">
        <v>56.0</v>
      </c>
      <c r="K12" s="7" t="n">
        <v>0.0</v>
      </c>
      <c r="L12" s="7">
        <f>SUM(I12:K12)</f>
        <v>408</v>
      </c>
      <c r="O12" s="7" t="str">
        <f>$A$12</f>
        <v>Maury</v>
      </c>
      <c r="P12" s="22">
        <f t="shared" si="1"/>
        <v>-36.343697872534506</v>
      </c>
      <c r="Q12" s="22">
        <f t="shared" si="0"/>
        <v>54</v>
      </c>
      <c r="R12" s="22">
        <f t="shared" si="0"/>
        <v>9</v>
      </c>
      <c r="S12" s="22">
        <f t="shared" si="0"/>
        <v>26.656302127465494</v>
      </c>
    </row>
    <row r="13" spans="1:19" x14ac:dyDescent="0.25">
      <c r="A13" s="7" t="s">
        <v>87</v>
      </c>
      <c r="B13" s="6" t="n">
        <v>577.0800195956172</v>
      </c>
      <c r="C13" s="6" t="n">
        <v>117.943458806056</v>
      </c>
      <c r="D13" s="6" t="n">
        <v>0.0</v>
      </c>
      <c r="E13">
        <f>SUM(B13:D13)</f>
        <v>695.02347840167317</v>
      </c>
      <c r="H13" s="7" t="str">
        <f>$A$13</f>
        <v>Wilson</v>
      </c>
      <c r="I13" s="7" t="n">
        <v>432.0</v>
      </c>
      <c r="J13" s="7" t="n">
        <v>40.0</v>
      </c>
      <c r="K13" s="7" t="n">
        <v>32.0</v>
      </c>
      <c r="L13" s="7">
        <f>SUM(I13:K13)</f>
        <v>486</v>
      </c>
      <c r="O13" s="7" t="str">
        <f>$A$13</f>
        <v>Wilson</v>
      </c>
      <c r="P13" s="22">
        <f t="shared" si="1"/>
        <v>-163.08001959561716</v>
      </c>
      <c r="Q13" s="22">
        <f t="shared" si="0"/>
        <v>-77.943458806056</v>
      </c>
      <c r="R13" s="22">
        <f t="shared" si="0"/>
        <v>32</v>
      </c>
      <c r="S13" s="22">
        <f t="shared" si="0"/>
        <v>-209.02347840167317</v>
      </c>
    </row>
    <row r="14" spans="1:19" ht="15.75" thickBot="1" x14ac:dyDescent="0.3">
      <c r="A14" s="12" t="s">
        <v>3</v>
      </c>
      <c r="B14" s="1">
        <f>SUM(B7:B13)</f>
        <v>3349.7713788452229</v>
      </c>
      <c r="C14" s="1">
        <f t="shared" ref="C14" si="8">SUM(C7:C13)</f>
        <v>256.84814852164993</v>
      </c>
      <c r="D14" s="1">
        <f t="shared" ref="D14" si="9">SUM(D7:D13)</f>
        <v>1349.7225132233207</v>
      </c>
      <c r="E14" s="12">
        <f t="shared" ref="E14" si="10">SUM(E7:E13)</f>
        <v>4956.3420405901934</v>
      </c>
      <c r="H14" s="12" t="s">
        <v>3</v>
      </c>
      <c r="I14" s="12">
        <f>SUM(I7:I13)</f>
        <v>5511</v>
      </c>
      <c r="J14" s="12">
        <f t="shared" ref="J14:L14" si="11">SUM(J7:J13)</f>
        <v>756</v>
      </c>
      <c r="K14" s="12">
        <f t="shared" si="11"/>
        <v>372</v>
      </c>
      <c r="L14" s="12">
        <f t="shared" si="11"/>
        <v>6639</v>
      </c>
      <c r="O14" s="12" t="s">
        <v>3</v>
      </c>
      <c r="P14" s="12">
        <f t="shared" si="1"/>
        <v>2161.2286211547771</v>
      </c>
      <c r="Q14" s="12">
        <f t="shared" si="0"/>
        <v>499.15185147835007</v>
      </c>
      <c r="R14" s="12">
        <f t="shared" si="0"/>
        <v>-977.72251322332068</v>
      </c>
      <c r="S14" s="12">
        <f t="shared" si="0"/>
        <v>1682.6579594098066</v>
      </c>
    </row>
    <row r="15" spans="1:19" x14ac:dyDescent="0.25">
      <c r="O15" s="21"/>
      <c r="P15" s="21"/>
      <c r="Q15" s="21"/>
      <c r="R15" s="21"/>
      <c r="S15" s="21"/>
    </row>
    <row r="16" spans="1:19" ht="15.75" thickBot="1" x14ac:dyDescent="0.3">
      <c r="A16" s="4" t="s">
        <v>214</v>
      </c>
      <c r="B16" s="1"/>
      <c r="C16" s="1"/>
      <c r="D16" s="1"/>
      <c r="H16" s="4" t="s">
        <v>38</v>
      </c>
      <c r="I16" s="1"/>
      <c r="J16" s="1"/>
      <c r="K16" s="1"/>
      <c r="O16" s="43" t="s">
        <v>79</v>
      </c>
      <c r="P16" s="25"/>
      <c r="Q16" s="25"/>
      <c r="R16" s="25"/>
      <c r="S16" s="25"/>
    </row>
    <row r="17" spans="1:20" x14ac:dyDescent="0.25">
      <c r="A17" s="2"/>
      <c r="B17" s="5" t="s">
        <v>48</v>
      </c>
      <c r="C17" s="5" t="s">
        <v>49</v>
      </c>
      <c r="D17" s="5" t="s">
        <v>50</v>
      </c>
      <c r="E17" s="3" t="s">
        <v>3</v>
      </c>
      <c r="F17" s="85" t="s">
        <v>266</v>
      </c>
      <c r="H17" s="2"/>
      <c r="I17" s="5" t="s">
        <v>48</v>
      </c>
      <c r="J17" s="5" t="s">
        <v>49</v>
      </c>
      <c r="K17" s="5" t="s">
        <v>50</v>
      </c>
      <c r="L17" s="3" t="s">
        <v>3</v>
      </c>
      <c r="O17" s="44"/>
      <c r="P17" s="5" t="s">
        <v>48</v>
      </c>
      <c r="Q17" s="5" t="s">
        <v>49</v>
      </c>
      <c r="R17" s="5" t="s">
        <v>50</v>
      </c>
      <c r="S17" s="45" t="s">
        <v>3</v>
      </c>
    </row>
    <row r="18" spans="1:20" x14ac:dyDescent="0.25">
      <c r="A18" s="15" t="str">
        <f>$A$7</f>
        <v>Williamson</v>
      </c>
      <c r="B18" s="9" t="n">
        <v>29649.37321646958</v>
      </c>
      <c r="C18" s="9" t="n">
        <v>5577.434182850986</v>
      </c>
      <c r="D18" s="9" t="n">
        <v>1250.3171842377183</v>
      </c>
      <c r="E18">
        <f>SUM(B18:D18)</f>
        <v>36477.124583558281</v>
      </c>
      <c r="F18" t="n">
        <v>10740.87541644171</v>
      </c>
      <c r="H18" s="15" t="str">
        <f>$A$7</f>
        <v>Williamson</v>
      </c>
      <c r="I18" t="n">
        <v>34863.0</v>
      </c>
      <c r="J18" t="n">
        <v>7579.0</v>
      </c>
      <c r="K18" t="n">
        <v>4776.0</v>
      </c>
      <c r="L18">
        <f>SUM(I18:K18)</f>
        <v>47218</v>
      </c>
      <c r="O18" s="15" t="str">
        <f>$A$7</f>
        <v>Williamson</v>
      </c>
      <c r="P18" s="21">
        <f>I18-B18</f>
        <v>5213.6267835304207</v>
      </c>
      <c r="Q18" s="21">
        <f t="shared" ref="Q18:Q25" si="12">J18-C18</f>
        <v>2001.565817149014</v>
      </c>
      <c r="R18" s="21">
        <f t="shared" ref="R18:R25" si="13">K18-D18</f>
        <v>3525.6828157622817</v>
      </c>
      <c r="S18" s="21">
        <f t="shared" ref="S18:S25" si="14">L18-E18</f>
        <v>10740.875416441719</v>
      </c>
    </row>
    <row r="19" spans="1:20" x14ac:dyDescent="0.25">
      <c r="A19" t="str">
        <f>$A$8</f>
        <v>Rutherford</v>
      </c>
      <c r="B19" s="9" t="n">
        <v>32227.359910428182</v>
      </c>
      <c r="C19" s="9" t="n">
        <v>7239.3730317554</v>
      </c>
      <c r="D19" s="9" t="n">
        <v>10299.535346578325</v>
      </c>
      <c r="E19">
        <f>SUM(B19:D19)</f>
        <v>49766.268288761908</v>
      </c>
      <c r="F19" t="n">
        <v>18938.73171123809</v>
      </c>
      <c r="H19" t="str">
        <f>$A$8</f>
        <v>Rutherford</v>
      </c>
      <c r="I19" t="n">
        <v>40947.0</v>
      </c>
      <c r="J19" t="n">
        <v>8943.0</v>
      </c>
      <c r="K19" t="n">
        <v>18815.0</v>
      </c>
      <c r="L19">
        <f>SUM(I19:K19)</f>
        <v>68705</v>
      </c>
      <c r="O19" t="str">
        <f>$A$8</f>
        <v>Rutherford</v>
      </c>
      <c r="P19" s="21">
        <f t="shared" ref="P19:P25" si="15">I19-B19</f>
        <v>8719.640089571818</v>
      </c>
      <c r="Q19" s="21">
        <f t="shared" si="12"/>
        <v>1703.6269682446</v>
      </c>
      <c r="R19" s="21">
        <f t="shared" si="13"/>
        <v>8515.4646534216754</v>
      </c>
      <c r="S19" s="21">
        <f t="shared" si="14"/>
        <v>18938.731711238092</v>
      </c>
    </row>
    <row r="20" spans="1:20" x14ac:dyDescent="0.25">
      <c r="A20" t="str">
        <f>$A$9</f>
        <v>Sumner</v>
      </c>
      <c r="B20" s="9" t="n">
        <v>18007.432776777085</v>
      </c>
      <c r="C20" s="9" t="n">
        <v>5422.212872302618</v>
      </c>
      <c r="D20" s="9" t="n">
        <v>1799.7971611117741</v>
      </c>
      <c r="E20">
        <f t="shared" ref="E20:E22" si="16">SUM(B20:D20)</f>
        <v>25229.442810191478</v>
      </c>
      <c r="F20" t="n">
        <v>10204.557189808525</v>
      </c>
      <c r="H20" t="str">
        <f>$A$9</f>
        <v>Sumner</v>
      </c>
      <c r="I20" t="n">
        <v>25115.0</v>
      </c>
      <c r="J20" t="n">
        <v>6179.0</v>
      </c>
      <c r="K20" t="n">
        <v>4140.0</v>
      </c>
      <c r="L20">
        <f t="shared" ref="L20:L22" si="17">SUM(I20:K20)</f>
        <v>35434</v>
      </c>
      <c r="O20" t="str">
        <f>$A$9</f>
        <v>Sumner</v>
      </c>
      <c r="P20" s="21">
        <f t="shared" ref="P20:P22" si="18">I20-B20</f>
        <v>7107.5672232229153</v>
      </c>
      <c r="Q20" s="21">
        <f t="shared" ref="Q20:Q22" si="19">J20-C20</f>
        <v>756.78712769738195</v>
      </c>
      <c r="R20" s="21">
        <f t="shared" ref="R20:R22" si="20">K20-D20</f>
        <v>2340.2028388882259</v>
      </c>
      <c r="S20" s="21">
        <f t="shared" ref="S20:S22" si="21">L20-E20</f>
        <v>10204.557189808522</v>
      </c>
    </row>
    <row r="21" spans="1:20" x14ac:dyDescent="0.25">
      <c r="A21" t="str">
        <f>$A$10</f>
        <v>Roberston</v>
      </c>
      <c r="B21" s="9" t="n">
        <v>7752.843800195903</v>
      </c>
      <c r="C21" s="9" t="n">
        <v>2057.715178037335</v>
      </c>
      <c r="D21" s="9" t="n">
        <v>435.7562240142647</v>
      </c>
      <c r="E21">
        <f t="shared" si="16"/>
        <v>10246.315202247504</v>
      </c>
      <c r="F21" t="n">
        <v>4431.684797752505</v>
      </c>
      <c r="H21" t="str">
        <f>$A$10</f>
        <v>Roberston</v>
      </c>
      <c r="I21" t="n">
        <v>10752.0</v>
      </c>
      <c r="J21" t="n">
        <v>2458.0</v>
      </c>
      <c r="K21" t="n">
        <v>1468.0</v>
      </c>
      <c r="L21">
        <f t="shared" si="17"/>
        <v>14678</v>
      </c>
      <c r="O21" s="7" t="str">
        <f>$A$10</f>
        <v>Roberston</v>
      </c>
      <c r="P21" s="22">
        <f t="shared" si="18"/>
        <v>2999.156199804097</v>
      </c>
      <c r="Q21" s="22">
        <f t="shared" si="19"/>
        <v>400.28482196266486</v>
      </c>
      <c r="R21" s="22">
        <f t="shared" si="20"/>
        <v>1032.2437759857353</v>
      </c>
      <c r="S21" s="22">
        <f t="shared" si="21"/>
        <v>4431.6847977524958</v>
      </c>
      <c r="T21" s="7"/>
    </row>
    <row r="22" spans="1:20" x14ac:dyDescent="0.25">
      <c r="A22" t="str">
        <f>$A$11</f>
        <v>Davidson</v>
      </c>
      <c r="B22" s="9" t="n">
        <v>57506.237622737084</v>
      </c>
      <c r="C22" s="9" t="n">
        <v>12684.89388215014</v>
      </c>
      <c r="D22" s="9" t="n">
        <v>27804.710877612266</v>
      </c>
      <c r="E22">
        <f t="shared" si="16"/>
        <v>97995.842382499482</v>
      </c>
      <c r="F22" t="n">
        <v>35929.15761750052</v>
      </c>
      <c r="H22" t="str">
        <f>$A$11</f>
        <v>Davidson</v>
      </c>
      <c r="I22" t="n">
        <v>78147.0</v>
      </c>
      <c r="J22" t="n">
        <v>17377.0</v>
      </c>
      <c r="K22" t="n">
        <v>38401.0</v>
      </c>
      <c r="L22">
        <f t="shared" si="17"/>
        <v>133925</v>
      </c>
      <c r="O22" s="7" t="str">
        <f>$A$11</f>
        <v>Davidson</v>
      </c>
      <c r="P22" s="22">
        <f t="shared" si="18"/>
        <v>20640.762377262916</v>
      </c>
      <c r="Q22" s="22">
        <f t="shared" si="19"/>
        <v>4692.1061178498603</v>
      </c>
      <c r="R22" s="22">
        <f t="shared" si="20"/>
        <v>10596.289122387734</v>
      </c>
      <c r="S22" s="22">
        <f t="shared" si="21"/>
        <v>35929.157617500518</v>
      </c>
      <c r="T22" s="7"/>
    </row>
    <row r="23" spans="1:20" x14ac:dyDescent="0.25">
      <c r="A23" s="7" t="str">
        <f>$A$12</f>
        <v>Maury</v>
      </c>
      <c r="B23" s="34" t="n">
        <v>9409.104358888062</v>
      </c>
      <c r="C23" s="34" t="n">
        <v>2685.191694412533</v>
      </c>
      <c r="D23" s="34" t="n">
        <v>1534.0183446464803</v>
      </c>
      <c r="E23" s="7">
        <f>SUM(B23:D23)</f>
        <v>13628.314397947075</v>
      </c>
      <c r="F23" t="n">
        <v>2897.685602052922</v>
      </c>
      <c r="H23" s="7" t="str">
        <f>$A$12</f>
        <v>Maury</v>
      </c>
      <c r="I23" s="7" t="n">
        <v>11619.0</v>
      </c>
      <c r="J23" s="7" t="n">
        <v>3155.0</v>
      </c>
      <c r="K23" s="7" t="n">
        <v>1752.0</v>
      </c>
      <c r="L23" s="7">
        <f>SUM(I23:K23)</f>
        <v>16526</v>
      </c>
      <c r="O23" s="7" t="str">
        <f>$A$12</f>
        <v>Maury</v>
      </c>
      <c r="P23" s="22">
        <f t="shared" si="15"/>
        <v>2209.8956411119379</v>
      </c>
      <c r="Q23" s="22">
        <f t="shared" si="12"/>
        <v>469.8083055874672</v>
      </c>
      <c r="R23" s="22">
        <f t="shared" si="13"/>
        <v>217.98165535351973</v>
      </c>
      <c r="S23" s="22">
        <f t="shared" si="14"/>
        <v>2897.6856020529249</v>
      </c>
      <c r="T23" s="7"/>
    </row>
    <row r="24" spans="1:20" x14ac:dyDescent="0.25">
      <c r="A24" s="7" t="str">
        <f>$A$13</f>
        <v>Wilson</v>
      </c>
      <c r="B24" s="6" t="n">
        <v>13360.763960393946</v>
      </c>
      <c r="C24" s="6" t="n">
        <v>3659.7620409962033</v>
      </c>
      <c r="D24" s="6" t="n">
        <v>1234.2079741563894</v>
      </c>
      <c r="E24" s="6">
        <f>SUM(B24:D24)</f>
        <v>18254.73397554654</v>
      </c>
      <c r="F24" t="n">
        <v>6961.2660244534545</v>
      </c>
      <c r="H24" s="7" t="str">
        <f>$A$13</f>
        <v>Wilson</v>
      </c>
      <c r="I24" s="7" t="n">
        <v>18187.0</v>
      </c>
      <c r="J24" s="7" t="n">
        <v>3726.0</v>
      </c>
      <c r="K24" s="7" t="n">
        <v>3303.0</v>
      </c>
      <c r="L24" s="7">
        <f>SUM(I24:K24)</f>
        <v>25216</v>
      </c>
      <c r="O24" s="7" t="str">
        <f>$A$13</f>
        <v>Wilson</v>
      </c>
      <c r="P24" s="22">
        <f t="shared" si="15"/>
        <v>4826.236039606054</v>
      </c>
      <c r="Q24" s="22">
        <f t="shared" si="12"/>
        <v>66.237959003796732</v>
      </c>
      <c r="R24" s="22">
        <f t="shared" si="13"/>
        <v>2068.7920258436106</v>
      </c>
      <c r="S24" s="22">
        <f t="shared" si="14"/>
        <v>6961.26602445346</v>
      </c>
      <c r="T24" s="7"/>
    </row>
    <row r="25" spans="1:20" ht="15.75" thickBot="1" x14ac:dyDescent="0.3">
      <c r="A25" s="12" t="s">
        <v>3</v>
      </c>
      <c r="B25" s="1">
        <f>SUM(B18:B24)</f>
        <v>167913.11564588983</v>
      </c>
      <c r="C25" s="1">
        <f t="shared" ref="C25" si="22">SUM(C18:C24)</f>
        <v>39326.582882505216</v>
      </c>
      <c r="D25" s="1">
        <f t="shared" ref="D25" si="23">SUM(D18:D24)</f>
        <v>44358.343112357215</v>
      </c>
      <c r="E25" s="1">
        <f t="shared" ref="E25:F25" si="24">SUM(E18:E24)</f>
        <v>251598.04164075229</v>
      </c>
      <c r="F25" s="1">
        <f t="shared" si="24"/>
        <v>0</v>
      </c>
      <c r="H25" s="12" t="s">
        <v>3</v>
      </c>
      <c r="I25" s="12">
        <f>SUM(I18:I24)</f>
        <v>219630</v>
      </c>
      <c r="J25" s="12">
        <f t="shared" ref="J25" si="25">SUM(J18:J24)</f>
        <v>49417</v>
      </c>
      <c r="K25" s="12">
        <f t="shared" ref="K25" si="26">SUM(K18:K24)</f>
        <v>72655</v>
      </c>
      <c r="L25" s="12">
        <f t="shared" ref="L25" si="27">SUM(L18:L24)</f>
        <v>341702</v>
      </c>
      <c r="O25" s="12" t="s">
        <v>3</v>
      </c>
      <c r="P25" s="12">
        <f t="shared" si="15"/>
        <v>51716.884354110167</v>
      </c>
      <c r="Q25" s="12">
        <f t="shared" si="12"/>
        <v>10090.417117494784</v>
      </c>
      <c r="R25" s="12">
        <f t="shared" si="13"/>
        <v>28296.656887642785</v>
      </c>
      <c r="S25" s="12">
        <f t="shared" si="14"/>
        <v>90103.958359247714</v>
      </c>
      <c r="T25" s="7"/>
    </row>
    <row r="27" spans="1:20" ht="15.75" thickBot="1" x14ac:dyDescent="0.3">
      <c r="A27" s="4" t="s">
        <v>215</v>
      </c>
      <c r="B27" s="1"/>
      <c r="C27" s="1"/>
      <c r="D27" s="1"/>
      <c r="H27" s="4" t="s">
        <v>40</v>
      </c>
      <c r="I27" s="1"/>
      <c r="J27" s="1"/>
      <c r="K27" s="1"/>
      <c r="O27" s="4" t="s">
        <v>80</v>
      </c>
      <c r="P27" s="1"/>
      <c r="Q27" s="1"/>
      <c r="R27" s="1"/>
      <c r="S27" s="1"/>
    </row>
    <row r="28" spans="1:20" x14ac:dyDescent="0.25">
      <c r="A28" s="2"/>
      <c r="B28" s="5" t="s">
        <v>48</v>
      </c>
      <c r="C28" s="5" t="s">
        <v>49</v>
      </c>
      <c r="D28" s="5" t="s">
        <v>50</v>
      </c>
      <c r="E28" s="3" t="s">
        <v>3</v>
      </c>
      <c r="H28" s="2"/>
      <c r="I28" s="5" t="s">
        <v>48</v>
      </c>
      <c r="J28" s="5" t="s">
        <v>49</v>
      </c>
      <c r="K28" s="5" t="s">
        <v>50</v>
      </c>
      <c r="L28" s="3" t="s">
        <v>3</v>
      </c>
      <c r="O28" s="2"/>
      <c r="P28" s="5" t="s">
        <v>48</v>
      </c>
      <c r="Q28" s="5" t="s">
        <v>49</v>
      </c>
      <c r="R28" s="5" t="s">
        <v>50</v>
      </c>
      <c r="S28" s="3" t="s">
        <v>3</v>
      </c>
    </row>
    <row r="29" spans="1:20" x14ac:dyDescent="0.25">
      <c r="A29" s="15" t="str">
        <f>$A$7</f>
        <v>Williamson</v>
      </c>
      <c r="B29" s="16">
        <f t="shared" ref="B29:E29" si="28">IF(B18&lt;&gt;0,B7/B18,0)</f>
        <v>2.5285012217700072E-2</v>
      </c>
      <c r="C29" s="16">
        <f t="shared" si="28"/>
        <v>0</v>
      </c>
      <c r="D29" s="16">
        <f t="shared" si="28"/>
        <v>3.3727271567790526E-2</v>
      </c>
      <c r="E29" s="16">
        <f t="shared" si="28"/>
        <v>2.1708250315354196E-2</v>
      </c>
      <c r="H29" s="15" t="str">
        <f>$A$7</f>
        <v>Williamson</v>
      </c>
      <c r="I29" s="16">
        <f t="shared" ref="I29:L30" si="29">IF(I18&lt;&gt;0,I7/I18,0)</f>
        <v>2.3864842383042192E-2</v>
      </c>
      <c r="J29" s="16">
        <f t="shared" si="29"/>
        <v>1.4249901042353873E-2</v>
      </c>
      <c r="K29" s="16">
        <f t="shared" si="29"/>
        <v>8.7939698492462311E-3</v>
      </c>
      <c r="L29" s="16">
        <f t="shared" si="29"/>
        <v>2.0797153627853785E-2</v>
      </c>
      <c r="O29" s="15" t="str">
        <f>$A$7</f>
        <v>Williamson</v>
      </c>
      <c r="P29" s="27">
        <f t="shared" ref="P29:S36" si="30">I29-B29</f>
        <v>-1.4201698346578799E-3</v>
      </c>
      <c r="Q29" s="27">
        <f t="shared" si="30"/>
        <v>1.4249901042353873E-2</v>
      </c>
      <c r="R29" s="27">
        <f t="shared" si="30"/>
        <v>-2.4933301718544295E-2</v>
      </c>
      <c r="S29" s="27">
        <f t="shared" si="30"/>
        <v>-9.110966875004109E-4</v>
      </c>
    </row>
    <row r="30" spans="1:20" x14ac:dyDescent="0.25">
      <c r="A30" t="str">
        <f>$A$8</f>
        <v>Rutherford</v>
      </c>
      <c r="B30" s="16">
        <f t="shared" ref="B30:E30" si="31">IF(B19&lt;&gt;0,B8/B19,0)</f>
        <v>4.2960270766054104E-3</v>
      </c>
      <c r="C30" s="16">
        <f t="shared" si="31"/>
        <v>1.9187392210111374E-2</v>
      </c>
      <c r="D30" s="16">
        <f t="shared" si="31"/>
        <v>3.0972846355277001E-2</v>
      </c>
      <c r="E30" s="16">
        <f t="shared" si="31"/>
        <v>1.1983221704675912E-2</v>
      </c>
      <c r="H30" t="str">
        <f>$A$8</f>
        <v>Rutherford</v>
      </c>
      <c r="I30" s="16">
        <f t="shared" si="29"/>
        <v>2.4617188072386255E-2</v>
      </c>
      <c r="J30" s="16">
        <f t="shared" si="29"/>
        <v>1.4983786201498379E-2</v>
      </c>
      <c r="K30" s="16">
        <f t="shared" si="29"/>
        <v>4.5176720701567896E-3</v>
      </c>
      <c r="L30" s="16">
        <f t="shared" si="29"/>
        <v>1.7858962229823156E-2</v>
      </c>
      <c r="O30" t="str">
        <f>$A$8</f>
        <v>Rutherford</v>
      </c>
      <c r="P30" s="27">
        <f t="shared" si="30"/>
        <v>2.0321160995780845E-2</v>
      </c>
      <c r="Q30" s="27">
        <f t="shared" si="30"/>
        <v>-4.2036060086129944E-3</v>
      </c>
      <c r="R30" s="27">
        <f t="shared" si="30"/>
        <v>-2.645517428512021E-2</v>
      </c>
      <c r="S30" s="27">
        <f t="shared" si="30"/>
        <v>5.8757405251472442E-3</v>
      </c>
    </row>
    <row r="31" spans="1:20" x14ac:dyDescent="0.25">
      <c r="A31" t="str">
        <f>$A$9</f>
        <v>Sumner</v>
      </c>
      <c r="B31" s="16">
        <f t="shared" ref="B31:E31" si="32">IF(B20&lt;&gt;0,B9/B20,0)</f>
        <v>1.7364953115700691E-2</v>
      </c>
      <c r="C31" s="16">
        <f t="shared" si="32"/>
        <v>0</v>
      </c>
      <c r="D31" s="16">
        <f t="shared" si="32"/>
        <v>2.6139302826859001E-2</v>
      </c>
      <c r="E31" s="16">
        <f t="shared" si="32"/>
        <v>1.4258882831085302E-2</v>
      </c>
      <c r="H31" t="str">
        <f>$A$9</f>
        <v>Sumner</v>
      </c>
      <c r="I31" s="16">
        <f t="shared" ref="I31:L31" si="33">IF(I20&lt;&gt;0,I9/I20,0)</f>
        <v>2.3969739199681466E-2</v>
      </c>
      <c r="J31" s="16">
        <f t="shared" si="33"/>
        <v>1.3756271241301181E-2</v>
      </c>
      <c r="K31" s="16">
        <f t="shared" si="33"/>
        <v>4.3478260869565218E-3</v>
      </c>
      <c r="L31" s="16">
        <f t="shared" si="33"/>
        <v>1.9896144945532539E-2</v>
      </c>
      <c r="O31" t="str">
        <f>$A$9</f>
        <v>Sumner</v>
      </c>
      <c r="P31" s="27">
        <f t="shared" ref="P31:P33" si="34">I31-B31</f>
        <v>6.6047860839807751E-3</v>
      </c>
      <c r="Q31" s="27">
        <f t="shared" ref="Q31:Q33" si="35">J31-C31</f>
        <v>1.3756271241301181E-2</v>
      </c>
      <c r="R31" s="27">
        <f t="shared" ref="R31:R33" si="36">K31-D31</f>
        <v>-2.179147673990248E-2</v>
      </c>
      <c r="S31" s="27">
        <f t="shared" ref="S31:S33" si="37">L31-E31</f>
        <v>5.6372621144472369E-3</v>
      </c>
    </row>
    <row r="32" spans="1:20" x14ac:dyDescent="0.25">
      <c r="A32" t="str">
        <f>$A$10</f>
        <v>Roberston</v>
      </c>
      <c r="B32" s="16">
        <f t="shared" ref="B32:E32" si="38">IF(B21&lt;&gt;0,B10/B21,0)</f>
        <v>1.2485994173486269E-2</v>
      </c>
      <c r="C32" s="16">
        <f t="shared" si="38"/>
        <v>0</v>
      </c>
      <c r="D32" s="16">
        <f t="shared" si="38"/>
        <v>0</v>
      </c>
      <c r="E32" s="16">
        <f t="shared" si="38"/>
        <v>9.4474902056460187E-3</v>
      </c>
      <c r="H32" t="str">
        <f>$A$10</f>
        <v>Roberston</v>
      </c>
      <c r="I32" s="16">
        <f t="shared" ref="I32:L32" si="39">IF(I21&lt;&gt;0,I10/I21,0)</f>
        <v>3.1994047619047616E-2</v>
      </c>
      <c r="J32" s="16">
        <f t="shared" si="39"/>
        <v>2.1562245728234338E-2</v>
      </c>
      <c r="K32" s="16">
        <f t="shared" si="39"/>
        <v>1.0899182561307902E-2</v>
      </c>
      <c r="L32" s="16">
        <f t="shared" si="39"/>
        <v>2.8137348412590271E-2</v>
      </c>
      <c r="O32" t="str">
        <f>$A$10</f>
        <v>Roberston</v>
      </c>
      <c r="P32" s="27">
        <f t="shared" si="34"/>
        <v>1.9508053445561349E-2</v>
      </c>
      <c r="Q32" s="27">
        <f t="shared" si="35"/>
        <v>2.1562245728234338E-2</v>
      </c>
      <c r="R32" s="27">
        <f t="shared" si="36"/>
        <v>1.0899182561307902E-2</v>
      </c>
      <c r="S32" s="27">
        <f t="shared" si="37"/>
        <v>1.868985820694425E-2</v>
      </c>
    </row>
    <row r="33" spans="1:19" x14ac:dyDescent="0.25">
      <c r="A33" s="7" t="str">
        <f>$A$11</f>
        <v>Davidson</v>
      </c>
      <c r="B33" s="51">
        <f t="shared" ref="B33:E33" si="40">IF(B22&lt;&gt;0,B11/B22,0)</f>
        <v>1.9019034166761119E-2</v>
      </c>
      <c r="C33" s="51">
        <f t="shared" si="40"/>
        <v>0</v>
      </c>
      <c r="D33" s="51">
        <f t="shared" si="40"/>
        <v>3.3861217306208315E-2</v>
      </c>
      <c r="E33" s="51">
        <f t="shared" si="40"/>
        <v>2.0768375533402227E-2</v>
      </c>
      <c r="H33" s="7" t="str">
        <f>$A$11</f>
        <v>Davidson</v>
      </c>
      <c r="I33" s="51">
        <f t="shared" ref="I33:L33" si="41">IF(I22&lt;&gt;0,I11/I22,0)</f>
        <v>2.515771558729062E-2</v>
      </c>
      <c r="J33" s="51">
        <f t="shared" si="41"/>
        <v>1.6228347816078726E-2</v>
      </c>
      <c r="K33" s="51">
        <f t="shared" si="41"/>
        <v>4.4269680477070908E-3</v>
      </c>
      <c r="L33" s="51">
        <f t="shared" si="41"/>
        <v>1.8054881463505694E-2</v>
      </c>
      <c r="O33" s="7" t="str">
        <f>$A$11</f>
        <v>Davidson</v>
      </c>
      <c r="P33" s="52">
        <f t="shared" si="34"/>
        <v>6.1386814205295001E-3</v>
      </c>
      <c r="Q33" s="52">
        <f t="shared" si="35"/>
        <v>1.6228347816078726E-2</v>
      </c>
      <c r="R33" s="52">
        <f t="shared" si="36"/>
        <v>-2.9434249258501223E-2</v>
      </c>
      <c r="S33" s="52">
        <f t="shared" si="37"/>
        <v>-2.7134940698965333E-3</v>
      </c>
    </row>
    <row r="34" spans="1:19" x14ac:dyDescent="0.25">
      <c r="A34" s="7" t="str">
        <f>$A$12</f>
        <v>Maury</v>
      </c>
      <c r="B34" s="51">
        <f t="shared" ref="B34:E35" si="42">IF(B23&lt;&gt;0,B12/B23,0)</f>
        <v>4.0529223965117177E-2</v>
      </c>
      <c r="C34" s="51">
        <f t="shared" si="42"/>
        <v>0</v>
      </c>
      <c r="D34" s="51">
        <f t="shared" si="42"/>
        <v>0</v>
      </c>
      <c r="E34" s="51">
        <f t="shared" si="42"/>
        <v>2.7981721490808787E-2</v>
      </c>
      <c r="H34" s="7" t="str">
        <f>$A$12</f>
        <v>Maury</v>
      </c>
      <c r="I34" s="51">
        <f t="shared" ref="I34:L35" si="43">IF(I23&lt;&gt;0,I12/I23,0)</f>
        <v>2.9692744642396074E-2</v>
      </c>
      <c r="J34" s="51">
        <f t="shared" si="43"/>
        <v>1.711568938193344E-2</v>
      </c>
      <c r="K34" s="51">
        <f t="shared" si="43"/>
        <v>5.1369863013698627E-3</v>
      </c>
      <c r="L34" s="51">
        <f t="shared" si="43"/>
        <v>2.468836984146194E-2</v>
      </c>
      <c r="O34" s="7" t="str">
        <f>$A$12</f>
        <v>Maury</v>
      </c>
      <c r="P34" s="52">
        <f t="shared" si="30"/>
        <v>-1.0836479322721103E-2</v>
      </c>
      <c r="Q34" s="52">
        <f t="shared" si="30"/>
        <v>1.711568938193344E-2</v>
      </c>
      <c r="R34" s="52">
        <f t="shared" si="30"/>
        <v>5.1369863013698627E-3</v>
      </c>
      <c r="S34" s="52">
        <f t="shared" si="30"/>
        <v>-3.293351649346847E-3</v>
      </c>
    </row>
    <row r="35" spans="1:19" x14ac:dyDescent="0.25">
      <c r="A35" s="7" t="str">
        <f>$A$13</f>
        <v>Wilson</v>
      </c>
      <c r="B35" s="51">
        <f t="shared" si="42"/>
        <v>4.3192142403405034E-2</v>
      </c>
      <c r="C35" s="51">
        <f t="shared" si="42"/>
        <v>3.2227084024826727E-2</v>
      </c>
      <c r="D35" s="51">
        <f t="shared" si="42"/>
        <v>0</v>
      </c>
      <c r="E35" s="51">
        <f t="shared" si="42"/>
        <v>3.8073602131518565E-2</v>
      </c>
      <c r="H35" s="7" t="str">
        <f>$A$13</f>
        <v>Wilson</v>
      </c>
      <c r="I35" s="51">
        <f t="shared" si="43"/>
        <v>2.2763512398966294E-2</v>
      </c>
      <c r="J35" s="51">
        <f t="shared" si="43"/>
        <v>1.0735373054213635E-2</v>
      </c>
      <c r="K35" s="51">
        <f t="shared" si="43"/>
        <v>9.6881622767181347E-3</v>
      </c>
      <c r="L35" s="51">
        <f t="shared" si="43"/>
        <v>1.9273477157360407E-2</v>
      </c>
      <c r="O35" s="7" t="str">
        <f>$A$13</f>
        <v>Wilson</v>
      </c>
      <c r="P35" s="52">
        <f t="shared" si="30"/>
        <v>-2.0428630004438741E-2</v>
      </c>
      <c r="Q35" s="52">
        <f t="shared" si="30"/>
        <v>-2.1491710970613094E-2</v>
      </c>
      <c r="R35" s="52">
        <f t="shared" si="30"/>
        <v>9.6881622767181347E-3</v>
      </c>
      <c r="S35" s="52">
        <f t="shared" si="30"/>
        <v>-1.8800124974158158E-2</v>
      </c>
    </row>
    <row r="36" spans="1:19" ht="15.75" thickBot="1" x14ac:dyDescent="0.3">
      <c r="A36" s="12" t="s">
        <v>3</v>
      </c>
      <c r="B36" s="17">
        <f>IF(B25&lt;&gt;0,B14/B25,0)</f>
        <v>1.9949432573864688E-2</v>
      </c>
      <c r="C36" s="17">
        <f t="shared" ref="C36:E36" si="44">IF(C25&lt;&gt;0,C14/C25,0)</f>
        <v>6.5311585623654871E-3</v>
      </c>
      <c r="D36" s="17">
        <f t="shared" si="44"/>
        <v>3.0427703528162642E-2</v>
      </c>
      <c r="E36" s="17">
        <f t="shared" si="44"/>
        <v>1.9699446022187941E-2</v>
      </c>
      <c r="H36" s="12" t="s">
        <v>3</v>
      </c>
      <c r="I36" s="17">
        <f>IF(I25&lt;&gt;0,I14/I25,0)</f>
        <v>2.5092200519054773E-2</v>
      </c>
      <c r="J36" s="17">
        <f t="shared" ref="J36:L36" si="45">IF(J25&lt;&gt;0,J14/J25,0)</f>
        <v>1.529837910030961E-2</v>
      </c>
      <c r="K36" s="17">
        <f t="shared" si="45"/>
        <v>5.1200880875369899E-3</v>
      </c>
      <c r="L36" s="17">
        <f t="shared" si="45"/>
        <v>1.942921024752562E-2</v>
      </c>
      <c r="O36" s="12" t="s">
        <v>3</v>
      </c>
      <c r="P36" s="46">
        <f t="shared" si="30"/>
        <v>5.1427679451900854E-3</v>
      </c>
      <c r="Q36" s="46">
        <f t="shared" ref="Q36" si="46">J36-C36</f>
        <v>8.7672205379441225E-3</v>
      </c>
      <c r="R36" s="46">
        <f t="shared" ref="R36" si="47">K36-D36</f>
        <v>-2.5307615440625653E-2</v>
      </c>
      <c r="S36" s="46">
        <f t="shared" ref="S36" si="48">L36-E36</f>
        <v>-2.7023577466232102E-4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5"/>
  <sheetViews>
    <sheetView workbookViewId="0"/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51</v>
      </c>
    </row>
    <row r="2" spans="1:2" x14ac:dyDescent="0.25">
      <c r="A2" s="42">
        <v>1</v>
      </c>
      <c r="B2" t="s">
        <v>55</v>
      </c>
    </row>
    <row r="3" spans="1:2" x14ac:dyDescent="0.25">
      <c r="A3" s="11"/>
    </row>
    <row r="4" spans="1:2" x14ac:dyDescent="0.25">
      <c r="A4">
        <v>2</v>
      </c>
      <c r="B4" t="s">
        <v>17</v>
      </c>
    </row>
    <row r="6" spans="1:2" x14ac:dyDescent="0.25">
      <c r="A6">
        <v>3</v>
      </c>
      <c r="B6" t="s">
        <v>53</v>
      </c>
    </row>
    <row r="8" spans="1:2" x14ac:dyDescent="0.25">
      <c r="A8">
        <v>4</v>
      </c>
      <c r="B8" t="s">
        <v>34</v>
      </c>
    </row>
    <row r="10" spans="1:2" x14ac:dyDescent="0.25">
      <c r="A10">
        <v>5</v>
      </c>
      <c r="B10" t="s">
        <v>16</v>
      </c>
    </row>
    <row r="12" spans="1:2" x14ac:dyDescent="0.25">
      <c r="A12" s="11" t="s">
        <v>52</v>
      </c>
    </row>
    <row r="13" spans="1:2" x14ac:dyDescent="0.25">
      <c r="A13">
        <v>1</v>
      </c>
      <c r="B13" t="s">
        <v>54</v>
      </c>
    </row>
    <row r="15" spans="1:2" x14ac:dyDescent="0.25">
      <c r="A15">
        <v>2</v>
      </c>
      <c r="B15" t="s">
        <v>56</v>
      </c>
    </row>
    <row r="16" spans="1:2" x14ac:dyDescent="0.25">
      <c r="B16" t="s">
        <v>57</v>
      </c>
    </row>
    <row r="18" spans="1:4" x14ac:dyDescent="0.25">
      <c r="A18">
        <v>3</v>
      </c>
      <c r="B18" t="s">
        <v>58</v>
      </c>
    </row>
    <row r="19" spans="1:4" x14ac:dyDescent="0.25">
      <c r="B19" t="s">
        <v>59</v>
      </c>
    </row>
    <row r="20" spans="1:4" x14ac:dyDescent="0.25">
      <c r="B20" t="s">
        <v>60</v>
      </c>
      <c r="C20" t="s">
        <v>63</v>
      </c>
      <c r="D20" t="s">
        <v>66</v>
      </c>
    </row>
    <row r="21" spans="1:4" x14ac:dyDescent="0.25">
      <c r="B21" t="s">
        <v>48</v>
      </c>
      <c r="C21" t="s">
        <v>62</v>
      </c>
      <c r="D21" t="s">
        <v>67</v>
      </c>
    </row>
    <row r="22" spans="1:4" x14ac:dyDescent="0.25">
      <c r="B22" t="s">
        <v>49</v>
      </c>
      <c r="C22" t="s">
        <v>64</v>
      </c>
      <c r="D22" t="s">
        <v>68</v>
      </c>
    </row>
    <row r="23" spans="1:4" x14ac:dyDescent="0.25">
      <c r="B23" t="s">
        <v>61</v>
      </c>
      <c r="C23" t="s">
        <v>65</v>
      </c>
      <c r="D23" t="s">
        <v>69</v>
      </c>
    </row>
    <row r="25" spans="1:4" x14ac:dyDescent="0.25">
      <c r="A25" s="11" t="s">
        <v>70</v>
      </c>
    </row>
    <row r="26" spans="1:4" x14ac:dyDescent="0.25">
      <c r="A26">
        <v>1</v>
      </c>
      <c r="B26" t="s">
        <v>71</v>
      </c>
    </row>
    <row r="28" spans="1:4" x14ac:dyDescent="0.25">
      <c r="A28">
        <v>2</v>
      </c>
      <c r="B28" t="s">
        <v>72</v>
      </c>
    </row>
    <row r="30" spans="1:4" x14ac:dyDescent="0.25">
      <c r="A30" s="11" t="s">
        <v>73</v>
      </c>
    </row>
    <row r="31" spans="1:4" x14ac:dyDescent="0.25">
      <c r="A31">
        <v>1</v>
      </c>
      <c r="B31" t="s">
        <v>74</v>
      </c>
    </row>
    <row r="33" spans="1:2" x14ac:dyDescent="0.25">
      <c r="A33" s="11">
        <v>2</v>
      </c>
      <c r="B33" t="s">
        <v>75</v>
      </c>
    </row>
    <row r="35" spans="1:2" x14ac:dyDescent="0.25">
      <c r="A35">
        <v>3</v>
      </c>
      <c r="B35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150</v>
      </c>
      <c r="B1" t="s">
        <v>152</v>
      </c>
      <c r="F1" t="s">
        <v>151</v>
      </c>
    </row>
    <row r="2" spans="1:6" x14ac:dyDescent="0.25">
      <c r="A2">
        <v>1</v>
      </c>
      <c r="B2" t="s">
        <v>88</v>
      </c>
      <c r="C2" t="s">
        <v>89</v>
      </c>
      <c r="D2">
        <v>1</v>
      </c>
      <c r="E2">
        <v>0</v>
      </c>
      <c r="F2" t="s">
        <v>155</v>
      </c>
    </row>
    <row r="3" spans="1:6" x14ac:dyDescent="0.25">
      <c r="A3">
        <v>2</v>
      </c>
      <c r="B3" t="s">
        <v>90</v>
      </c>
      <c r="C3" t="s">
        <v>89</v>
      </c>
      <c r="D3">
        <v>1</v>
      </c>
      <c r="E3">
        <v>0</v>
      </c>
      <c r="F3" t="s">
        <v>156</v>
      </c>
    </row>
    <row r="4" spans="1:6" x14ac:dyDescent="0.25">
      <c r="A4">
        <v>3</v>
      </c>
      <c r="B4" t="s">
        <v>91</v>
      </c>
      <c r="C4" t="s">
        <v>89</v>
      </c>
      <c r="D4">
        <v>1</v>
      </c>
      <c r="E4">
        <v>0</v>
      </c>
      <c r="F4" t="s">
        <v>157</v>
      </c>
    </row>
    <row r="5" spans="1:6" x14ac:dyDescent="0.25">
      <c r="A5">
        <v>4</v>
      </c>
      <c r="B5" t="s">
        <v>92</v>
      </c>
      <c r="C5" t="s">
        <v>89</v>
      </c>
      <c r="D5">
        <v>0.5</v>
      </c>
      <c r="E5">
        <v>0</v>
      </c>
      <c r="F5" t="s">
        <v>158</v>
      </c>
    </row>
    <row r="6" spans="1:6" x14ac:dyDescent="0.25">
      <c r="A6">
        <v>5</v>
      </c>
      <c r="B6" t="s">
        <v>93</v>
      </c>
      <c r="C6" t="s">
        <v>89</v>
      </c>
      <c r="D6">
        <v>0.1</v>
      </c>
      <c r="E6">
        <v>0</v>
      </c>
      <c r="F6" t="s">
        <v>159</v>
      </c>
    </row>
    <row r="7" spans="1:6" x14ac:dyDescent="0.25">
      <c r="A7">
        <v>6</v>
      </c>
      <c r="B7" t="s">
        <v>94</v>
      </c>
      <c r="C7" t="s">
        <v>89</v>
      </c>
      <c r="D7">
        <v>1</v>
      </c>
      <c r="E7">
        <v>0</v>
      </c>
      <c r="F7" t="s">
        <v>205</v>
      </c>
    </row>
    <row r="8" spans="1:6" x14ac:dyDescent="0.25">
      <c r="A8">
        <v>7</v>
      </c>
      <c r="B8" t="s">
        <v>95</v>
      </c>
      <c r="C8" t="s">
        <v>89</v>
      </c>
      <c r="D8">
        <v>-21.977719252</v>
      </c>
      <c r="E8">
        <v>0</v>
      </c>
      <c r="F8" t="s">
        <v>160</v>
      </c>
    </row>
    <row r="9" spans="1:6" x14ac:dyDescent="0.25">
      <c r="A9">
        <v>8</v>
      </c>
      <c r="B9" t="s">
        <v>96</v>
      </c>
      <c r="C9" t="s">
        <v>89</v>
      </c>
      <c r="D9">
        <v>-1.4857940511400001</v>
      </c>
      <c r="E9">
        <v>0</v>
      </c>
      <c r="F9" t="s">
        <v>161</v>
      </c>
    </row>
    <row r="10" spans="1:6" x14ac:dyDescent="0.25">
      <c r="A10">
        <v>9</v>
      </c>
      <c r="B10" t="s">
        <v>97</v>
      </c>
      <c r="C10" t="s">
        <v>89</v>
      </c>
      <c r="D10">
        <v>-4.85028348146</v>
      </c>
      <c r="E10">
        <v>0</v>
      </c>
      <c r="F10" t="s">
        <v>162</v>
      </c>
    </row>
    <row r="11" spans="1:6" x14ac:dyDescent="0.25">
      <c r="A11">
        <v>10</v>
      </c>
      <c r="B11" t="s">
        <v>98</v>
      </c>
      <c r="C11" t="s">
        <v>89</v>
      </c>
      <c r="D11">
        <v>-15.3921330935</v>
      </c>
      <c r="E11">
        <v>0</v>
      </c>
      <c r="F11" t="s">
        <v>163</v>
      </c>
    </row>
    <row r="12" spans="1:6" x14ac:dyDescent="0.25">
      <c r="A12">
        <v>11</v>
      </c>
      <c r="B12" t="s">
        <v>99</v>
      </c>
      <c r="C12" t="s">
        <v>89</v>
      </c>
      <c r="D12">
        <v>-11.245247773539999</v>
      </c>
      <c r="E12">
        <v>0</v>
      </c>
      <c r="F12" t="s">
        <v>164</v>
      </c>
    </row>
    <row r="13" spans="1:6" x14ac:dyDescent="0.25">
      <c r="A13">
        <v>12</v>
      </c>
      <c r="B13" t="s">
        <v>100</v>
      </c>
      <c r="C13" t="s">
        <v>89</v>
      </c>
      <c r="D13">
        <v>-4.2752113423699996</v>
      </c>
      <c r="E13">
        <v>0</v>
      </c>
      <c r="F13" t="s">
        <v>165</v>
      </c>
    </row>
    <row r="14" spans="1:6" x14ac:dyDescent="0.25">
      <c r="A14">
        <v>13</v>
      </c>
      <c r="B14" t="s">
        <v>101</v>
      </c>
      <c r="C14" t="s">
        <v>89</v>
      </c>
      <c r="D14">
        <v>-6.5192578502799998</v>
      </c>
      <c r="E14">
        <v>0</v>
      </c>
      <c r="F14" t="s">
        <v>166</v>
      </c>
    </row>
    <row r="15" spans="1:6" x14ac:dyDescent="0.25">
      <c r="A15">
        <v>14</v>
      </c>
      <c r="B15" t="s">
        <v>102</v>
      </c>
      <c r="C15" t="s">
        <v>89</v>
      </c>
      <c r="D15">
        <v>-3.04866060786</v>
      </c>
      <c r="E15">
        <v>0</v>
      </c>
      <c r="F15" t="s">
        <v>167</v>
      </c>
    </row>
    <row r="16" spans="1:6" x14ac:dyDescent="0.25">
      <c r="A16">
        <v>15</v>
      </c>
      <c r="B16" t="s">
        <v>103</v>
      </c>
      <c r="C16" t="s">
        <v>89</v>
      </c>
      <c r="D16">
        <v>0</v>
      </c>
      <c r="E16">
        <v>0</v>
      </c>
      <c r="F16" t="s">
        <v>206</v>
      </c>
    </row>
    <row r="17" spans="1:6" x14ac:dyDescent="0.25">
      <c r="A17">
        <v>16</v>
      </c>
      <c r="B17" t="s">
        <v>104</v>
      </c>
      <c r="C17" t="s">
        <v>89</v>
      </c>
      <c r="D17">
        <v>-2.2084934246199999</v>
      </c>
      <c r="E17">
        <v>0</v>
      </c>
      <c r="F17" t="s">
        <v>207</v>
      </c>
    </row>
    <row r="18" spans="1:6" x14ac:dyDescent="0.25">
      <c r="A18">
        <v>17</v>
      </c>
      <c r="B18" t="s">
        <v>105</v>
      </c>
      <c r="C18" t="s">
        <v>89</v>
      </c>
      <c r="D18">
        <v>0</v>
      </c>
      <c r="E18">
        <v>0</v>
      </c>
      <c r="F18" t="s">
        <v>168</v>
      </c>
    </row>
    <row r="19" spans="1:6" x14ac:dyDescent="0.25">
      <c r="A19">
        <v>18</v>
      </c>
      <c r="B19" t="s">
        <v>106</v>
      </c>
      <c r="C19" t="s">
        <v>89</v>
      </c>
      <c r="D19">
        <v>0</v>
      </c>
      <c r="E19">
        <v>0</v>
      </c>
      <c r="F19" t="s">
        <v>169</v>
      </c>
    </row>
    <row r="20" spans="1:6" x14ac:dyDescent="0.25">
      <c r="A20">
        <v>19</v>
      </c>
      <c r="B20" t="s">
        <v>107</v>
      </c>
      <c r="C20" t="s">
        <v>89</v>
      </c>
      <c r="D20">
        <v>0</v>
      </c>
      <c r="E20">
        <v>0</v>
      </c>
      <c r="F20" t="s">
        <v>170</v>
      </c>
    </row>
    <row r="21" spans="1:6" x14ac:dyDescent="0.25">
      <c r="A21">
        <v>20</v>
      </c>
      <c r="B21" t="s">
        <v>108</v>
      </c>
      <c r="C21" t="s">
        <v>89</v>
      </c>
      <c r="D21">
        <v>0</v>
      </c>
      <c r="E21">
        <v>0</v>
      </c>
      <c r="F21" t="s">
        <v>171</v>
      </c>
    </row>
    <row r="22" spans="1:6" x14ac:dyDescent="0.25">
      <c r="A22">
        <v>21</v>
      </c>
      <c r="B22" t="s">
        <v>109</v>
      </c>
      <c r="C22" t="s">
        <v>89</v>
      </c>
      <c r="D22">
        <v>0</v>
      </c>
      <c r="E22">
        <v>0</v>
      </c>
      <c r="F22" t="s">
        <v>208</v>
      </c>
    </row>
    <row r="23" spans="1:6" x14ac:dyDescent="0.25">
      <c r="A23">
        <v>30</v>
      </c>
      <c r="B23" t="s">
        <v>110</v>
      </c>
      <c r="C23" t="s">
        <v>89</v>
      </c>
      <c r="D23">
        <v>0</v>
      </c>
      <c r="E23">
        <v>0</v>
      </c>
      <c r="F23" t="s">
        <v>172</v>
      </c>
    </row>
    <row r="24" spans="1:6" x14ac:dyDescent="0.25">
      <c r="A24">
        <v>31</v>
      </c>
      <c r="B24" t="s">
        <v>111</v>
      </c>
      <c r="C24" t="s">
        <v>89</v>
      </c>
      <c r="D24">
        <v>0</v>
      </c>
      <c r="E24">
        <v>0</v>
      </c>
      <c r="F24" t="s">
        <v>173</v>
      </c>
    </row>
    <row r="25" spans="1:6" x14ac:dyDescent="0.25">
      <c r="A25">
        <v>32</v>
      </c>
      <c r="B25" t="s">
        <v>112</v>
      </c>
      <c r="C25" t="s">
        <v>89</v>
      </c>
      <c r="D25">
        <v>0</v>
      </c>
      <c r="E25">
        <v>0</v>
      </c>
      <c r="F25" t="s">
        <v>174</v>
      </c>
    </row>
    <row r="26" spans="1:6" x14ac:dyDescent="0.25">
      <c r="A26">
        <v>33</v>
      </c>
      <c r="B26" t="s">
        <v>113</v>
      </c>
      <c r="C26" t="s">
        <v>89</v>
      </c>
      <c r="D26">
        <v>0.20475756801299999</v>
      </c>
      <c r="E26">
        <v>0</v>
      </c>
      <c r="F26" t="s">
        <v>175</v>
      </c>
    </row>
    <row r="27" spans="1:6" x14ac:dyDescent="0.25">
      <c r="A27">
        <v>34</v>
      </c>
      <c r="B27" t="s">
        <v>114</v>
      </c>
      <c r="C27" t="s">
        <v>89</v>
      </c>
      <c r="D27">
        <v>0.73914409694299998</v>
      </c>
      <c r="E27">
        <v>0</v>
      </c>
      <c r="F27" t="s">
        <v>176</v>
      </c>
    </row>
    <row r="28" spans="1:6" x14ac:dyDescent="0.25">
      <c r="A28">
        <v>35</v>
      </c>
      <c r="B28" t="s">
        <v>115</v>
      </c>
      <c r="C28" t="s">
        <v>89</v>
      </c>
      <c r="D28">
        <v>0.91950533972299997</v>
      </c>
      <c r="E28">
        <v>0</v>
      </c>
      <c r="F28" t="s">
        <v>177</v>
      </c>
    </row>
    <row r="29" spans="1:6" x14ac:dyDescent="0.25">
      <c r="A29">
        <v>36</v>
      </c>
      <c r="B29" t="s">
        <v>116</v>
      </c>
      <c r="C29" t="s">
        <v>89</v>
      </c>
      <c r="D29">
        <v>0</v>
      </c>
      <c r="E29">
        <v>0</v>
      </c>
      <c r="F29" t="s">
        <v>178</v>
      </c>
    </row>
    <row r="30" spans="1:6" x14ac:dyDescent="0.25">
      <c r="A30">
        <v>37</v>
      </c>
      <c r="B30" t="s">
        <v>117</v>
      </c>
      <c r="C30" t="s">
        <v>89</v>
      </c>
      <c r="D30">
        <v>0.47967991030399998</v>
      </c>
      <c r="E30">
        <v>0</v>
      </c>
      <c r="F30" t="s">
        <v>179</v>
      </c>
    </row>
    <row r="31" spans="1:6" x14ac:dyDescent="0.25">
      <c r="A31">
        <v>38</v>
      </c>
      <c r="B31" t="s">
        <v>118</v>
      </c>
      <c r="C31" t="s">
        <v>89</v>
      </c>
      <c r="D31">
        <v>-0.117361085083</v>
      </c>
      <c r="E31">
        <v>0</v>
      </c>
      <c r="F31" t="s">
        <v>180</v>
      </c>
    </row>
    <row r="32" spans="1:6" x14ac:dyDescent="0.25">
      <c r="A32">
        <v>50</v>
      </c>
      <c r="B32" t="s">
        <v>119</v>
      </c>
      <c r="C32" t="s">
        <v>120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121</v>
      </c>
      <c r="C33" t="s">
        <v>120</v>
      </c>
      <c r="D33">
        <v>17.602734273900001</v>
      </c>
      <c r="E33">
        <v>9.4985609110600002</v>
      </c>
      <c r="F33" t="s">
        <v>153</v>
      </c>
    </row>
    <row r="34" spans="1:6" x14ac:dyDescent="0.25">
      <c r="A34">
        <v>52</v>
      </c>
      <c r="B34" t="s">
        <v>122</v>
      </c>
      <c r="C34" t="s">
        <v>120</v>
      </c>
      <c r="D34">
        <v>4.20952630757</v>
      </c>
      <c r="E34">
        <v>2.7008716882299999</v>
      </c>
      <c r="F34" t="s">
        <v>154</v>
      </c>
    </row>
    <row r="35" spans="1:6" x14ac:dyDescent="0.25">
      <c r="A35">
        <v>60</v>
      </c>
      <c r="B35" t="s">
        <v>123</v>
      </c>
      <c r="C35" t="s">
        <v>89</v>
      </c>
      <c r="D35">
        <v>0.20359321296800001</v>
      </c>
      <c r="E35">
        <v>0</v>
      </c>
    </row>
    <row r="36" spans="1:6" x14ac:dyDescent="0.25">
      <c r="A36">
        <v>61</v>
      </c>
      <c r="B36" t="s">
        <v>124</v>
      </c>
      <c r="C36" t="s">
        <v>89</v>
      </c>
      <c r="D36">
        <v>-3.7139025588600001</v>
      </c>
      <c r="E36">
        <v>0</v>
      </c>
      <c r="F36" t="s">
        <v>181</v>
      </c>
    </row>
    <row r="37" spans="1:6" x14ac:dyDescent="0.25">
      <c r="A37">
        <v>62</v>
      </c>
      <c r="B37" t="s">
        <v>125</v>
      </c>
      <c r="C37" t="s">
        <v>89</v>
      </c>
      <c r="D37">
        <v>-14.9292134206</v>
      </c>
      <c r="E37">
        <v>0</v>
      </c>
      <c r="F37" t="s">
        <v>182</v>
      </c>
    </row>
    <row r="38" spans="1:6" x14ac:dyDescent="0.25">
      <c r="A38">
        <v>63</v>
      </c>
      <c r="B38" t="s">
        <v>126</v>
      </c>
      <c r="C38" t="s">
        <v>89</v>
      </c>
      <c r="D38">
        <v>-18.363643827400001</v>
      </c>
      <c r="E38">
        <v>0</v>
      </c>
      <c r="F38" t="s">
        <v>183</v>
      </c>
    </row>
    <row r="39" spans="1:6" x14ac:dyDescent="0.25">
      <c r="A39">
        <v>64</v>
      </c>
      <c r="B39" t="s">
        <v>127</v>
      </c>
      <c r="C39" t="s">
        <v>89</v>
      </c>
      <c r="D39">
        <v>-19.6107408341</v>
      </c>
      <c r="E39">
        <v>0</v>
      </c>
      <c r="F39" t="s">
        <v>184</v>
      </c>
    </row>
    <row r="40" spans="1:6" x14ac:dyDescent="0.25">
      <c r="A40">
        <v>65</v>
      </c>
      <c r="B40" t="s">
        <v>128</v>
      </c>
      <c r="C40" t="s">
        <v>89</v>
      </c>
      <c r="D40">
        <v>-29.386377866</v>
      </c>
      <c r="E40">
        <v>0</v>
      </c>
      <c r="F40" t="s">
        <v>185</v>
      </c>
    </row>
    <row r="41" spans="1:6" x14ac:dyDescent="0.25">
      <c r="A41">
        <v>66</v>
      </c>
      <c r="B41" t="s">
        <v>129</v>
      </c>
      <c r="C41" t="s">
        <v>89</v>
      </c>
      <c r="D41">
        <v>0</v>
      </c>
      <c r="E41">
        <v>0</v>
      </c>
      <c r="F41" t="s">
        <v>186</v>
      </c>
    </row>
    <row r="42" spans="1:6" x14ac:dyDescent="0.25">
      <c r="A42">
        <v>67</v>
      </c>
      <c r="B42" t="s">
        <v>130</v>
      </c>
      <c r="C42" t="s">
        <v>89</v>
      </c>
      <c r="D42">
        <v>-6.7290240321499999</v>
      </c>
      <c r="E42">
        <v>0</v>
      </c>
      <c r="F42" t="s">
        <v>187</v>
      </c>
    </row>
    <row r="43" spans="1:6" x14ac:dyDescent="0.25">
      <c r="A43">
        <v>68</v>
      </c>
      <c r="B43" t="s">
        <v>131</v>
      </c>
      <c r="C43" t="s">
        <v>89</v>
      </c>
      <c r="D43">
        <v>-26.1597322567</v>
      </c>
      <c r="E43">
        <v>0</v>
      </c>
      <c r="F43" t="s">
        <v>188</v>
      </c>
    </row>
    <row r="44" spans="1:6" x14ac:dyDescent="0.25">
      <c r="A44">
        <v>69</v>
      </c>
      <c r="B44" t="s">
        <v>132</v>
      </c>
      <c r="C44" t="s">
        <v>89</v>
      </c>
      <c r="D44">
        <v>-0.14966845132199999</v>
      </c>
      <c r="E44">
        <v>0</v>
      </c>
      <c r="F44" t="s">
        <v>189</v>
      </c>
    </row>
    <row r="45" spans="1:6" x14ac:dyDescent="0.25">
      <c r="A45">
        <v>70</v>
      </c>
      <c r="B45" t="s">
        <v>133</v>
      </c>
      <c r="C45" t="s">
        <v>89</v>
      </c>
      <c r="D45">
        <v>-28.815960729</v>
      </c>
      <c r="E45">
        <v>0</v>
      </c>
      <c r="F45" t="s">
        <v>190</v>
      </c>
    </row>
    <row r="46" spans="1:6" x14ac:dyDescent="0.25">
      <c r="A46">
        <v>71</v>
      </c>
      <c r="B46" t="s">
        <v>134</v>
      </c>
      <c r="C46" t="s">
        <v>89</v>
      </c>
      <c r="D46">
        <v>-38.204969650199999</v>
      </c>
      <c r="E46">
        <v>0</v>
      </c>
      <c r="F46" t="s">
        <v>191</v>
      </c>
    </row>
    <row r="47" spans="1:6" x14ac:dyDescent="0.25">
      <c r="A47">
        <v>72</v>
      </c>
      <c r="B47" t="s">
        <v>135</v>
      </c>
      <c r="C47" t="s">
        <v>89</v>
      </c>
      <c r="D47">
        <v>0</v>
      </c>
      <c r="E47">
        <v>0</v>
      </c>
      <c r="F47" t="s">
        <v>192</v>
      </c>
    </row>
    <row r="48" spans="1:6" x14ac:dyDescent="0.25">
      <c r="A48">
        <v>73</v>
      </c>
      <c r="B48" t="s">
        <v>136</v>
      </c>
      <c r="C48" t="s">
        <v>89</v>
      </c>
      <c r="D48">
        <v>-0.78460574570499997</v>
      </c>
      <c r="E48">
        <v>0</v>
      </c>
      <c r="F48" t="s">
        <v>193</v>
      </c>
    </row>
    <row r="49" spans="1:6" x14ac:dyDescent="0.25">
      <c r="A49">
        <v>74</v>
      </c>
      <c r="B49" t="s">
        <v>137</v>
      </c>
      <c r="C49" t="s">
        <v>89</v>
      </c>
      <c r="D49">
        <v>-60</v>
      </c>
      <c r="E49">
        <v>0</v>
      </c>
      <c r="F49" t="s">
        <v>194</v>
      </c>
    </row>
    <row r="50" spans="1:6" x14ac:dyDescent="0.25">
      <c r="A50">
        <v>75</v>
      </c>
      <c r="B50" t="s">
        <v>138</v>
      </c>
      <c r="C50" t="s">
        <v>89</v>
      </c>
      <c r="D50">
        <v>-40</v>
      </c>
      <c r="E50">
        <v>0</v>
      </c>
      <c r="F50" t="s">
        <v>195</v>
      </c>
    </row>
    <row r="51" spans="1:6" x14ac:dyDescent="0.25">
      <c r="A51">
        <v>76</v>
      </c>
      <c r="B51" t="s">
        <v>139</v>
      </c>
      <c r="C51" t="s">
        <v>89</v>
      </c>
      <c r="D51">
        <v>-19.3366724551</v>
      </c>
      <c r="E51">
        <v>0</v>
      </c>
      <c r="F51" t="s">
        <v>196</v>
      </c>
    </row>
    <row r="52" spans="1:6" x14ac:dyDescent="0.25">
      <c r="A52">
        <v>77</v>
      </c>
      <c r="B52" t="s">
        <v>140</v>
      </c>
      <c r="C52" t="s">
        <v>89</v>
      </c>
      <c r="D52">
        <v>-29.8899113495</v>
      </c>
      <c r="E52">
        <v>0</v>
      </c>
      <c r="F52" t="s">
        <v>197</v>
      </c>
    </row>
    <row r="53" spans="1:6" x14ac:dyDescent="0.25">
      <c r="A53">
        <v>78</v>
      </c>
      <c r="B53" t="s">
        <v>141</v>
      </c>
      <c r="C53" t="s">
        <v>89</v>
      </c>
      <c r="D53">
        <v>0</v>
      </c>
      <c r="E53">
        <v>0</v>
      </c>
      <c r="F53" t="s">
        <v>198</v>
      </c>
    </row>
    <row r="54" spans="1:6" x14ac:dyDescent="0.25">
      <c r="A54">
        <v>79</v>
      </c>
      <c r="B54" t="s">
        <v>142</v>
      </c>
      <c r="C54" t="s">
        <v>89</v>
      </c>
      <c r="D54">
        <v>-4.6085602533700003</v>
      </c>
      <c r="E54">
        <v>0</v>
      </c>
      <c r="F54" t="s">
        <v>199</v>
      </c>
    </row>
    <row r="55" spans="1:6" x14ac:dyDescent="0.25">
      <c r="A55">
        <v>80</v>
      </c>
      <c r="B55" t="s">
        <v>143</v>
      </c>
      <c r="C55" t="s">
        <v>89</v>
      </c>
      <c r="D55">
        <v>-20</v>
      </c>
      <c r="E55">
        <v>0</v>
      </c>
      <c r="F55" t="s">
        <v>200</v>
      </c>
    </row>
    <row r="56" spans="1:6" x14ac:dyDescent="0.25">
      <c r="A56">
        <v>81</v>
      </c>
      <c r="B56" t="s">
        <v>144</v>
      </c>
      <c r="C56" t="s">
        <v>89</v>
      </c>
      <c r="D56">
        <v>-16.8297323695</v>
      </c>
      <c r="E56">
        <v>0</v>
      </c>
      <c r="F56" t="s">
        <v>201</v>
      </c>
    </row>
    <row r="57" spans="1:6" x14ac:dyDescent="0.25">
      <c r="A57">
        <v>82</v>
      </c>
      <c r="B57" t="s">
        <v>145</v>
      </c>
      <c r="C57" t="s">
        <v>89</v>
      </c>
      <c r="D57">
        <v>-30</v>
      </c>
      <c r="E57">
        <v>0</v>
      </c>
      <c r="F57" t="s">
        <v>202</v>
      </c>
    </row>
    <row r="58" spans="1:6" x14ac:dyDescent="0.25">
      <c r="A58">
        <v>83</v>
      </c>
      <c r="B58" t="s">
        <v>146</v>
      </c>
      <c r="C58" t="s">
        <v>89</v>
      </c>
      <c r="D58">
        <v>0</v>
      </c>
      <c r="E58">
        <v>0</v>
      </c>
      <c r="F58" t="s">
        <v>203</v>
      </c>
    </row>
    <row r="59" spans="1:6" x14ac:dyDescent="0.25">
      <c r="A59">
        <v>84</v>
      </c>
      <c r="B59" t="s">
        <v>147</v>
      </c>
      <c r="C59" t="s">
        <v>89</v>
      </c>
      <c r="D59">
        <v>-3.8243167264700002</v>
      </c>
      <c r="E59">
        <v>0</v>
      </c>
      <c r="F59" t="s">
        <v>204</v>
      </c>
    </row>
    <row r="60" spans="1:6" x14ac:dyDescent="0.25">
      <c r="A60">
        <v>98</v>
      </c>
      <c r="B60" t="s">
        <v>148</v>
      </c>
      <c r="C60" t="s">
        <v>89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149</v>
      </c>
      <c r="C61" t="s">
        <v>120</v>
      </c>
      <c r="D61">
        <v>0.11248071060500001</v>
      </c>
      <c r="E61" s="55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O91" sqref="O91"/>
    </sheetView>
  </sheetViews>
  <sheetFormatPr defaultRowHeight="15" x14ac:dyDescent="0.25"/>
  <sheetData>
    <row r="1" spans="1:10" x14ac:dyDescent="0.25">
      <c r="A1" s="56" t="s">
        <v>220</v>
      </c>
    </row>
    <row r="2" spans="1:10" x14ac:dyDescent="0.25">
      <c r="A2">
        <v>1</v>
      </c>
      <c r="B2" t="s">
        <v>221</v>
      </c>
    </row>
    <row r="3" spans="1:10" x14ac:dyDescent="0.25">
      <c r="A3">
        <v>2</v>
      </c>
      <c r="B3" t="s">
        <v>222</v>
      </c>
    </row>
    <row r="4" spans="1:10" x14ac:dyDescent="0.25">
      <c r="A4">
        <v>3</v>
      </c>
      <c r="B4" t="s">
        <v>223</v>
      </c>
    </row>
    <row r="5" spans="1:10" x14ac:dyDescent="0.25">
      <c r="A5">
        <v>4</v>
      </c>
      <c r="B5" t="s">
        <v>224</v>
      </c>
    </row>
    <row r="8" spans="1:10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</row>
    <row r="9" spans="1:10" x14ac:dyDescent="0.25">
      <c r="A9" t="s">
        <v>233</v>
      </c>
      <c r="B9" t="s">
        <v>234</v>
      </c>
      <c r="C9" t="s">
        <v>235</v>
      </c>
      <c r="D9" t="s">
        <v>236</v>
      </c>
      <c r="E9">
        <v>4</v>
      </c>
      <c r="F9" s="57">
        <v>0.50597222222222216</v>
      </c>
      <c r="G9" t="s">
        <v>237</v>
      </c>
      <c r="H9">
        <v>29</v>
      </c>
      <c r="I9" t="s">
        <v>238</v>
      </c>
      <c r="J9">
        <v>12</v>
      </c>
    </row>
    <row r="10" spans="1:10" x14ac:dyDescent="0.25">
      <c r="A10" t="s">
        <v>239</v>
      </c>
    </row>
    <row r="11" spans="1:10" x14ac:dyDescent="0.25">
      <c r="B11">
        <v>1</v>
      </c>
      <c r="C11" t="s">
        <v>88</v>
      </c>
      <c r="D11" t="s">
        <v>89</v>
      </c>
      <c r="E11">
        <v>1</v>
      </c>
      <c r="F11">
        <v>0</v>
      </c>
    </row>
    <row r="12" spans="1:10" x14ac:dyDescent="0.25">
      <c r="B12">
        <v>2</v>
      </c>
      <c r="C12" t="s">
        <v>90</v>
      </c>
      <c r="D12" t="s">
        <v>89</v>
      </c>
      <c r="E12">
        <v>1</v>
      </c>
      <c r="F12">
        <v>0</v>
      </c>
    </row>
    <row r="13" spans="1:10" x14ac:dyDescent="0.25">
      <c r="B13">
        <v>3</v>
      </c>
      <c r="C13" t="s">
        <v>91</v>
      </c>
      <c r="D13" t="s">
        <v>89</v>
      </c>
      <c r="E13">
        <v>1</v>
      </c>
      <c r="F13">
        <v>0</v>
      </c>
    </row>
    <row r="14" spans="1:10" x14ac:dyDescent="0.25">
      <c r="B14">
        <v>4</v>
      </c>
      <c r="C14" t="s">
        <v>92</v>
      </c>
      <c r="D14" t="s">
        <v>89</v>
      </c>
      <c r="E14">
        <v>0.5</v>
      </c>
      <c r="F14">
        <v>0</v>
      </c>
    </row>
    <row r="15" spans="1:10" x14ac:dyDescent="0.25">
      <c r="B15">
        <v>5</v>
      </c>
      <c r="C15" t="s">
        <v>93</v>
      </c>
      <c r="D15" t="s">
        <v>89</v>
      </c>
      <c r="E15">
        <v>0.1</v>
      </c>
      <c r="F15">
        <v>0</v>
      </c>
    </row>
    <row r="16" spans="1:10" x14ac:dyDescent="0.25">
      <c r="B16">
        <v>6</v>
      </c>
      <c r="C16" t="s">
        <v>94</v>
      </c>
      <c r="D16" t="s">
        <v>89</v>
      </c>
      <c r="E16">
        <v>1</v>
      </c>
      <c r="F16">
        <v>0</v>
      </c>
    </row>
    <row r="17" spans="2:6" x14ac:dyDescent="0.25">
      <c r="B17">
        <v>7</v>
      </c>
      <c r="C17" t="s">
        <v>95</v>
      </c>
      <c r="D17" t="s">
        <v>89</v>
      </c>
      <c r="E17">
        <v>-21.977719252</v>
      </c>
      <c r="F17">
        <v>0</v>
      </c>
    </row>
    <row r="18" spans="2:6" x14ac:dyDescent="0.25">
      <c r="B18">
        <v>8</v>
      </c>
      <c r="C18" t="s">
        <v>96</v>
      </c>
      <c r="D18" t="s">
        <v>89</v>
      </c>
      <c r="E18">
        <v>-1.4857940511400001</v>
      </c>
      <c r="F18">
        <v>0</v>
      </c>
    </row>
    <row r="19" spans="2:6" x14ac:dyDescent="0.25">
      <c r="B19">
        <v>9</v>
      </c>
      <c r="C19" t="s">
        <v>97</v>
      </c>
      <c r="D19" t="s">
        <v>89</v>
      </c>
      <c r="E19">
        <v>-4.85028348146</v>
      </c>
      <c r="F19">
        <v>0</v>
      </c>
    </row>
    <row r="20" spans="2:6" x14ac:dyDescent="0.25">
      <c r="B20">
        <v>10</v>
      </c>
      <c r="C20" t="s">
        <v>98</v>
      </c>
      <c r="D20" t="s">
        <v>89</v>
      </c>
      <c r="E20">
        <v>-15.3921330935</v>
      </c>
      <c r="F20">
        <v>0</v>
      </c>
    </row>
    <row r="21" spans="2:6" x14ac:dyDescent="0.25">
      <c r="B21">
        <v>11</v>
      </c>
      <c r="C21" t="s">
        <v>99</v>
      </c>
      <c r="D21" t="s">
        <v>89</v>
      </c>
      <c r="E21">
        <v>-11.245247773539999</v>
      </c>
      <c r="F21">
        <v>0</v>
      </c>
    </row>
    <row r="22" spans="2:6" x14ac:dyDescent="0.25">
      <c r="B22">
        <v>12</v>
      </c>
      <c r="C22" t="s">
        <v>100</v>
      </c>
      <c r="D22" t="s">
        <v>89</v>
      </c>
      <c r="E22">
        <v>-4.2752113423699996</v>
      </c>
      <c r="F22">
        <v>0</v>
      </c>
    </row>
    <row r="23" spans="2:6" x14ac:dyDescent="0.25">
      <c r="B23">
        <v>13</v>
      </c>
      <c r="C23" t="s">
        <v>101</v>
      </c>
      <c r="D23" t="s">
        <v>89</v>
      </c>
      <c r="E23">
        <v>-6.5192578502799998</v>
      </c>
      <c r="F23">
        <v>0</v>
      </c>
    </row>
    <row r="24" spans="2:6" x14ac:dyDescent="0.25">
      <c r="B24">
        <v>14</v>
      </c>
      <c r="C24" t="s">
        <v>102</v>
      </c>
      <c r="D24" t="s">
        <v>89</v>
      </c>
      <c r="E24">
        <v>-3.04866060786</v>
      </c>
      <c r="F24">
        <v>0</v>
      </c>
    </row>
    <row r="25" spans="2:6" x14ac:dyDescent="0.25">
      <c r="B25">
        <v>15</v>
      </c>
      <c r="C25" t="s">
        <v>103</v>
      </c>
      <c r="D25" t="s">
        <v>89</v>
      </c>
      <c r="E25">
        <v>0</v>
      </c>
      <c r="F25">
        <v>0</v>
      </c>
    </row>
    <row r="26" spans="2:6" x14ac:dyDescent="0.25">
      <c r="B26">
        <v>16</v>
      </c>
      <c r="C26" t="s">
        <v>104</v>
      </c>
      <c r="D26" t="s">
        <v>89</v>
      </c>
      <c r="E26">
        <v>-2.2084934246199999</v>
      </c>
      <c r="F26">
        <v>0</v>
      </c>
    </row>
    <row r="27" spans="2:6" x14ac:dyDescent="0.25">
      <c r="B27">
        <v>17</v>
      </c>
      <c r="C27" t="s">
        <v>105</v>
      </c>
      <c r="D27" t="s">
        <v>89</v>
      </c>
      <c r="E27">
        <v>0</v>
      </c>
      <c r="F27">
        <v>0</v>
      </c>
    </row>
    <row r="28" spans="2:6" x14ac:dyDescent="0.25">
      <c r="B28">
        <v>18</v>
      </c>
      <c r="C28" t="s">
        <v>106</v>
      </c>
      <c r="D28" t="s">
        <v>89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89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89</v>
      </c>
      <c r="E30">
        <v>0</v>
      </c>
      <c r="F30">
        <v>0</v>
      </c>
    </row>
    <row r="31" spans="2:6" x14ac:dyDescent="0.25">
      <c r="B31">
        <v>21</v>
      </c>
      <c r="C31" t="s">
        <v>109</v>
      </c>
      <c r="D31" t="s">
        <v>89</v>
      </c>
      <c r="E31">
        <v>0</v>
      </c>
      <c r="F31">
        <v>0</v>
      </c>
    </row>
    <row r="32" spans="2:6" x14ac:dyDescent="0.25">
      <c r="B32">
        <v>30</v>
      </c>
      <c r="C32" t="s">
        <v>110</v>
      </c>
      <c r="D32" t="s">
        <v>89</v>
      </c>
      <c r="E32">
        <v>0</v>
      </c>
      <c r="F32">
        <v>0</v>
      </c>
    </row>
    <row r="33" spans="2:6" x14ac:dyDescent="0.25">
      <c r="B33">
        <v>31</v>
      </c>
      <c r="C33" t="s">
        <v>111</v>
      </c>
      <c r="D33" t="s">
        <v>89</v>
      </c>
      <c r="E33">
        <v>0</v>
      </c>
      <c r="F33">
        <v>0</v>
      </c>
    </row>
    <row r="34" spans="2:6" x14ac:dyDescent="0.25">
      <c r="B34">
        <v>32</v>
      </c>
      <c r="C34" t="s">
        <v>112</v>
      </c>
      <c r="D34" t="s">
        <v>89</v>
      </c>
      <c r="E34">
        <v>0</v>
      </c>
      <c r="F34">
        <v>0</v>
      </c>
    </row>
    <row r="35" spans="2:6" x14ac:dyDescent="0.25">
      <c r="B35">
        <v>33</v>
      </c>
      <c r="C35" t="s">
        <v>113</v>
      </c>
      <c r="D35" t="s">
        <v>89</v>
      </c>
      <c r="E35">
        <v>0.20475756801299999</v>
      </c>
      <c r="F35">
        <v>0</v>
      </c>
    </row>
    <row r="36" spans="2:6" x14ac:dyDescent="0.25">
      <c r="B36">
        <v>34</v>
      </c>
      <c r="C36" t="s">
        <v>114</v>
      </c>
      <c r="D36" t="s">
        <v>89</v>
      </c>
      <c r="E36">
        <v>0.73914409694299998</v>
      </c>
      <c r="F36">
        <v>0</v>
      </c>
    </row>
    <row r="37" spans="2:6" x14ac:dyDescent="0.25">
      <c r="B37">
        <v>35</v>
      </c>
      <c r="C37" t="s">
        <v>115</v>
      </c>
      <c r="D37" t="s">
        <v>89</v>
      </c>
      <c r="E37">
        <v>0.91950533972299997</v>
      </c>
      <c r="F37">
        <v>0</v>
      </c>
    </row>
    <row r="38" spans="2:6" x14ac:dyDescent="0.25">
      <c r="B38">
        <v>36</v>
      </c>
      <c r="C38" t="s">
        <v>116</v>
      </c>
      <c r="D38" t="s">
        <v>89</v>
      </c>
      <c r="E38">
        <v>0</v>
      </c>
      <c r="F38">
        <v>0</v>
      </c>
    </row>
    <row r="39" spans="2:6" x14ac:dyDescent="0.25">
      <c r="B39">
        <v>37</v>
      </c>
      <c r="C39" t="s">
        <v>117</v>
      </c>
      <c r="D39" t="s">
        <v>89</v>
      </c>
      <c r="E39">
        <v>0.47967991030399998</v>
      </c>
      <c r="F39">
        <v>0</v>
      </c>
    </row>
    <row r="40" spans="2:6" x14ac:dyDescent="0.25">
      <c r="B40">
        <v>38</v>
      </c>
      <c r="C40" t="s">
        <v>118</v>
      </c>
      <c r="D40" t="s">
        <v>89</v>
      </c>
      <c r="E40">
        <v>-0.117361085083</v>
      </c>
      <c r="F40">
        <v>0</v>
      </c>
    </row>
    <row r="41" spans="2:6" x14ac:dyDescent="0.25">
      <c r="B41">
        <v>50</v>
      </c>
      <c r="C41" t="s">
        <v>119</v>
      </c>
      <c r="D41" t="s">
        <v>120</v>
      </c>
      <c r="E41">
        <v>-49.658779198200001</v>
      </c>
      <c r="F41">
        <v>33.148214292299997</v>
      </c>
    </row>
    <row r="42" spans="2:6" x14ac:dyDescent="0.25">
      <c r="B42">
        <v>51</v>
      </c>
      <c r="C42" t="s">
        <v>121</v>
      </c>
      <c r="D42" t="s">
        <v>120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122</v>
      </c>
      <c r="D43" t="s">
        <v>120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123</v>
      </c>
      <c r="D44" t="s">
        <v>89</v>
      </c>
      <c r="E44">
        <v>0.20359321296800001</v>
      </c>
      <c r="F44">
        <v>0</v>
      </c>
    </row>
    <row r="45" spans="2:6" x14ac:dyDescent="0.25">
      <c r="B45">
        <v>61</v>
      </c>
      <c r="C45" t="s">
        <v>124</v>
      </c>
      <c r="D45" t="s">
        <v>89</v>
      </c>
      <c r="E45">
        <v>-3.7139025588600001</v>
      </c>
      <c r="F45">
        <v>0</v>
      </c>
    </row>
    <row r="46" spans="2:6" x14ac:dyDescent="0.25">
      <c r="B46">
        <v>62</v>
      </c>
      <c r="C46" t="s">
        <v>125</v>
      </c>
      <c r="D46" t="s">
        <v>89</v>
      </c>
      <c r="E46">
        <v>-14.9292134206</v>
      </c>
      <c r="F46">
        <v>0</v>
      </c>
    </row>
    <row r="47" spans="2:6" x14ac:dyDescent="0.25">
      <c r="B47">
        <v>63</v>
      </c>
      <c r="C47" t="s">
        <v>126</v>
      </c>
      <c r="D47" t="s">
        <v>89</v>
      </c>
      <c r="E47">
        <v>-18.363643827400001</v>
      </c>
      <c r="F47">
        <v>0</v>
      </c>
    </row>
    <row r="48" spans="2:6" x14ac:dyDescent="0.25">
      <c r="B48">
        <v>64</v>
      </c>
      <c r="C48" t="s">
        <v>127</v>
      </c>
      <c r="D48" t="s">
        <v>89</v>
      </c>
      <c r="E48">
        <v>-19.6107408341</v>
      </c>
      <c r="F48">
        <v>0</v>
      </c>
    </row>
    <row r="49" spans="2:6" x14ac:dyDescent="0.25">
      <c r="B49">
        <v>65</v>
      </c>
      <c r="C49" t="s">
        <v>128</v>
      </c>
      <c r="D49" t="s">
        <v>89</v>
      </c>
      <c r="E49">
        <v>-29.386377866</v>
      </c>
      <c r="F49">
        <v>0</v>
      </c>
    </row>
    <row r="50" spans="2:6" x14ac:dyDescent="0.25">
      <c r="B50">
        <v>66</v>
      </c>
      <c r="C50" t="s">
        <v>129</v>
      </c>
      <c r="D50" t="s">
        <v>89</v>
      </c>
      <c r="E50">
        <v>0</v>
      </c>
      <c r="F50">
        <v>0</v>
      </c>
    </row>
    <row r="51" spans="2:6" x14ac:dyDescent="0.25">
      <c r="B51">
        <v>67</v>
      </c>
      <c r="C51" t="s">
        <v>130</v>
      </c>
      <c r="D51" t="s">
        <v>89</v>
      </c>
      <c r="E51">
        <v>-6.7290240321499999</v>
      </c>
      <c r="F51">
        <v>0</v>
      </c>
    </row>
    <row r="52" spans="2:6" x14ac:dyDescent="0.25">
      <c r="B52">
        <v>68</v>
      </c>
      <c r="C52" t="s">
        <v>131</v>
      </c>
      <c r="D52" t="s">
        <v>89</v>
      </c>
      <c r="E52">
        <v>-26.1597322567</v>
      </c>
      <c r="F52">
        <v>0</v>
      </c>
    </row>
    <row r="53" spans="2:6" x14ac:dyDescent="0.25">
      <c r="B53">
        <v>69</v>
      </c>
      <c r="C53" t="s">
        <v>132</v>
      </c>
      <c r="D53" t="s">
        <v>89</v>
      </c>
      <c r="E53">
        <v>-0.14966845132199999</v>
      </c>
      <c r="F53">
        <v>0</v>
      </c>
    </row>
    <row r="54" spans="2:6" x14ac:dyDescent="0.25">
      <c r="B54">
        <v>70</v>
      </c>
      <c r="C54" t="s">
        <v>133</v>
      </c>
      <c r="D54" t="s">
        <v>89</v>
      </c>
      <c r="E54">
        <v>-28.815960729</v>
      </c>
      <c r="F54">
        <v>0</v>
      </c>
    </row>
    <row r="55" spans="2:6" x14ac:dyDescent="0.25">
      <c r="B55">
        <v>71</v>
      </c>
      <c r="C55" t="s">
        <v>134</v>
      </c>
      <c r="D55" t="s">
        <v>89</v>
      </c>
      <c r="E55">
        <v>-38.204969650199999</v>
      </c>
      <c r="F55">
        <v>0</v>
      </c>
    </row>
    <row r="56" spans="2:6" x14ac:dyDescent="0.25">
      <c r="B56">
        <v>72</v>
      </c>
      <c r="C56" t="s">
        <v>135</v>
      </c>
      <c r="D56" t="s">
        <v>89</v>
      </c>
      <c r="E56">
        <v>0</v>
      </c>
      <c r="F56">
        <v>0</v>
      </c>
    </row>
    <row r="57" spans="2:6" x14ac:dyDescent="0.25">
      <c r="B57">
        <v>73</v>
      </c>
      <c r="C57" t="s">
        <v>136</v>
      </c>
      <c r="D57" t="s">
        <v>89</v>
      </c>
      <c r="E57">
        <v>-0.78460574570499997</v>
      </c>
      <c r="F57">
        <v>0</v>
      </c>
    </row>
    <row r="58" spans="2:6" x14ac:dyDescent="0.25">
      <c r="B58">
        <v>74</v>
      </c>
      <c r="C58" t="s">
        <v>137</v>
      </c>
      <c r="D58" t="s">
        <v>89</v>
      </c>
      <c r="E58">
        <v>-60</v>
      </c>
      <c r="F58">
        <v>0</v>
      </c>
    </row>
    <row r="59" spans="2:6" x14ac:dyDescent="0.25">
      <c r="B59">
        <v>75</v>
      </c>
      <c r="C59" t="s">
        <v>138</v>
      </c>
      <c r="D59" t="s">
        <v>89</v>
      </c>
      <c r="E59">
        <v>-40</v>
      </c>
      <c r="F59">
        <v>0</v>
      </c>
    </row>
    <row r="60" spans="2:6" x14ac:dyDescent="0.25">
      <c r="B60">
        <v>76</v>
      </c>
      <c r="C60" t="s">
        <v>139</v>
      </c>
      <c r="D60" t="s">
        <v>89</v>
      </c>
      <c r="E60">
        <v>-19.3366724551</v>
      </c>
      <c r="F60">
        <v>0</v>
      </c>
    </row>
    <row r="61" spans="2:6" x14ac:dyDescent="0.25">
      <c r="B61">
        <v>77</v>
      </c>
      <c r="C61" t="s">
        <v>140</v>
      </c>
      <c r="D61" t="s">
        <v>89</v>
      </c>
      <c r="E61">
        <v>-29.8899113495</v>
      </c>
      <c r="F61">
        <v>0</v>
      </c>
    </row>
    <row r="62" spans="2:6" x14ac:dyDescent="0.25">
      <c r="B62">
        <v>78</v>
      </c>
      <c r="C62" t="s">
        <v>141</v>
      </c>
      <c r="D62" t="s">
        <v>89</v>
      </c>
      <c r="E62">
        <v>0</v>
      </c>
      <c r="F62">
        <v>0</v>
      </c>
    </row>
    <row r="63" spans="2:6" x14ac:dyDescent="0.25">
      <c r="B63">
        <v>79</v>
      </c>
      <c r="C63" t="s">
        <v>142</v>
      </c>
      <c r="D63" t="s">
        <v>89</v>
      </c>
      <c r="E63">
        <v>-4.6085602533700003</v>
      </c>
      <c r="F63">
        <v>0</v>
      </c>
    </row>
    <row r="64" spans="2:6" x14ac:dyDescent="0.25">
      <c r="B64">
        <v>80</v>
      </c>
      <c r="C64" t="s">
        <v>143</v>
      </c>
      <c r="D64" t="s">
        <v>89</v>
      </c>
      <c r="E64">
        <v>-20</v>
      </c>
      <c r="F64">
        <v>0</v>
      </c>
    </row>
    <row r="65" spans="2:11" x14ac:dyDescent="0.25">
      <c r="B65">
        <v>81</v>
      </c>
      <c r="C65" t="s">
        <v>144</v>
      </c>
      <c r="D65" t="s">
        <v>89</v>
      </c>
      <c r="E65">
        <v>-16.8297323695</v>
      </c>
      <c r="F65">
        <v>0</v>
      </c>
    </row>
    <row r="66" spans="2:11" x14ac:dyDescent="0.25">
      <c r="B66">
        <v>82</v>
      </c>
      <c r="C66" t="s">
        <v>145</v>
      </c>
      <c r="D66" t="s">
        <v>89</v>
      </c>
      <c r="E66">
        <v>-30</v>
      </c>
      <c r="F66">
        <v>0</v>
      </c>
    </row>
    <row r="67" spans="2:11" x14ac:dyDescent="0.25">
      <c r="B67">
        <v>83</v>
      </c>
      <c r="C67" t="s">
        <v>146</v>
      </c>
      <c r="D67" t="s">
        <v>89</v>
      </c>
      <c r="E67">
        <v>0</v>
      </c>
      <c r="F67">
        <v>0</v>
      </c>
    </row>
    <row r="68" spans="2:11" x14ac:dyDescent="0.25">
      <c r="B68">
        <v>84</v>
      </c>
      <c r="C68" t="s">
        <v>147</v>
      </c>
      <c r="D68" t="s">
        <v>89</v>
      </c>
      <c r="E68">
        <v>-3.8243167264700002</v>
      </c>
      <c r="F68">
        <v>0</v>
      </c>
    </row>
    <row r="69" spans="2:11" x14ac:dyDescent="0.25">
      <c r="B69">
        <v>98</v>
      </c>
      <c r="C69" t="s">
        <v>148</v>
      </c>
      <c r="D69" t="s">
        <v>89</v>
      </c>
      <c r="E69">
        <v>0</v>
      </c>
      <c r="F69">
        <v>0</v>
      </c>
    </row>
    <row r="70" spans="2:11" x14ac:dyDescent="0.25">
      <c r="B70">
        <v>99</v>
      </c>
      <c r="C70" t="s">
        <v>149</v>
      </c>
      <c r="D70" t="s">
        <v>120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240</v>
      </c>
      <c r="D73" t="s">
        <v>237</v>
      </c>
      <c r="E73">
        <v>29</v>
      </c>
      <c r="F73" t="s">
        <v>238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U62"/>
  <sheetViews>
    <sheetView workbookViewId="0">
      <selection activeCell="H10" sqref="H10"/>
    </sheetView>
  </sheetViews>
  <sheetFormatPr defaultRowHeight="15" x14ac:dyDescent="0.25"/>
  <cols>
    <col min="1" max="1" bestFit="true" customWidth="true" width="12.710937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6" t="s">
        <v>220</v>
      </c>
      <c r="R1" s="56" t="s">
        <v>254</v>
      </c>
    </row>
    <row r="2" spans="1:21" x14ac:dyDescent="0.25">
      <c r="B2" s="11"/>
      <c r="F2" s="11"/>
      <c r="K2">
        <v>1</v>
      </c>
      <c r="L2" t="s">
        <v>258</v>
      </c>
      <c r="T2" t="s">
        <v>252</v>
      </c>
      <c r="U2" t="s">
        <v>253</v>
      </c>
    </row>
    <row r="3" spans="1:21" x14ac:dyDescent="0.25">
      <c r="K3">
        <v>2</v>
      </c>
      <c r="L3" t="s">
        <v>256</v>
      </c>
      <c r="R3">
        <v>1</v>
      </c>
      <c r="S3" t="s">
        <v>88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255</v>
      </c>
      <c r="R4">
        <v>2</v>
      </c>
      <c r="S4" t="s">
        <v>90</v>
      </c>
      <c r="T4" s="60">
        <f>SchoolLocationCoefficient!E12</f>
        <v>1</v>
      </c>
      <c r="U4" s="61">
        <f t="shared" ref="U4:U62" si="0">T4</f>
        <v>1</v>
      </c>
    </row>
    <row r="5" spans="1:21" x14ac:dyDescent="0.25">
      <c r="E5" s="7"/>
      <c r="F5" s="34"/>
      <c r="G5" s="34"/>
      <c r="H5" s="84" t="s">
        <v>264</v>
      </c>
      <c r="I5" s="34"/>
      <c r="R5">
        <v>3</v>
      </c>
      <c r="S5" t="s">
        <v>91</v>
      </c>
      <c r="T5" s="60">
        <f>SchoolLocationCoefficient!E13</f>
        <v>1</v>
      </c>
      <c r="U5" s="61">
        <f t="shared" si="0"/>
        <v>1</v>
      </c>
    </row>
    <row r="6" spans="1:21" ht="15.75" thickBot="1" x14ac:dyDescent="0.3">
      <c r="A6" s="56" t="s">
        <v>241</v>
      </c>
      <c r="E6" s="80" t="s">
        <v>259</v>
      </c>
      <c r="F6" s="34"/>
      <c r="G6" s="34"/>
      <c r="H6" s="84" t="s">
        <v>265</v>
      </c>
      <c r="I6" s="34"/>
      <c r="R6">
        <v>4</v>
      </c>
      <c r="S6" t="s">
        <v>92</v>
      </c>
      <c r="T6" s="60">
        <f>SchoolLocationCoefficient!E14</f>
        <v>0.5</v>
      </c>
      <c r="U6" s="61">
        <f t="shared" si="0"/>
        <v>0.5</v>
      </c>
    </row>
    <row r="7" spans="1:21" x14ac:dyDescent="0.25">
      <c r="A7" s="5" t="s">
        <v>2</v>
      </c>
      <c r="B7" s="5" t="s">
        <v>219</v>
      </c>
      <c r="C7" s="5" t="s">
        <v>242</v>
      </c>
      <c r="D7" s="7"/>
      <c r="E7" s="5" t="s">
        <v>2</v>
      </c>
      <c r="F7" s="5" t="s">
        <v>219</v>
      </c>
      <c r="G7" s="5" t="s">
        <v>242</v>
      </c>
      <c r="H7" t="s">
        <v>263</v>
      </c>
      <c r="I7" s="5" t="s">
        <v>251</v>
      </c>
      <c r="J7" s="5" t="s">
        <v>247</v>
      </c>
      <c r="K7" s="5" t="s">
        <v>248</v>
      </c>
      <c r="L7" s="5" t="s">
        <v>249</v>
      </c>
      <c r="M7" s="5" t="s">
        <v>250</v>
      </c>
      <c r="R7">
        <v>5</v>
      </c>
      <c r="S7" t="s">
        <v>93</v>
      </c>
      <c r="T7" s="60">
        <f>SchoolLocationCoefficient!E15</f>
        <v>0.1</v>
      </c>
      <c r="U7" s="61">
        <f t="shared" si="0"/>
        <v>0.1</v>
      </c>
    </row>
    <row r="8" spans="1:21" x14ac:dyDescent="0.25">
      <c r="A8" s="58" t="s">
        <v>243</v>
      </c>
      <c r="B8" s="13">
        <f>TLFD!B11</f>
        <v>9863.4429609987219</v>
      </c>
      <c r="C8" s="13">
        <f>TLFD!H11</f>
        <v>35797</v>
      </c>
      <c r="D8" s="7"/>
      <c r="E8" s="58" t="s">
        <v>243</v>
      </c>
      <c r="F8" s="76">
        <f>B8/B$11</f>
        <v>5.8741349197519693E-2</v>
      </c>
      <c r="G8" s="76">
        <f>C8/C$11</f>
        <v>0.16298775212857988</v>
      </c>
      <c r="H8" s="7">
        <v>1</v>
      </c>
      <c r="I8">
        <v>10</v>
      </c>
      <c r="J8" s="9">
        <f>F8/G8</f>
        <v>0.3604034562743037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94</v>
      </c>
      <c r="T8" s="60">
        <f>SchoolLocationCoefficient!E16</f>
        <v>1</v>
      </c>
      <c r="U8" s="61">
        <f t="shared" si="0"/>
        <v>1</v>
      </c>
    </row>
    <row r="9" spans="1:21" x14ac:dyDescent="0.25">
      <c r="A9" s="58" t="s">
        <v>245</v>
      </c>
      <c r="B9" s="13">
        <f>SUM(TLFD!B12:B15)</f>
        <v>98586.534588289593</v>
      </c>
      <c r="C9" s="13">
        <f>SUM(TLFD!H12:H15)</f>
        <v>116151</v>
      </c>
      <c r="E9" s="58" t="s">
        <v>245</v>
      </c>
      <c r="F9" s="76">
        <f t="shared" ref="F9:F10" si="1">B9/B$11</f>
        <v>0.58712825504469635</v>
      </c>
      <c r="G9" s="76">
        <f t="shared" ref="G9:G10" si="2">C9/C$11</f>
        <v>0.52884851796202703</v>
      </c>
      <c r="H9">
        <v>0.1</v>
      </c>
      <c r="I9">
        <v>11</v>
      </c>
      <c r="J9" s="9">
        <f t="shared" ref="J9:J10" si="3">F9/G9</f>
        <v>1.1102011920299151</v>
      </c>
      <c r="K9" s="9">
        <f>(LN(J9)-LN(J8))*H9</f>
        <v>0.11250724161683689</v>
      </c>
      <c r="L9" s="60">
        <f t="shared" ref="L9:L10" si="4">T13</f>
        <v>-11.245247773539999</v>
      </c>
      <c r="M9" s="60">
        <f t="shared" ref="M9:M10" si="5">L9+K9</f>
        <v>-11.132740531923162</v>
      </c>
      <c r="R9">
        <v>7</v>
      </c>
      <c r="S9" t="s">
        <v>95</v>
      </c>
      <c r="T9" s="60">
        <f>SchoolLocationCoefficient!E17</f>
        <v>-21.977719252</v>
      </c>
      <c r="U9" s="61">
        <f t="shared" si="0"/>
        <v>-21.977719252</v>
      </c>
    </row>
    <row r="10" spans="1:21" x14ac:dyDescent="0.25">
      <c r="A10" s="71" t="s">
        <v>246</v>
      </c>
      <c r="B10" s="72">
        <f>SUM(TLFD!B16:B101)</f>
        <v>59463.13809660152</v>
      </c>
      <c r="C10" s="72">
        <f>SUM(TLFD!H16:H101)</f>
        <v>67682</v>
      </c>
      <c r="E10" s="71" t="s">
        <v>246</v>
      </c>
      <c r="F10" s="79">
        <f t="shared" si="1"/>
        <v>0.35413039575778399</v>
      </c>
      <c r="G10" s="79">
        <f t="shared" si="2"/>
        <v>0.30816372990939306</v>
      </c>
      <c r="H10">
        <v>0.25</v>
      </c>
      <c r="I10" s="6">
        <v>12</v>
      </c>
      <c r="J10" s="18">
        <f t="shared" si="3"/>
        <v>1.1491631278668197</v>
      </c>
      <c r="K10" s="18">
        <f>(LN(J10)-LN(J9)-LN(J8))*H10</f>
        <v>0.26375596819266817</v>
      </c>
      <c r="L10" s="78">
        <f t="shared" si="4"/>
        <v>-4.2752113423699996</v>
      </c>
      <c r="M10" s="78">
        <f t="shared" si="5"/>
        <v>-4.0114553741773316</v>
      </c>
      <c r="R10">
        <v>8</v>
      </c>
      <c r="S10" t="s">
        <v>96</v>
      </c>
      <c r="T10" s="60">
        <f>SchoolLocationCoefficient!E18</f>
        <v>-1.4857940511400001</v>
      </c>
      <c r="U10" s="61">
        <f t="shared" si="0"/>
        <v>-1.4857940511400001</v>
      </c>
    </row>
    <row r="11" spans="1:21" ht="15.75" thickBot="1" x14ac:dyDescent="0.3">
      <c r="A11" s="74" t="s">
        <v>3</v>
      </c>
      <c r="B11" s="75">
        <f>SUM(B8:B10)</f>
        <v>167913.11564588983</v>
      </c>
      <c r="C11" s="75">
        <f>SUM(C8:C10)</f>
        <v>219630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97</v>
      </c>
      <c r="T11" s="60">
        <f>SchoolLocationCoefficient!E19</f>
        <v>-4.85028348146</v>
      </c>
      <c r="U11" s="61">
        <f t="shared" si="0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98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99</v>
      </c>
      <c r="T13" s="60">
        <f>SchoolLocationCoefficient!E21</f>
        <v>-11.245247773539999</v>
      </c>
      <c r="U13" s="61">
        <f t="shared" ref="U13:U14" si="6">M9</f>
        <v>-11.132740531923162</v>
      </c>
    </row>
    <row r="14" spans="1:21" x14ac:dyDescent="0.25">
      <c r="A14" s="64" t="s">
        <v>257</v>
      </c>
      <c r="R14" s="62">
        <v>12</v>
      </c>
      <c r="S14" s="62" t="s">
        <v>100</v>
      </c>
      <c r="T14" s="60">
        <f>SchoolLocationCoefficient!E22</f>
        <v>-4.2752113423699996</v>
      </c>
      <c r="U14" s="61">
        <f t="shared" si="6"/>
        <v>-4.0114553741773316</v>
      </c>
    </row>
    <row r="15" spans="1:21" ht="15.75" thickBot="1" x14ac:dyDescent="0.3">
      <c r="R15">
        <v>13</v>
      </c>
      <c r="S15" t="s">
        <v>101</v>
      </c>
      <c r="T15" s="60">
        <f>SchoolLocationCoefficient!E23</f>
        <v>-6.5192578502799998</v>
      </c>
      <c r="U15" s="61">
        <f t="shared" si="0"/>
        <v>-6.5192578502799998</v>
      </c>
    </row>
    <row r="16" spans="1:21" x14ac:dyDescent="0.25">
      <c r="A16" s="5" t="s">
        <v>2</v>
      </c>
      <c r="B16" s="5" t="s">
        <v>219</v>
      </c>
      <c r="C16" s="5" t="s">
        <v>242</v>
      </c>
      <c r="D16" s="59"/>
      <c r="E16" s="5" t="s">
        <v>2</v>
      </c>
      <c r="F16" s="5" t="s">
        <v>219</v>
      </c>
      <c r="G16" s="5" t="s">
        <v>242</v>
      </c>
      <c r="I16" s="5" t="s">
        <v>251</v>
      </c>
      <c r="J16" s="5" t="s">
        <v>247</v>
      </c>
      <c r="K16" s="5" t="s">
        <v>248</v>
      </c>
      <c r="L16" s="5" t="s">
        <v>249</v>
      </c>
      <c r="M16" s="5" t="s">
        <v>250</v>
      </c>
      <c r="R16">
        <v>14</v>
      </c>
      <c r="S16" t="s">
        <v>102</v>
      </c>
      <c r="T16" s="60">
        <f>SchoolLocationCoefficient!E24</f>
        <v>-3.04866060786</v>
      </c>
      <c r="U16" s="61">
        <f t="shared" si="0"/>
        <v>-3.04866060786</v>
      </c>
    </row>
    <row r="17" spans="1:21" x14ac:dyDescent="0.25">
      <c r="A17" s="65" t="s">
        <v>244</v>
      </c>
      <c r="B17" s="66">
        <f>SchoolAtHome!E14</f>
        <v>4956.3420405901934</v>
      </c>
      <c r="C17" s="66">
        <f>SchoolAtHome!L14</f>
        <v>6639</v>
      </c>
      <c r="E17" s="65" t="s">
        <v>244</v>
      </c>
      <c r="F17" s="81">
        <f>B17/B18</f>
        <v>1.9699446022187941E-2</v>
      </c>
      <c r="G17" s="81">
        <f>C17/C18</f>
        <v>1.942921024752562E-2</v>
      </c>
      <c r="I17" s="67">
        <v>50</v>
      </c>
      <c r="J17" s="68">
        <f>F17/G17</f>
        <v>1.0139087369594313</v>
      </c>
      <c r="K17" s="68">
        <f>LN(J17)</f>
        <v>1.3812898119890031E-2</v>
      </c>
      <c r="L17" s="83">
        <f>T33</f>
        <v>-49.658779198200001</v>
      </c>
      <c r="M17" s="82">
        <f t="shared" ref="M17" si="7">L17+K17</f>
        <v>-49.644966300080114</v>
      </c>
      <c r="R17">
        <v>15</v>
      </c>
      <c r="S17" t="s">
        <v>103</v>
      </c>
      <c r="T17" s="60">
        <f>SchoolLocationCoefficient!E25</f>
        <v>0</v>
      </c>
      <c r="U17" s="61">
        <f t="shared" si="0"/>
        <v>0</v>
      </c>
    </row>
    <row r="18" spans="1:21" ht="15.75" thickBot="1" x14ac:dyDescent="0.3">
      <c r="A18" s="12" t="s">
        <v>3</v>
      </c>
      <c r="B18" s="12">
        <f>SchoolAtHome!E25</f>
        <v>251598.04164075229</v>
      </c>
      <c r="C18" s="12">
        <f>SchoolAtHome!L25</f>
        <v>341702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104</v>
      </c>
      <c r="T18" s="60">
        <f>SchoolLocationCoefficient!E26</f>
        <v>-2.2084934246199999</v>
      </c>
      <c r="U18" s="61">
        <f t="shared" si="0"/>
        <v>-2.2084934246199999</v>
      </c>
    </row>
    <row r="19" spans="1:21" x14ac:dyDescent="0.25">
      <c r="R19">
        <v>17</v>
      </c>
      <c r="S19" t="s">
        <v>105</v>
      </c>
      <c r="T19" s="60">
        <f>SchoolLocationCoefficient!E27</f>
        <v>0</v>
      </c>
      <c r="U19" s="61">
        <f t="shared" si="0"/>
        <v>0</v>
      </c>
    </row>
    <row r="20" spans="1:21" x14ac:dyDescent="0.25">
      <c r="R20">
        <v>18</v>
      </c>
      <c r="S20" t="s">
        <v>106</v>
      </c>
      <c r="T20" s="60">
        <f>SchoolLocationCoefficient!E28</f>
        <v>0</v>
      </c>
      <c r="U20" s="61">
        <f t="shared" si="0"/>
        <v>0</v>
      </c>
    </row>
    <row r="21" spans="1:21" x14ac:dyDescent="0.25">
      <c r="R21">
        <v>19</v>
      </c>
      <c r="S21" t="s">
        <v>107</v>
      </c>
      <c r="T21" s="60">
        <f>SchoolLocationCoefficient!E29</f>
        <v>0</v>
      </c>
      <c r="U21" s="61">
        <f t="shared" si="0"/>
        <v>0</v>
      </c>
    </row>
    <row r="22" spans="1:21" x14ac:dyDescent="0.25">
      <c r="G22" s="7"/>
      <c r="R22">
        <v>20</v>
      </c>
      <c r="S22" t="s">
        <v>108</v>
      </c>
      <c r="T22" s="60">
        <f>SchoolLocationCoefficient!E30</f>
        <v>0</v>
      </c>
      <c r="U22" s="61">
        <f t="shared" si="0"/>
        <v>0</v>
      </c>
    </row>
    <row r="23" spans="1:21" x14ac:dyDescent="0.25">
      <c r="G23" s="7"/>
      <c r="R23">
        <v>21</v>
      </c>
      <c r="S23" t="s">
        <v>109</v>
      </c>
      <c r="T23" s="60">
        <f>SchoolLocationCoefficient!E31</f>
        <v>0</v>
      </c>
      <c r="U23" s="61">
        <f t="shared" si="0"/>
        <v>0</v>
      </c>
    </row>
    <row r="24" spans="1:21" x14ac:dyDescent="0.25">
      <c r="R24">
        <v>30</v>
      </c>
      <c r="S24" t="s">
        <v>110</v>
      </c>
      <c r="T24" s="60">
        <f>SchoolLocationCoefficient!E32</f>
        <v>0</v>
      </c>
      <c r="U24" s="61">
        <f t="shared" si="0"/>
        <v>0</v>
      </c>
    </row>
    <row r="25" spans="1:21" x14ac:dyDescent="0.25">
      <c r="R25">
        <v>31</v>
      </c>
      <c r="S25" t="s">
        <v>111</v>
      </c>
      <c r="T25" s="60">
        <f>SchoolLocationCoefficient!E33</f>
        <v>0</v>
      </c>
      <c r="U25" s="61">
        <f t="shared" si="0"/>
        <v>0</v>
      </c>
    </row>
    <row r="26" spans="1:21" x14ac:dyDescent="0.25">
      <c r="R26">
        <v>32</v>
      </c>
      <c r="S26" t="s">
        <v>112</v>
      </c>
      <c r="T26" s="60">
        <f>SchoolLocationCoefficient!E34</f>
        <v>0</v>
      </c>
      <c r="U26" s="61">
        <f t="shared" si="0"/>
        <v>0</v>
      </c>
    </row>
    <row r="27" spans="1:21" x14ac:dyDescent="0.25">
      <c r="R27">
        <v>33</v>
      </c>
      <c r="S27" t="s">
        <v>113</v>
      </c>
      <c r="T27" s="60">
        <f>SchoolLocationCoefficient!E35</f>
        <v>0.20475756801299999</v>
      </c>
      <c r="U27" s="61">
        <f t="shared" si="0"/>
        <v>0.20475756801299999</v>
      </c>
    </row>
    <row r="28" spans="1:21" x14ac:dyDescent="0.25">
      <c r="J28" t="s">
        <v>260</v>
      </c>
      <c r="R28">
        <v>34</v>
      </c>
      <c r="S28" t="s">
        <v>114</v>
      </c>
      <c r="T28" s="60">
        <f>SchoolLocationCoefficient!E36</f>
        <v>0.73914409694299998</v>
      </c>
      <c r="U28" s="61">
        <f t="shared" si="0"/>
        <v>0.73914409694299998</v>
      </c>
    </row>
    <row r="29" spans="1:21" x14ac:dyDescent="0.25">
      <c r="J29" t="s">
        <v>261</v>
      </c>
      <c r="R29">
        <v>35</v>
      </c>
      <c r="S29" t="s">
        <v>115</v>
      </c>
      <c r="T29" s="60">
        <f>SchoolLocationCoefficient!E37</f>
        <v>0.91950533972299997</v>
      </c>
      <c r="U29" s="61">
        <f t="shared" si="0"/>
        <v>0.91950533972299997</v>
      </c>
    </row>
    <row r="30" spans="1:21" x14ac:dyDescent="0.25">
      <c r="J30" t="s">
        <v>262</v>
      </c>
      <c r="R30">
        <v>36</v>
      </c>
      <c r="S30" t="s">
        <v>116</v>
      </c>
      <c r="T30" s="60">
        <f>SchoolLocationCoefficient!E38</f>
        <v>0</v>
      </c>
      <c r="U30" s="61">
        <f t="shared" si="0"/>
        <v>0</v>
      </c>
    </row>
    <row r="31" spans="1:21" x14ac:dyDescent="0.25">
      <c r="R31">
        <v>37</v>
      </c>
      <c r="S31" t="s">
        <v>117</v>
      </c>
      <c r="T31" s="60">
        <f>SchoolLocationCoefficient!E39</f>
        <v>0.47967991030399998</v>
      </c>
      <c r="U31" s="61">
        <f t="shared" si="0"/>
        <v>0.47967991030399998</v>
      </c>
    </row>
    <row r="32" spans="1:21" x14ac:dyDescent="0.25">
      <c r="R32">
        <v>38</v>
      </c>
      <c r="S32" t="s">
        <v>118</v>
      </c>
      <c r="T32" s="60">
        <f>SchoolLocationCoefficient!E40</f>
        <v>-0.117361085083</v>
      </c>
      <c r="U32" s="61">
        <f t="shared" si="0"/>
        <v>-0.117361085083</v>
      </c>
    </row>
    <row r="33" spans="18:21" x14ac:dyDescent="0.25">
      <c r="R33" s="62">
        <v>50</v>
      </c>
      <c r="S33" s="62" t="s">
        <v>119</v>
      </c>
      <c r="T33" s="60">
        <f>SchoolLocationCoefficient!E41</f>
        <v>-49.658779198200001</v>
      </c>
      <c r="U33" s="63">
        <f>M17</f>
        <v>-49.644966300080114</v>
      </c>
    </row>
    <row r="34" spans="18:21" x14ac:dyDescent="0.25">
      <c r="R34">
        <v>51</v>
      </c>
      <c r="S34" t="s">
        <v>121</v>
      </c>
      <c r="T34" s="60">
        <f>SchoolLocationCoefficient!E42</f>
        <v>17.602734273900001</v>
      </c>
      <c r="U34" s="61">
        <f t="shared" si="0"/>
        <v>17.602734273900001</v>
      </c>
    </row>
    <row r="35" spans="18:21" x14ac:dyDescent="0.25">
      <c r="R35">
        <v>52</v>
      </c>
      <c r="S35" t="s">
        <v>122</v>
      </c>
      <c r="T35" s="60">
        <f>SchoolLocationCoefficient!E43</f>
        <v>4.20952630757</v>
      </c>
      <c r="U35" s="61">
        <f t="shared" si="0"/>
        <v>4.20952630757</v>
      </c>
    </row>
    <row r="36" spans="18:21" x14ac:dyDescent="0.25">
      <c r="R36">
        <v>60</v>
      </c>
      <c r="S36" t="s">
        <v>123</v>
      </c>
      <c r="T36" s="60">
        <f>SchoolLocationCoefficient!E44</f>
        <v>0.20359321296800001</v>
      </c>
      <c r="U36" s="61">
        <f t="shared" si="0"/>
        <v>0.20359321296800001</v>
      </c>
    </row>
    <row r="37" spans="18:21" x14ac:dyDescent="0.25">
      <c r="R37">
        <v>61</v>
      </c>
      <c r="S37" t="s">
        <v>124</v>
      </c>
      <c r="T37" s="60">
        <f>SchoolLocationCoefficient!E45</f>
        <v>-3.7139025588600001</v>
      </c>
      <c r="U37" s="61">
        <f t="shared" si="0"/>
        <v>-3.7139025588600001</v>
      </c>
    </row>
    <row r="38" spans="18:21" x14ac:dyDescent="0.25">
      <c r="R38">
        <v>62</v>
      </c>
      <c r="S38" t="s">
        <v>125</v>
      </c>
      <c r="T38" s="60">
        <f>SchoolLocationCoefficient!E46</f>
        <v>-14.9292134206</v>
      </c>
      <c r="U38" s="61">
        <f t="shared" si="0"/>
        <v>-14.9292134206</v>
      </c>
    </row>
    <row r="39" spans="18:21" x14ac:dyDescent="0.25">
      <c r="R39">
        <v>63</v>
      </c>
      <c r="S39" t="s">
        <v>126</v>
      </c>
      <c r="T39" s="60">
        <f>SchoolLocationCoefficient!E47</f>
        <v>-18.363643827400001</v>
      </c>
      <c r="U39" s="61">
        <f t="shared" si="0"/>
        <v>-18.363643827400001</v>
      </c>
    </row>
    <row r="40" spans="18:21" x14ac:dyDescent="0.25">
      <c r="R40">
        <v>64</v>
      </c>
      <c r="S40" t="s">
        <v>127</v>
      </c>
      <c r="T40" s="60">
        <f>SchoolLocationCoefficient!E48</f>
        <v>-19.6107408341</v>
      </c>
      <c r="U40" s="61">
        <f t="shared" si="0"/>
        <v>-19.6107408341</v>
      </c>
    </row>
    <row r="41" spans="18:21" x14ac:dyDescent="0.25">
      <c r="R41">
        <v>65</v>
      </c>
      <c r="S41" t="s">
        <v>128</v>
      </c>
      <c r="T41" s="60">
        <f>SchoolLocationCoefficient!E49</f>
        <v>-29.386377866</v>
      </c>
      <c r="U41" s="61">
        <f t="shared" si="0"/>
        <v>-29.386377866</v>
      </c>
    </row>
    <row r="42" spans="18:21" x14ac:dyDescent="0.25">
      <c r="R42">
        <v>66</v>
      </c>
      <c r="S42" t="s">
        <v>129</v>
      </c>
      <c r="T42" s="60">
        <f>SchoolLocationCoefficient!E50</f>
        <v>0</v>
      </c>
      <c r="U42" s="61">
        <f t="shared" si="0"/>
        <v>0</v>
      </c>
    </row>
    <row r="43" spans="18:21" x14ac:dyDescent="0.25">
      <c r="R43">
        <v>67</v>
      </c>
      <c r="S43" t="s">
        <v>130</v>
      </c>
      <c r="T43" s="60">
        <f>SchoolLocationCoefficient!E51</f>
        <v>-6.7290240321499999</v>
      </c>
      <c r="U43" s="61">
        <f t="shared" si="0"/>
        <v>-6.7290240321499999</v>
      </c>
    </row>
    <row r="44" spans="18:21" x14ac:dyDescent="0.25">
      <c r="R44">
        <v>68</v>
      </c>
      <c r="S44" t="s">
        <v>131</v>
      </c>
      <c r="T44" s="60">
        <f>SchoolLocationCoefficient!E52</f>
        <v>-26.1597322567</v>
      </c>
      <c r="U44" s="61">
        <f t="shared" si="0"/>
        <v>-26.1597322567</v>
      </c>
    </row>
    <row r="45" spans="18:21" x14ac:dyDescent="0.25">
      <c r="R45">
        <v>69</v>
      </c>
      <c r="S45" t="s">
        <v>132</v>
      </c>
      <c r="T45" s="60">
        <f>SchoolLocationCoefficient!E53</f>
        <v>-0.14966845132199999</v>
      </c>
      <c r="U45" s="61">
        <f t="shared" si="0"/>
        <v>-0.14966845132199999</v>
      </c>
    </row>
    <row r="46" spans="18:21" x14ac:dyDescent="0.25">
      <c r="R46">
        <v>70</v>
      </c>
      <c r="S46" t="s">
        <v>133</v>
      </c>
      <c r="T46" s="60">
        <f>SchoolLocationCoefficient!E54</f>
        <v>-28.815960729</v>
      </c>
      <c r="U46" s="61">
        <f t="shared" si="0"/>
        <v>-28.815960729</v>
      </c>
    </row>
    <row r="47" spans="18:21" x14ac:dyDescent="0.25">
      <c r="R47">
        <v>71</v>
      </c>
      <c r="S47" t="s">
        <v>134</v>
      </c>
      <c r="T47" s="60">
        <f>SchoolLocationCoefficient!E55</f>
        <v>-38.204969650199999</v>
      </c>
      <c r="U47" s="61">
        <f t="shared" si="0"/>
        <v>-38.204969650199999</v>
      </c>
    </row>
    <row r="48" spans="18:21" x14ac:dyDescent="0.25">
      <c r="R48">
        <v>72</v>
      </c>
      <c r="S48" t="s">
        <v>135</v>
      </c>
      <c r="T48" s="60">
        <f>SchoolLocationCoefficient!E56</f>
        <v>0</v>
      </c>
      <c r="U48" s="61">
        <f t="shared" si="0"/>
        <v>0</v>
      </c>
    </row>
    <row r="49" spans="18:21" x14ac:dyDescent="0.25">
      <c r="R49">
        <v>73</v>
      </c>
      <c r="S49" t="s">
        <v>136</v>
      </c>
      <c r="T49" s="60">
        <f>SchoolLocationCoefficient!E57</f>
        <v>-0.78460574570499997</v>
      </c>
      <c r="U49" s="61">
        <f t="shared" si="0"/>
        <v>-0.78460574570499997</v>
      </c>
    </row>
    <row r="50" spans="18:21" x14ac:dyDescent="0.25">
      <c r="R50">
        <v>74</v>
      </c>
      <c r="S50" t="s">
        <v>137</v>
      </c>
      <c r="T50" s="60">
        <f>SchoolLocationCoefficient!E58</f>
        <v>-60</v>
      </c>
      <c r="U50" s="61">
        <f t="shared" si="0"/>
        <v>-60</v>
      </c>
    </row>
    <row r="51" spans="18:21" x14ac:dyDescent="0.25">
      <c r="R51">
        <v>75</v>
      </c>
      <c r="S51" t="s">
        <v>138</v>
      </c>
      <c r="T51" s="60">
        <f>SchoolLocationCoefficient!E59</f>
        <v>-40</v>
      </c>
      <c r="U51" s="61">
        <f t="shared" si="0"/>
        <v>-40</v>
      </c>
    </row>
    <row r="52" spans="18:21" x14ac:dyDescent="0.25">
      <c r="R52">
        <v>76</v>
      </c>
      <c r="S52" t="s">
        <v>139</v>
      </c>
      <c r="T52" s="60">
        <f>SchoolLocationCoefficient!E60</f>
        <v>-19.3366724551</v>
      </c>
      <c r="U52" s="61">
        <f t="shared" si="0"/>
        <v>-19.3366724551</v>
      </c>
    </row>
    <row r="53" spans="18:21" x14ac:dyDescent="0.25">
      <c r="R53">
        <v>77</v>
      </c>
      <c r="S53" t="s">
        <v>140</v>
      </c>
      <c r="T53" s="60">
        <f>SchoolLocationCoefficient!E61</f>
        <v>-29.8899113495</v>
      </c>
      <c r="U53" s="61">
        <f t="shared" si="0"/>
        <v>-29.8899113495</v>
      </c>
    </row>
    <row r="54" spans="18:21" x14ac:dyDescent="0.25">
      <c r="R54">
        <v>78</v>
      </c>
      <c r="S54" t="s">
        <v>141</v>
      </c>
      <c r="T54" s="60">
        <f>SchoolLocationCoefficient!E62</f>
        <v>0</v>
      </c>
      <c r="U54" s="61">
        <f t="shared" si="0"/>
        <v>0</v>
      </c>
    </row>
    <row r="55" spans="18:21" x14ac:dyDescent="0.25">
      <c r="R55">
        <v>79</v>
      </c>
      <c r="S55" t="s">
        <v>142</v>
      </c>
      <c r="T55" s="60">
        <f>SchoolLocationCoefficient!E63</f>
        <v>-4.6085602533700003</v>
      </c>
      <c r="U55" s="61">
        <f t="shared" si="0"/>
        <v>-4.6085602533700003</v>
      </c>
    </row>
    <row r="56" spans="18:21" x14ac:dyDescent="0.25">
      <c r="R56">
        <v>80</v>
      </c>
      <c r="S56" t="s">
        <v>143</v>
      </c>
      <c r="T56" s="60">
        <f>SchoolLocationCoefficient!E64</f>
        <v>-20</v>
      </c>
      <c r="U56" s="61">
        <f t="shared" si="0"/>
        <v>-20</v>
      </c>
    </row>
    <row r="57" spans="18:21" x14ac:dyDescent="0.25">
      <c r="R57">
        <v>81</v>
      </c>
      <c r="S57" t="s">
        <v>144</v>
      </c>
      <c r="T57" s="60">
        <f>SchoolLocationCoefficient!E65</f>
        <v>-16.8297323695</v>
      </c>
      <c r="U57" s="61">
        <f t="shared" si="0"/>
        <v>-16.8297323695</v>
      </c>
    </row>
    <row r="58" spans="18:21" x14ac:dyDescent="0.25">
      <c r="R58">
        <v>82</v>
      </c>
      <c r="S58" t="s">
        <v>145</v>
      </c>
      <c r="T58" s="60">
        <f>SchoolLocationCoefficient!E66</f>
        <v>-30</v>
      </c>
      <c r="U58" s="61">
        <f t="shared" si="0"/>
        <v>-30</v>
      </c>
    </row>
    <row r="59" spans="18:21" x14ac:dyDescent="0.25">
      <c r="R59">
        <v>83</v>
      </c>
      <c r="S59" t="s">
        <v>146</v>
      </c>
      <c r="T59" s="60">
        <f>SchoolLocationCoefficient!E67</f>
        <v>0</v>
      </c>
      <c r="U59" s="61">
        <f t="shared" si="0"/>
        <v>0</v>
      </c>
    </row>
    <row r="60" spans="18:21" x14ac:dyDescent="0.25">
      <c r="R60">
        <v>84</v>
      </c>
      <c r="S60" t="s">
        <v>147</v>
      </c>
      <c r="T60" s="60">
        <f>SchoolLocationCoefficient!E68</f>
        <v>-3.8243167264700002</v>
      </c>
      <c r="U60" s="61">
        <f t="shared" si="0"/>
        <v>-3.8243167264700002</v>
      </c>
    </row>
    <row r="61" spans="18:21" x14ac:dyDescent="0.25">
      <c r="R61">
        <v>98</v>
      </c>
      <c r="S61" t="s">
        <v>148</v>
      </c>
      <c r="T61" s="60">
        <f>SchoolLocationCoefficient!E69</f>
        <v>0</v>
      </c>
      <c r="U61" s="61">
        <f t="shared" si="0"/>
        <v>0</v>
      </c>
    </row>
    <row r="62" spans="18:21" x14ac:dyDescent="0.25">
      <c r="R62">
        <v>99</v>
      </c>
      <c r="S62" t="s">
        <v>149</v>
      </c>
      <c r="T62" s="60">
        <f>SchoolLocationCoefficient!E70</f>
        <v>0.11248071060500001</v>
      </c>
      <c r="U62" s="61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Bhargava Sana</cp:lastModifiedBy>
  <dcterms:modified xsi:type="dcterms:W3CDTF">2015-04-16T00:36:56Z</dcterms:modified>
</cp:coreProperties>
</file>