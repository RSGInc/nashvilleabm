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30" windowWidth="24795" windowHeight="11205"/>
  </bookViews>
  <sheets>
    <sheet name="AllPurposes" sheetId="11" r:id="rId1"/>
    <sheet name="Work" sheetId="1" r:id="rId2"/>
    <sheet name="School" sheetId="4" r:id="rId3"/>
    <sheet name="Escort" sheetId="5" r:id="rId4"/>
    <sheet name="Personal_Business" sheetId="10" r:id="rId5"/>
    <sheet name="Shop" sheetId="8" r:id="rId6"/>
    <sheet name="Meal" sheetId="6" r:id="rId7"/>
    <sheet name="SocRec" sheetId="9" r:id="rId8"/>
    <sheet name="Workbased" sheetId="7" r:id="rId9"/>
    <sheet name="Documentation" sheetId="12" r:id="rId10"/>
  </sheets>
  <definedNames>
    <definedName name="purp1">Work!$G$4:$H$12</definedName>
    <definedName name="purp2">School!$G$4:$H$12</definedName>
    <definedName name="purp3">Escort!$G$4:$H$12</definedName>
    <definedName name="purp4">Personal_Business!$G$4:$H$12</definedName>
    <definedName name="purp5">Shop!$G$4:$H$12</definedName>
    <definedName name="purp6">Meal!$G$4:$H$12</definedName>
    <definedName name="purp7">SocRec!$G$4:$H$12</definedName>
    <definedName name="wb">Workbased!$L$5:$R$12</definedName>
    <definedName name="out1">Work!$B$4:$C$11</definedName>
    <definedName name="out3">School!$B$4:$C$11</definedName>
    <definedName name="out5">Escort!$B$4:$C$11</definedName>
    <definedName name="out7">Personal_Business!$B$4:$C$11</definedName>
    <definedName name="out9">Shop!$B$4:$C$11</definedName>
    <definedName name="out11">Meal!$B$4:$C$11</definedName>
    <definedName name="out13">SocRec!$B$4:$C$11</definedName>
    <definedName name="out15">Workbased!$B$5:$H$11</definedName>
    <definedName name="out2">Work!$G$4:$H$11</definedName>
    <definedName name="out4">School!$G$4:$H$11</definedName>
    <definedName name="out6">Escort!$G$4:$H$11</definedName>
    <definedName name="out8">Personal_Business!$G$4:$H$11</definedName>
    <definedName name="out10">Shop!$G$4:$H$11</definedName>
    <definedName name="out12">Meal!$G$4:$H$11</definedName>
    <definedName name="out14">SocRec!$G$4:$H$11</definedName>
    <definedName name="out16">Workbased!$L$5:$R$11</definedName>
  </definedNames>
  <calcPr calcId="145621"/>
</workbook>
</file>

<file path=xl/calcChain.xml><?xml version="1.0" encoding="utf-8"?>
<calcChain xmlns="http://schemas.openxmlformats.org/spreadsheetml/2006/main">
  <c r="R8" i="11" l="1"/>
  <c r="S8" i="11"/>
  <c r="R9" i="11"/>
  <c r="S9" i="11"/>
  <c r="R10" i="11"/>
  <c r="S10" i="11"/>
  <c r="R11" i="11"/>
  <c r="S11" i="11"/>
  <c r="R12" i="11"/>
  <c r="S12" i="11"/>
  <c r="R13" i="11"/>
  <c r="S13" i="11"/>
  <c r="R14" i="11"/>
  <c r="S14" i="11"/>
  <c r="R15" i="11"/>
  <c r="S15" i="11"/>
  <c r="S7" i="11"/>
  <c r="R7" i="11"/>
  <c r="P8" i="11"/>
  <c r="Q8" i="11"/>
  <c r="P9" i="11"/>
  <c r="Q9" i="11"/>
  <c r="P10" i="11"/>
  <c r="Q10" i="11"/>
  <c r="P11" i="11"/>
  <c r="Q11" i="11"/>
  <c r="P12" i="11"/>
  <c r="Q12" i="11"/>
  <c r="P13" i="11"/>
  <c r="Q13" i="11"/>
  <c r="P14" i="11"/>
  <c r="Q14" i="11"/>
  <c r="P15" i="11"/>
  <c r="Q15" i="11"/>
  <c r="Q7" i="11"/>
  <c r="P7" i="11"/>
  <c r="O15" i="11"/>
  <c r="O8" i="11"/>
  <c r="O9" i="11"/>
  <c r="O10" i="11"/>
  <c r="O11" i="11"/>
  <c r="O12" i="11"/>
  <c r="O13" i="11"/>
  <c r="O14" i="11"/>
  <c r="O7" i="11"/>
  <c r="R12" i="7" l="1"/>
  <c r="Q12" i="7"/>
  <c r="P12" i="7"/>
  <c r="O12" i="7"/>
  <c r="N12" i="7"/>
  <c r="M12" i="7"/>
  <c r="L12" i="7"/>
  <c r="H12" i="1"/>
  <c r="G12" i="1"/>
  <c r="H12" i="5"/>
  <c r="G12" i="5"/>
  <c r="I12" i="5" s="1"/>
  <c r="H12" i="10"/>
  <c r="G12" i="10"/>
  <c r="I12" i="10" s="1"/>
  <c r="H12" i="8"/>
  <c r="G12" i="8"/>
  <c r="I12" i="8" s="1"/>
  <c r="H12" i="6"/>
  <c r="G12" i="6"/>
  <c r="H12" i="9"/>
  <c r="G12" i="9"/>
  <c r="H12" i="4"/>
  <c r="G12" i="4"/>
  <c r="I12" i="9" l="1"/>
  <c r="I12" i="6"/>
  <c r="I12" i="4"/>
  <c r="S11" i="7"/>
  <c r="S10" i="7"/>
  <c r="S9" i="7"/>
  <c r="S8" i="7"/>
  <c r="S7" i="7"/>
  <c r="S6" i="7"/>
  <c r="S5" i="7"/>
  <c r="S12" i="7" l="1"/>
  <c r="C12" i="9"/>
  <c r="B12" i="9"/>
  <c r="C12" i="6"/>
  <c r="B12" i="6"/>
  <c r="C12" i="8"/>
  <c r="B12" i="8"/>
  <c r="C12" i="10"/>
  <c r="B12" i="10"/>
  <c r="C12" i="5"/>
  <c r="B12" i="5"/>
  <c r="C12" i="4"/>
  <c r="B12" i="4"/>
  <c r="D11" i="4"/>
  <c r="D10" i="4"/>
  <c r="D9" i="4"/>
  <c r="D8" i="4"/>
  <c r="D7" i="4"/>
  <c r="D6" i="4"/>
  <c r="D5" i="4"/>
  <c r="D4" i="4"/>
  <c r="I11" i="4"/>
  <c r="I10" i="4"/>
  <c r="I9" i="4"/>
  <c r="I8" i="4"/>
  <c r="I7" i="4"/>
  <c r="I6" i="4"/>
  <c r="I5" i="4"/>
  <c r="I4" i="4"/>
  <c r="I11" i="5"/>
  <c r="I10" i="5"/>
  <c r="I9" i="5"/>
  <c r="I8" i="5"/>
  <c r="I7" i="5"/>
  <c r="I6" i="5"/>
  <c r="I5" i="5"/>
  <c r="I4" i="5"/>
  <c r="D11" i="5"/>
  <c r="D10" i="5"/>
  <c r="D9" i="5"/>
  <c r="D8" i="5"/>
  <c r="D7" i="5"/>
  <c r="D6" i="5"/>
  <c r="D5" i="5"/>
  <c r="D4" i="5"/>
  <c r="D11" i="10"/>
  <c r="D10" i="10"/>
  <c r="D9" i="10"/>
  <c r="D8" i="10"/>
  <c r="D7" i="10"/>
  <c r="D6" i="10"/>
  <c r="D5" i="10"/>
  <c r="D4" i="10"/>
  <c r="I11" i="10"/>
  <c r="I10" i="10"/>
  <c r="I9" i="10"/>
  <c r="I8" i="10"/>
  <c r="I7" i="10"/>
  <c r="I6" i="10"/>
  <c r="I5" i="10"/>
  <c r="I4" i="10"/>
  <c r="I11" i="8"/>
  <c r="I10" i="8"/>
  <c r="I9" i="8"/>
  <c r="I8" i="8"/>
  <c r="I7" i="8"/>
  <c r="I6" i="8"/>
  <c r="I5" i="8"/>
  <c r="I4" i="8"/>
  <c r="D11" i="8"/>
  <c r="D10" i="8"/>
  <c r="D9" i="8"/>
  <c r="D8" i="8"/>
  <c r="D7" i="8"/>
  <c r="D6" i="8"/>
  <c r="D5" i="8"/>
  <c r="D4" i="8"/>
  <c r="D11" i="6"/>
  <c r="D10" i="6"/>
  <c r="D9" i="6"/>
  <c r="D8" i="6"/>
  <c r="D7" i="6"/>
  <c r="D6" i="6"/>
  <c r="D5" i="6"/>
  <c r="D4" i="6"/>
  <c r="I11" i="6"/>
  <c r="I10" i="6"/>
  <c r="I9" i="6"/>
  <c r="I8" i="6"/>
  <c r="I7" i="6"/>
  <c r="I6" i="6"/>
  <c r="I5" i="6"/>
  <c r="I4" i="6"/>
  <c r="I11" i="9"/>
  <c r="I10" i="9"/>
  <c r="I9" i="9"/>
  <c r="I8" i="9"/>
  <c r="I7" i="9"/>
  <c r="I6" i="9"/>
  <c r="I5" i="9"/>
  <c r="I4" i="9"/>
  <c r="D11" i="9"/>
  <c r="D10" i="9"/>
  <c r="D9" i="9"/>
  <c r="D8" i="9"/>
  <c r="D7" i="9"/>
  <c r="D6" i="9"/>
  <c r="D5" i="9"/>
  <c r="D4" i="9"/>
  <c r="I11" i="7"/>
  <c r="I10" i="7"/>
  <c r="I9" i="7"/>
  <c r="I8" i="7"/>
  <c r="I7" i="7"/>
  <c r="I6" i="7"/>
  <c r="I5" i="7"/>
  <c r="H12" i="7"/>
  <c r="G12" i="7"/>
  <c r="F12" i="7"/>
  <c r="E12" i="7"/>
  <c r="D12" i="7"/>
  <c r="C12" i="7"/>
  <c r="B12" i="7"/>
  <c r="I11" i="1"/>
  <c r="E11" i="11" s="1"/>
  <c r="I10" i="1"/>
  <c r="I9" i="1"/>
  <c r="E9" i="11" s="1"/>
  <c r="I8" i="1"/>
  <c r="I7" i="1"/>
  <c r="I6" i="1"/>
  <c r="I5" i="1"/>
  <c r="I4" i="1"/>
  <c r="D11" i="1"/>
  <c r="D10" i="1"/>
  <c r="D9" i="1"/>
  <c r="D8" i="1"/>
  <c r="D7" i="1"/>
  <c r="D6" i="1"/>
  <c r="D5" i="1"/>
  <c r="D4" i="1"/>
  <c r="C12" i="1"/>
  <c r="B12" i="1"/>
  <c r="I12" i="1" l="1"/>
  <c r="E5" i="11"/>
  <c r="E10" i="11"/>
  <c r="E6" i="11"/>
  <c r="E8" i="11"/>
  <c r="E7" i="11"/>
  <c r="B11" i="11"/>
  <c r="B10" i="11"/>
  <c r="D12" i="4"/>
  <c r="B17" i="4" s="1"/>
  <c r="B5" i="11"/>
  <c r="B7" i="11"/>
  <c r="B9" i="11"/>
  <c r="B4" i="11"/>
  <c r="B6" i="11"/>
  <c r="B8" i="11"/>
  <c r="H24" i="6"/>
  <c r="D12" i="9"/>
  <c r="D12" i="10"/>
  <c r="C23" i="10" s="1"/>
  <c r="D12" i="6"/>
  <c r="B25" i="6" s="1"/>
  <c r="D12" i="5"/>
  <c r="D23" i="5" s="1"/>
  <c r="E4" i="11"/>
  <c r="I18" i="8"/>
  <c r="M31" i="8" s="1"/>
  <c r="I12" i="7"/>
  <c r="I22" i="7" s="1"/>
  <c r="C19" i="9"/>
  <c r="D12" i="8"/>
  <c r="D24" i="8" s="1"/>
  <c r="C17" i="10"/>
  <c r="D12" i="1"/>
  <c r="B25" i="1" s="1"/>
  <c r="D24" i="6" l="1"/>
  <c r="L37" i="6" s="1"/>
  <c r="C25" i="9"/>
  <c r="B17" i="9"/>
  <c r="B22" i="9"/>
  <c r="B18" i="9"/>
  <c r="D17" i="5"/>
  <c r="L30" i="5" s="1"/>
  <c r="C19" i="5"/>
  <c r="B21" i="5"/>
  <c r="B22" i="5"/>
  <c r="S23" i="7"/>
  <c r="N21" i="7"/>
  <c r="R21" i="7"/>
  <c r="M21" i="7"/>
  <c r="O21" i="7"/>
  <c r="S21" i="7"/>
  <c r="L21" i="7"/>
  <c r="P21" i="7"/>
  <c r="Q21" i="7"/>
  <c r="H25" i="4"/>
  <c r="G22" i="5"/>
  <c r="I22" i="8"/>
  <c r="M35" i="8" s="1"/>
  <c r="G25" i="10"/>
  <c r="H25" i="9"/>
  <c r="H38" i="9" s="1"/>
  <c r="H20" i="6"/>
  <c r="C25" i="4"/>
  <c r="H25" i="6"/>
  <c r="B21" i="4"/>
  <c r="G17" i="6"/>
  <c r="I17" i="6"/>
  <c r="M30" i="6" s="1"/>
  <c r="B17" i="6"/>
  <c r="G19" i="6"/>
  <c r="D24" i="4"/>
  <c r="L37" i="4" s="1"/>
  <c r="D18" i="6"/>
  <c r="L31" i="6" s="1"/>
  <c r="I22" i="1"/>
  <c r="M35" i="1" s="1"/>
  <c r="B24" i="9"/>
  <c r="D20" i="9"/>
  <c r="L33" i="9" s="1"/>
  <c r="D23" i="9"/>
  <c r="L36" i="9" s="1"/>
  <c r="B20" i="9"/>
  <c r="C24" i="9"/>
  <c r="C23" i="9"/>
  <c r="D22" i="9"/>
  <c r="L35" i="9" s="1"/>
  <c r="D18" i="9"/>
  <c r="L31" i="9" s="1"/>
  <c r="C20" i="9"/>
  <c r="B23" i="9"/>
  <c r="D21" i="9"/>
  <c r="L34" i="9" s="1"/>
  <c r="D19" i="9"/>
  <c r="L32" i="9" s="1"/>
  <c r="D17" i="9"/>
  <c r="L30" i="9" s="1"/>
  <c r="C22" i="9"/>
  <c r="C18" i="9"/>
  <c r="D25" i="9"/>
  <c r="L38" i="9" s="1"/>
  <c r="D24" i="9"/>
  <c r="L37" i="9" s="1"/>
  <c r="B25" i="9"/>
  <c r="B21" i="9"/>
  <c r="B19" i="9"/>
  <c r="C21" i="9"/>
  <c r="C17" i="9"/>
  <c r="H21" i="6"/>
  <c r="D23" i="6"/>
  <c r="L36" i="6" s="1"/>
  <c r="C22" i="6"/>
  <c r="C25" i="6"/>
  <c r="C17" i="6"/>
  <c r="D19" i="6"/>
  <c r="L32" i="6" s="1"/>
  <c r="H22" i="6"/>
  <c r="B21" i="6"/>
  <c r="B24" i="6"/>
  <c r="C23" i="6"/>
  <c r="I18" i="6"/>
  <c r="M31" i="6" s="1"/>
  <c r="H23" i="6"/>
  <c r="C18" i="6"/>
  <c r="D22" i="6"/>
  <c r="L35" i="6" s="1"/>
  <c r="C24" i="6"/>
  <c r="H37" i="6" s="1"/>
  <c r="B18" i="6"/>
  <c r="D20" i="6"/>
  <c r="L33" i="6" s="1"/>
  <c r="G18" i="6"/>
  <c r="D25" i="6"/>
  <c r="L38" i="6" s="1"/>
  <c r="D17" i="6"/>
  <c r="L30" i="6" s="1"/>
  <c r="I21" i="8"/>
  <c r="M34" i="8" s="1"/>
  <c r="G17" i="8"/>
  <c r="I24" i="8"/>
  <c r="M37" i="8" s="1"/>
  <c r="I25" i="8"/>
  <c r="M38" i="8" s="1"/>
  <c r="I20" i="8"/>
  <c r="M33" i="8" s="1"/>
  <c r="H17" i="8"/>
  <c r="H22" i="8"/>
  <c r="H20" i="8"/>
  <c r="G24" i="8"/>
  <c r="H19" i="8"/>
  <c r="G21" i="8"/>
  <c r="H25" i="8"/>
  <c r="I17" i="8"/>
  <c r="M30" i="8" s="1"/>
  <c r="G23" i="8"/>
  <c r="G20" i="8"/>
  <c r="H18" i="8"/>
  <c r="I23" i="8"/>
  <c r="M36" i="8" s="1"/>
  <c r="G25" i="8"/>
  <c r="G19" i="8"/>
  <c r="H24" i="8"/>
  <c r="H21" i="8"/>
  <c r="I19" i="8"/>
  <c r="M32" i="8" s="1"/>
  <c r="G18" i="8"/>
  <c r="H22" i="10"/>
  <c r="D21" i="10"/>
  <c r="L34" i="10" s="1"/>
  <c r="H18" i="10"/>
  <c r="G17" i="10"/>
  <c r="H23" i="10"/>
  <c r="H36" i="10" s="1"/>
  <c r="I25" i="10"/>
  <c r="M38" i="10" s="1"/>
  <c r="H20" i="10"/>
  <c r="H24" i="10"/>
  <c r="D22" i="10"/>
  <c r="L35" i="10" s="1"/>
  <c r="H17" i="10"/>
  <c r="H30" i="10" s="1"/>
  <c r="H21" i="10"/>
  <c r="H25" i="10"/>
  <c r="D20" i="10"/>
  <c r="L33" i="10" s="1"/>
  <c r="B18" i="10"/>
  <c r="H19" i="10"/>
  <c r="C24" i="5"/>
  <c r="C17" i="5"/>
  <c r="C18" i="5"/>
  <c r="C23" i="5"/>
  <c r="B17" i="5"/>
  <c r="B18" i="5"/>
  <c r="D19" i="5"/>
  <c r="L32" i="5" s="1"/>
  <c r="D18" i="5"/>
  <c r="L31" i="5" s="1"/>
  <c r="B23" i="5"/>
  <c r="D21" i="5"/>
  <c r="L34" i="5" s="1"/>
  <c r="C22" i="4"/>
  <c r="B24" i="4"/>
  <c r="B19" i="4"/>
  <c r="B18" i="4"/>
  <c r="C18" i="4"/>
  <c r="D20" i="4"/>
  <c r="L33" i="4" s="1"/>
  <c r="B25" i="4"/>
  <c r="C17" i="4"/>
  <c r="D22" i="4"/>
  <c r="L35" i="4" s="1"/>
  <c r="D18" i="4"/>
  <c r="L31" i="4" s="1"/>
  <c r="B22" i="4"/>
  <c r="D25" i="4"/>
  <c r="L38" i="4" s="1"/>
  <c r="B20" i="4"/>
  <c r="C20" i="4"/>
  <c r="D23" i="4"/>
  <c r="L36" i="4" s="1"/>
  <c r="D21" i="4"/>
  <c r="L34" i="4" s="1"/>
  <c r="C21" i="4"/>
  <c r="B23" i="4"/>
  <c r="C24" i="4"/>
  <c r="C19" i="4"/>
  <c r="D19" i="4"/>
  <c r="L32" i="4" s="1"/>
  <c r="C23" i="4"/>
  <c r="D17" i="4"/>
  <c r="L30" i="4" s="1"/>
  <c r="D24" i="10"/>
  <c r="L37" i="10" s="1"/>
  <c r="B19" i="10"/>
  <c r="D25" i="10"/>
  <c r="L38" i="10" s="1"/>
  <c r="N38" i="10" s="1"/>
  <c r="C21" i="10"/>
  <c r="B21" i="10"/>
  <c r="C20" i="10"/>
  <c r="B23" i="10"/>
  <c r="D18" i="10"/>
  <c r="L31" i="10" s="1"/>
  <c r="B24" i="10"/>
  <c r="B22" i="10"/>
  <c r="D21" i="6"/>
  <c r="L34" i="6" s="1"/>
  <c r="D17" i="10"/>
  <c r="L30" i="10" s="1"/>
  <c r="C24" i="10"/>
  <c r="B20" i="10"/>
  <c r="C25" i="10"/>
  <c r="C21" i="6"/>
  <c r="B20" i="6"/>
  <c r="C20" i="6"/>
  <c r="B23" i="6"/>
  <c r="B19" i="6"/>
  <c r="B22" i="6"/>
  <c r="B20" i="5"/>
  <c r="D25" i="5"/>
  <c r="L38" i="5" s="1"/>
  <c r="B24" i="5"/>
  <c r="C21" i="5"/>
  <c r="C25" i="5"/>
  <c r="C18" i="10"/>
  <c r="G22" i="8"/>
  <c r="B19" i="5"/>
  <c r="H23" i="8"/>
  <c r="D24" i="5"/>
  <c r="L37" i="5" s="1"/>
  <c r="I21" i="6"/>
  <c r="G21" i="10"/>
  <c r="I23" i="6"/>
  <c r="M36" i="6" s="1"/>
  <c r="C20" i="5"/>
  <c r="B17" i="10"/>
  <c r="C19" i="6"/>
  <c r="G20" i="6"/>
  <c r="G18" i="10"/>
  <c r="G19" i="10"/>
  <c r="I19" i="10"/>
  <c r="M32" i="10" s="1"/>
  <c r="G22" i="10"/>
  <c r="G35" i="10" s="1"/>
  <c r="I22" i="10"/>
  <c r="M35" i="10" s="1"/>
  <c r="G25" i="6"/>
  <c r="G38" i="6" s="1"/>
  <c r="D20" i="5"/>
  <c r="L33" i="5" s="1"/>
  <c r="C22" i="10"/>
  <c r="D19" i="10"/>
  <c r="L32" i="10" s="1"/>
  <c r="I19" i="6"/>
  <c r="M32" i="6" s="1"/>
  <c r="I17" i="10"/>
  <c r="G21" i="6"/>
  <c r="G23" i="6"/>
  <c r="G24" i="6"/>
  <c r="I24" i="6"/>
  <c r="M37" i="6" s="1"/>
  <c r="N37" i="6" s="1"/>
  <c r="G23" i="10"/>
  <c r="I25" i="6"/>
  <c r="M38" i="6" s="1"/>
  <c r="D22" i="5"/>
  <c r="L35" i="5" s="1"/>
  <c r="B25" i="10"/>
  <c r="D23" i="10"/>
  <c r="L36" i="10" s="1"/>
  <c r="I18" i="10"/>
  <c r="M31" i="10" s="1"/>
  <c r="I22" i="6"/>
  <c r="M35" i="6" s="1"/>
  <c r="I23" i="10"/>
  <c r="M36" i="10" s="1"/>
  <c r="H17" i="6"/>
  <c r="G24" i="10"/>
  <c r="H18" i="6"/>
  <c r="B25" i="5"/>
  <c r="C19" i="10"/>
  <c r="I20" i="6"/>
  <c r="M33" i="6" s="1"/>
  <c r="G22" i="6"/>
  <c r="G35" i="6" s="1"/>
  <c r="G20" i="10"/>
  <c r="I20" i="10"/>
  <c r="M33" i="10" s="1"/>
  <c r="I21" i="10"/>
  <c r="M34" i="10" s="1"/>
  <c r="I24" i="10"/>
  <c r="M37" i="10" s="1"/>
  <c r="H19" i="6"/>
  <c r="C22" i="5"/>
  <c r="H17" i="1"/>
  <c r="G17" i="1"/>
  <c r="I23" i="9"/>
  <c r="M36" i="9" s="1"/>
  <c r="H20" i="1"/>
  <c r="E12" i="11"/>
  <c r="B12" i="11"/>
  <c r="B18" i="11" s="1"/>
  <c r="I24" i="1"/>
  <c r="M37" i="1" s="1"/>
  <c r="G22" i="1"/>
  <c r="H24" i="5"/>
  <c r="H22" i="1"/>
  <c r="G25" i="5"/>
  <c r="I22" i="4"/>
  <c r="M35" i="4" s="1"/>
  <c r="H25" i="5"/>
  <c r="H20" i="5"/>
  <c r="G18" i="5"/>
  <c r="I17" i="9"/>
  <c r="M30" i="9" s="1"/>
  <c r="G19" i="5"/>
  <c r="I19" i="5"/>
  <c r="M32" i="5" s="1"/>
  <c r="G24" i="9"/>
  <c r="I24" i="5"/>
  <c r="M37" i="5" s="1"/>
  <c r="H21" i="5"/>
  <c r="I20" i="1"/>
  <c r="M33" i="1" s="1"/>
  <c r="G20" i="1"/>
  <c r="H18" i="1"/>
  <c r="I23" i="1"/>
  <c r="M36" i="1" s="1"/>
  <c r="H23" i="1"/>
  <c r="G23" i="1"/>
  <c r="H25" i="1"/>
  <c r="I25" i="5"/>
  <c r="M38" i="5" s="1"/>
  <c r="G24" i="5"/>
  <c r="G21" i="5"/>
  <c r="G34" i="5" s="1"/>
  <c r="H19" i="5"/>
  <c r="H32" i="5" s="1"/>
  <c r="G19" i="9"/>
  <c r="I18" i="9"/>
  <c r="M31" i="9" s="1"/>
  <c r="L37" i="8"/>
  <c r="L36" i="5"/>
  <c r="I21" i="1"/>
  <c r="M34" i="1" s="1"/>
  <c r="G24" i="1"/>
  <c r="G21" i="1"/>
  <c r="H19" i="1"/>
  <c r="G19" i="1"/>
  <c r="I25" i="1"/>
  <c r="M38" i="1" s="1"/>
  <c r="I18" i="1"/>
  <c r="M31" i="1" s="1"/>
  <c r="I18" i="5"/>
  <c r="M31" i="5" s="1"/>
  <c r="I17" i="5"/>
  <c r="G23" i="5"/>
  <c r="G20" i="5"/>
  <c r="H18" i="5"/>
  <c r="I23" i="5"/>
  <c r="M36" i="5" s="1"/>
  <c r="H23" i="5"/>
  <c r="I20" i="9"/>
  <c r="M33" i="9" s="1"/>
  <c r="G17" i="9"/>
  <c r="G25" i="1"/>
  <c r="G38" i="1" s="1"/>
  <c r="H21" i="1"/>
  <c r="I19" i="1"/>
  <c r="M32" i="1" s="1"/>
  <c r="G18" i="1"/>
  <c r="I17" i="1"/>
  <c r="M30" i="1" s="1"/>
  <c r="H24" i="1"/>
  <c r="I22" i="5"/>
  <c r="M35" i="5" s="1"/>
  <c r="I20" i="5"/>
  <c r="M33" i="5" s="1"/>
  <c r="I21" i="5"/>
  <c r="H17" i="5"/>
  <c r="G17" i="5"/>
  <c r="H22" i="5"/>
  <c r="H23" i="9"/>
  <c r="H36" i="9" s="1"/>
  <c r="S25" i="7"/>
  <c r="O24" i="7"/>
  <c r="O23" i="7"/>
  <c r="O22" i="7"/>
  <c r="O20" i="7"/>
  <c r="O19" i="7"/>
  <c r="O18" i="7"/>
  <c r="P25" i="7"/>
  <c r="L25" i="7"/>
  <c r="P24" i="7"/>
  <c r="L24" i="7"/>
  <c r="P23" i="7"/>
  <c r="L23" i="7"/>
  <c r="P22" i="7"/>
  <c r="L22" i="7"/>
  <c r="P20" i="7"/>
  <c r="L20" i="7"/>
  <c r="P19" i="7"/>
  <c r="L19" i="7"/>
  <c r="P18" i="7"/>
  <c r="L18" i="7"/>
  <c r="Q25" i="7"/>
  <c r="M25" i="7"/>
  <c r="Q24" i="7"/>
  <c r="M24" i="7"/>
  <c r="Q23" i="7"/>
  <c r="M23" i="7"/>
  <c r="Q22" i="7"/>
  <c r="M22" i="7"/>
  <c r="Q20" i="7"/>
  <c r="M20" i="7"/>
  <c r="Q19" i="7"/>
  <c r="M19" i="7"/>
  <c r="Q18" i="7"/>
  <c r="M18" i="7"/>
  <c r="R25" i="7"/>
  <c r="N25" i="7"/>
  <c r="R24" i="7"/>
  <c r="N24" i="7"/>
  <c r="R23" i="7"/>
  <c r="N23" i="7"/>
  <c r="R22" i="7"/>
  <c r="N22" i="7"/>
  <c r="R20" i="7"/>
  <c r="N20" i="7"/>
  <c r="R19" i="7"/>
  <c r="N19" i="7"/>
  <c r="R18" i="7"/>
  <c r="N18" i="7"/>
  <c r="O25" i="7"/>
  <c r="S20" i="7"/>
  <c r="S18" i="7"/>
  <c r="S24" i="7"/>
  <c r="S22" i="7"/>
  <c r="S35" i="7" s="1"/>
  <c r="S19" i="7"/>
  <c r="H17" i="9"/>
  <c r="I25" i="9"/>
  <c r="H19" i="9"/>
  <c r="H32" i="9" s="1"/>
  <c r="H24" i="9"/>
  <c r="H22" i="9"/>
  <c r="I22" i="9"/>
  <c r="M35" i="9" s="1"/>
  <c r="N35" i="9" s="1"/>
  <c r="G18" i="9"/>
  <c r="G25" i="9"/>
  <c r="I21" i="9"/>
  <c r="H21" i="9"/>
  <c r="G21" i="9"/>
  <c r="I19" i="9"/>
  <c r="I24" i="9"/>
  <c r="G23" i="9"/>
  <c r="G22" i="9"/>
  <c r="G35" i="9" s="1"/>
  <c r="H20" i="9"/>
  <c r="G20" i="9"/>
  <c r="H18" i="9"/>
  <c r="G24" i="4"/>
  <c r="H18" i="4"/>
  <c r="I24" i="4"/>
  <c r="H22" i="4"/>
  <c r="G17" i="4"/>
  <c r="G30" i="4" s="1"/>
  <c r="H23" i="4"/>
  <c r="H19" i="4"/>
  <c r="I18" i="4"/>
  <c r="I25" i="4"/>
  <c r="M38" i="4" s="1"/>
  <c r="N38" i="4" s="1"/>
  <c r="I20" i="4"/>
  <c r="G22" i="4"/>
  <c r="I17" i="4"/>
  <c r="H24" i="4"/>
  <c r="H20" i="4"/>
  <c r="G25" i="4"/>
  <c r="I23" i="4"/>
  <c r="G23" i="4"/>
  <c r="G20" i="4"/>
  <c r="I21" i="4"/>
  <c r="H21" i="4"/>
  <c r="H17" i="4"/>
  <c r="G21" i="4"/>
  <c r="I19" i="4"/>
  <c r="M32" i="4" s="1"/>
  <c r="G19" i="4"/>
  <c r="G18" i="4"/>
  <c r="I18" i="7"/>
  <c r="F25" i="7"/>
  <c r="D25" i="7"/>
  <c r="E25" i="7"/>
  <c r="I19" i="7"/>
  <c r="I24" i="7"/>
  <c r="C25" i="7"/>
  <c r="I25" i="7"/>
  <c r="E24" i="7"/>
  <c r="E23" i="7"/>
  <c r="E22" i="7"/>
  <c r="E21" i="7"/>
  <c r="E20" i="7"/>
  <c r="E19" i="7"/>
  <c r="E18" i="7"/>
  <c r="F24" i="7"/>
  <c r="B24" i="7"/>
  <c r="F23" i="7"/>
  <c r="B23" i="7"/>
  <c r="F22" i="7"/>
  <c r="B22" i="7"/>
  <c r="F21" i="7"/>
  <c r="B21" i="7"/>
  <c r="F20" i="7"/>
  <c r="B20" i="7"/>
  <c r="F19" i="7"/>
  <c r="B19" i="7"/>
  <c r="F18" i="7"/>
  <c r="B18" i="7"/>
  <c r="C24" i="7"/>
  <c r="G23" i="7"/>
  <c r="C23" i="7"/>
  <c r="C22" i="7"/>
  <c r="G21" i="7"/>
  <c r="G20" i="7"/>
  <c r="G19" i="7"/>
  <c r="G18" i="7"/>
  <c r="H24" i="7"/>
  <c r="H23" i="7"/>
  <c r="H22" i="7"/>
  <c r="D22" i="7"/>
  <c r="D21" i="7"/>
  <c r="D20" i="7"/>
  <c r="D19" i="7"/>
  <c r="D18" i="7"/>
  <c r="G24" i="7"/>
  <c r="G22" i="7"/>
  <c r="C21" i="7"/>
  <c r="C20" i="7"/>
  <c r="C19" i="7"/>
  <c r="C18" i="7"/>
  <c r="D24" i="7"/>
  <c r="D23" i="7"/>
  <c r="H21" i="7"/>
  <c r="H20" i="7"/>
  <c r="H19" i="7"/>
  <c r="H18" i="7"/>
  <c r="I21" i="7"/>
  <c r="G25" i="7"/>
  <c r="H25" i="7"/>
  <c r="I20" i="7"/>
  <c r="B25" i="7"/>
  <c r="I23" i="7"/>
  <c r="S36" i="7" s="1"/>
  <c r="B20" i="8"/>
  <c r="B25" i="8"/>
  <c r="B18" i="8"/>
  <c r="C24" i="8"/>
  <c r="B24" i="8"/>
  <c r="C20" i="8"/>
  <c r="B22" i="8"/>
  <c r="C19" i="8"/>
  <c r="C23" i="8"/>
  <c r="D17" i="8"/>
  <c r="D19" i="8"/>
  <c r="D21" i="8"/>
  <c r="D23" i="8"/>
  <c r="C18" i="8"/>
  <c r="C22" i="8"/>
  <c r="B17" i="8"/>
  <c r="B19" i="8"/>
  <c r="B21" i="8"/>
  <c r="B23" i="8"/>
  <c r="D25" i="8"/>
  <c r="C17" i="8"/>
  <c r="C21" i="8"/>
  <c r="C25" i="8"/>
  <c r="D18" i="8"/>
  <c r="D20" i="8"/>
  <c r="D22" i="8"/>
  <c r="D17" i="1"/>
  <c r="D25" i="1"/>
  <c r="C24" i="1"/>
  <c r="B23" i="1"/>
  <c r="C20" i="1"/>
  <c r="B19" i="1"/>
  <c r="B20" i="1"/>
  <c r="C17" i="1"/>
  <c r="C23" i="1"/>
  <c r="B22" i="1"/>
  <c r="C19" i="1"/>
  <c r="B18" i="1"/>
  <c r="D23" i="1"/>
  <c r="C22" i="1"/>
  <c r="B21" i="1"/>
  <c r="D19" i="1"/>
  <c r="C18" i="1"/>
  <c r="B17" i="1"/>
  <c r="C25" i="1"/>
  <c r="B24" i="1"/>
  <c r="D22" i="1"/>
  <c r="C21" i="1"/>
  <c r="D18" i="1"/>
  <c r="D21" i="1"/>
  <c r="D20" i="1"/>
  <c r="D24" i="1"/>
  <c r="H35" i="10" l="1"/>
  <c r="N31" i="9"/>
  <c r="N31" i="6"/>
  <c r="H35" i="6"/>
  <c r="G33" i="10"/>
  <c r="G35" i="5"/>
  <c r="Q34" i="7"/>
  <c r="P34" i="7"/>
  <c r="L34" i="7"/>
  <c r="S34" i="7"/>
  <c r="O34" i="7"/>
  <c r="M34" i="7"/>
  <c r="R34" i="7"/>
  <c r="N34" i="7"/>
  <c r="G38" i="10"/>
  <c r="H31" i="9"/>
  <c r="G33" i="4"/>
  <c r="H32" i="10"/>
  <c r="H35" i="9"/>
  <c r="N37" i="8"/>
  <c r="H33" i="6"/>
  <c r="I37" i="8"/>
  <c r="H38" i="4"/>
  <c r="H30" i="5"/>
  <c r="H32" i="6"/>
  <c r="N30" i="6"/>
  <c r="G32" i="8"/>
  <c r="H37" i="9"/>
  <c r="N37" i="10"/>
  <c r="I36" i="6"/>
  <c r="N36" i="6"/>
  <c r="H35" i="4"/>
  <c r="G31" i="9"/>
  <c r="G30" i="6"/>
  <c r="H31" i="5"/>
  <c r="G32" i="4"/>
  <c r="G37" i="9"/>
  <c r="G34" i="4"/>
  <c r="N31" i="10"/>
  <c r="H30" i="4"/>
  <c r="G34" i="9"/>
  <c r="G31" i="5"/>
  <c r="H31" i="6"/>
  <c r="L33" i="7"/>
  <c r="H30" i="1"/>
  <c r="G36" i="10"/>
  <c r="G31" i="4"/>
  <c r="G37" i="6"/>
  <c r="I31" i="6"/>
  <c r="N33" i="9"/>
  <c r="L35" i="7"/>
  <c r="H37" i="5"/>
  <c r="G32" i="6"/>
  <c r="G33" i="8"/>
  <c r="H34" i="8"/>
  <c r="H37" i="10"/>
  <c r="H33" i="10"/>
  <c r="H31" i="1"/>
  <c r="G30" i="8"/>
  <c r="G37" i="4"/>
  <c r="N35" i="6"/>
  <c r="G33" i="6"/>
  <c r="G31" i="6"/>
  <c r="H36" i="6"/>
  <c r="H38" i="6"/>
  <c r="G36" i="8"/>
  <c r="H33" i="9"/>
  <c r="G33" i="5"/>
  <c r="G36" i="6"/>
  <c r="H30" i="8"/>
  <c r="E17" i="11"/>
  <c r="R33" i="7"/>
  <c r="G33" i="9"/>
  <c r="H30" i="9"/>
  <c r="G38" i="9"/>
  <c r="N36" i="9"/>
  <c r="G36" i="9"/>
  <c r="H34" i="9"/>
  <c r="G30" i="9"/>
  <c r="G32" i="9"/>
  <c r="N30" i="9"/>
  <c r="N33" i="6"/>
  <c r="H34" i="6"/>
  <c r="I33" i="6"/>
  <c r="I30" i="6"/>
  <c r="H30" i="6"/>
  <c r="G34" i="6"/>
  <c r="G37" i="8"/>
  <c r="H32" i="8"/>
  <c r="H38" i="8"/>
  <c r="H35" i="8"/>
  <c r="G35" i="8"/>
  <c r="G31" i="8"/>
  <c r="G34" i="8"/>
  <c r="H31" i="8"/>
  <c r="H33" i="8"/>
  <c r="G38" i="8"/>
  <c r="H37" i="8"/>
  <c r="G32" i="10"/>
  <c r="I38" i="10"/>
  <c r="N34" i="10"/>
  <c r="G31" i="10"/>
  <c r="H31" i="10"/>
  <c r="H34" i="10"/>
  <c r="G30" i="10"/>
  <c r="I37" i="10"/>
  <c r="N33" i="10"/>
  <c r="H38" i="10"/>
  <c r="G34" i="10"/>
  <c r="G37" i="10"/>
  <c r="N35" i="10"/>
  <c r="G30" i="5"/>
  <c r="H36" i="5"/>
  <c r="G36" i="5"/>
  <c r="N31" i="5"/>
  <c r="G32" i="5"/>
  <c r="N37" i="5"/>
  <c r="G37" i="5"/>
  <c r="H33" i="4"/>
  <c r="H36" i="4"/>
  <c r="G36" i="4"/>
  <c r="H37" i="4"/>
  <c r="H31" i="4"/>
  <c r="G38" i="4"/>
  <c r="N35" i="4"/>
  <c r="H34" i="4"/>
  <c r="N32" i="4"/>
  <c r="G35" i="4"/>
  <c r="H32" i="4"/>
  <c r="G37" i="1"/>
  <c r="I33" i="10"/>
  <c r="I34" i="10"/>
  <c r="I32" i="10"/>
  <c r="I30" i="10"/>
  <c r="H36" i="8"/>
  <c r="I34" i="6"/>
  <c r="N36" i="10"/>
  <c r="N32" i="10"/>
  <c r="H34" i="5"/>
  <c r="H35" i="5"/>
  <c r="H38" i="5"/>
  <c r="N33" i="5"/>
  <c r="I37" i="6"/>
  <c r="H33" i="5"/>
  <c r="B19" i="11"/>
  <c r="G30" i="1"/>
  <c r="G38" i="5"/>
  <c r="I31" i="10"/>
  <c r="I35" i="4"/>
  <c r="I35" i="6"/>
  <c r="H35" i="1"/>
  <c r="N33" i="7"/>
  <c r="N35" i="7"/>
  <c r="N31" i="7"/>
  <c r="I32" i="6"/>
  <c r="G32" i="1"/>
  <c r="I35" i="10"/>
  <c r="I31" i="9"/>
  <c r="M30" i="10"/>
  <c r="N30" i="10" s="1"/>
  <c r="I36" i="10"/>
  <c r="N38" i="6"/>
  <c r="G31" i="1"/>
  <c r="N32" i="6"/>
  <c r="I38" i="6"/>
  <c r="M34" i="6"/>
  <c r="N34" i="6" s="1"/>
  <c r="N32" i="5"/>
  <c r="M37" i="7"/>
  <c r="L31" i="7"/>
  <c r="I32" i="4"/>
  <c r="I35" i="9"/>
  <c r="I30" i="9"/>
  <c r="O35" i="7"/>
  <c r="L37" i="7"/>
  <c r="O31" i="7"/>
  <c r="N37" i="7"/>
  <c r="M33" i="7"/>
  <c r="Q35" i="7"/>
  <c r="Q33" i="7"/>
  <c r="I33" i="5"/>
  <c r="M31" i="7"/>
  <c r="G36" i="1"/>
  <c r="M35" i="7"/>
  <c r="I36" i="9"/>
  <c r="I33" i="9"/>
  <c r="B20" i="11"/>
  <c r="N38" i="5"/>
  <c r="H36" i="1"/>
  <c r="H33" i="1"/>
  <c r="H34" i="1"/>
  <c r="G35" i="1"/>
  <c r="H38" i="1"/>
  <c r="G33" i="1"/>
  <c r="H37" i="1"/>
  <c r="E20" i="11"/>
  <c r="E18" i="11"/>
  <c r="E31" i="11" s="1"/>
  <c r="E25" i="11"/>
  <c r="E23" i="11"/>
  <c r="E24" i="11"/>
  <c r="E21" i="11"/>
  <c r="E22" i="11"/>
  <c r="E19" i="11"/>
  <c r="B21" i="11"/>
  <c r="B24" i="11"/>
  <c r="B17" i="11"/>
  <c r="B22" i="11"/>
  <c r="B23" i="11"/>
  <c r="B25" i="11"/>
  <c r="I37" i="5"/>
  <c r="N36" i="5"/>
  <c r="I32" i="5"/>
  <c r="H32" i="1"/>
  <c r="I31" i="5"/>
  <c r="I36" i="5"/>
  <c r="I38" i="1"/>
  <c r="L38" i="1"/>
  <c r="N38" i="1" s="1"/>
  <c r="I31" i="8"/>
  <c r="L31" i="8"/>
  <c r="N31" i="8" s="1"/>
  <c r="I34" i="8"/>
  <c r="L34" i="8"/>
  <c r="N34" i="8" s="1"/>
  <c r="I33" i="1"/>
  <c r="L33" i="1"/>
  <c r="N33" i="1" s="1"/>
  <c r="I35" i="1"/>
  <c r="L35" i="1"/>
  <c r="N35" i="1" s="1"/>
  <c r="I36" i="1"/>
  <c r="L36" i="1"/>
  <c r="N36" i="1" s="1"/>
  <c r="I30" i="1"/>
  <c r="L30" i="1"/>
  <c r="N30" i="1" s="1"/>
  <c r="I33" i="8"/>
  <c r="L33" i="8"/>
  <c r="N33" i="8" s="1"/>
  <c r="I36" i="8"/>
  <c r="L36" i="8"/>
  <c r="N36" i="8" s="1"/>
  <c r="I36" i="4"/>
  <c r="M36" i="4"/>
  <c r="N36" i="4" s="1"/>
  <c r="I30" i="4"/>
  <c r="M30" i="4"/>
  <c r="N30" i="4" s="1"/>
  <c r="I31" i="4"/>
  <c r="M31" i="4"/>
  <c r="N31" i="4" s="1"/>
  <c r="I37" i="4"/>
  <c r="M37" i="4"/>
  <c r="N37" i="4" s="1"/>
  <c r="I38" i="4"/>
  <c r="N35" i="5"/>
  <c r="I38" i="5"/>
  <c r="I35" i="8"/>
  <c r="L35" i="8"/>
  <c r="N35" i="8" s="1"/>
  <c r="I38" i="9"/>
  <c r="M38" i="9"/>
  <c r="N38" i="9" s="1"/>
  <c r="I31" i="1"/>
  <c r="L31" i="1"/>
  <c r="N31" i="1" s="1"/>
  <c r="I32" i="8"/>
  <c r="L32" i="8"/>
  <c r="N32" i="8" s="1"/>
  <c r="I33" i="4"/>
  <c r="M33" i="4"/>
  <c r="N33" i="4" s="1"/>
  <c r="I37" i="9"/>
  <c r="M37" i="9"/>
  <c r="N37" i="9" s="1"/>
  <c r="I34" i="9"/>
  <c r="M34" i="9"/>
  <c r="N34" i="9" s="1"/>
  <c r="G34" i="1"/>
  <c r="I37" i="1"/>
  <c r="L37" i="1"/>
  <c r="N37" i="1" s="1"/>
  <c r="I30" i="8"/>
  <c r="L30" i="8"/>
  <c r="N30" i="8" s="1"/>
  <c r="I32" i="9"/>
  <c r="M32" i="9"/>
  <c r="N32" i="9" s="1"/>
  <c r="I34" i="1"/>
  <c r="L34" i="1"/>
  <c r="N34" i="1" s="1"/>
  <c r="I32" i="1"/>
  <c r="L32" i="1"/>
  <c r="N32" i="1" s="1"/>
  <c r="I38" i="8"/>
  <c r="L38" i="8"/>
  <c r="N38" i="8" s="1"/>
  <c r="I34" i="4"/>
  <c r="M34" i="4"/>
  <c r="N34" i="4" s="1"/>
  <c r="M34" i="5"/>
  <c r="N34" i="5" s="1"/>
  <c r="I34" i="5"/>
  <c r="I30" i="5"/>
  <c r="M30" i="5"/>
  <c r="N30" i="5" s="1"/>
  <c r="I35" i="5"/>
  <c r="L38" i="7"/>
  <c r="Q37" i="7"/>
  <c r="R37" i="7"/>
  <c r="O32" i="7"/>
  <c r="O36" i="7"/>
  <c r="S33" i="7"/>
  <c r="R31" i="7"/>
  <c r="N36" i="7"/>
  <c r="Q31" i="7"/>
  <c r="O33" i="7"/>
  <c r="O37" i="7"/>
  <c r="S31" i="7"/>
  <c r="M32" i="7"/>
  <c r="S32" i="7"/>
  <c r="P32" i="7"/>
  <c r="P36" i="7"/>
  <c r="S37" i="7"/>
  <c r="P38" i="7"/>
  <c r="Q38" i="7"/>
  <c r="R36" i="7"/>
  <c r="Q36" i="7"/>
  <c r="L32" i="7"/>
  <c r="L36" i="7"/>
  <c r="M38" i="7"/>
  <c r="N38" i="7"/>
  <c r="R38" i="7"/>
  <c r="R32" i="7"/>
  <c r="N32" i="7"/>
  <c r="R35" i="7"/>
  <c r="Q32" i="7"/>
  <c r="M36" i="7"/>
  <c r="P31" i="7"/>
  <c r="P33" i="7"/>
  <c r="P35" i="7"/>
  <c r="P37" i="7"/>
  <c r="S38" i="7"/>
  <c r="O38" i="7"/>
  <c r="E33" i="11" l="1"/>
  <c r="E36" i="11"/>
  <c r="E34" i="11"/>
  <c r="E32" i="11"/>
  <c r="E35" i="11"/>
  <c r="E30" i="11"/>
  <c r="E38" i="11"/>
  <c r="E37" i="11"/>
</calcChain>
</file>

<file path=xl/sharedStrings.xml><?xml version="1.0" encoding="utf-8"?>
<sst xmlns="http://schemas.openxmlformats.org/spreadsheetml/2006/main" count="751" uniqueCount="62">
  <si>
    <t>Mode</t>
  </si>
  <si>
    <t>Drive Alone</t>
  </si>
  <si>
    <t>Shared Ride 2</t>
  </si>
  <si>
    <t>Shared Ride 3+</t>
  </si>
  <si>
    <t>Drive-Transit</t>
  </si>
  <si>
    <t>Walk-Transit</t>
  </si>
  <si>
    <t>Bike</t>
  </si>
  <si>
    <t>Walk</t>
  </si>
  <si>
    <t>School Bus</t>
  </si>
  <si>
    <t>0-veh HHs</t>
  </si>
  <si>
    <t>&gt;0-veh HHs</t>
  </si>
  <si>
    <t>Table X. Estimated Work Tour Modes:DaySim</t>
  </si>
  <si>
    <t>Table X. Estimated School Tour Modes:DaySim</t>
  </si>
  <si>
    <t>Table X. Estimated Escort Tour Modes:DaySim</t>
  </si>
  <si>
    <t>Table X. Estimated Meal Tour Modes:DaySim</t>
  </si>
  <si>
    <t>Table X. Estimated Shop Tour Modes:DaySim</t>
  </si>
  <si>
    <t>Table X. Estimated Social/Recreational Tour Modes:DaySim</t>
  </si>
  <si>
    <t>Table X. Estimated Personal Business Tour Modes:DaySim</t>
  </si>
  <si>
    <t>Work Tour Mode</t>
  </si>
  <si>
    <t>Total</t>
  </si>
  <si>
    <t>Table X. Estimated-Observed Different Work Tour Modes</t>
  </si>
  <si>
    <t>Table X. Estimated-Observed Workbased Tour Mode Share Difference</t>
  </si>
  <si>
    <t>Table X. Estimated SocRec Tour Modes:DaySim</t>
  </si>
  <si>
    <t>Table X. Estimated-Observed Different SocRec Tour Modes</t>
  </si>
  <si>
    <t>Table X. Estimated Tour Modes All Purposes:DaySim</t>
  </si>
  <si>
    <t>Table X. Estimated Tour Mode Shares All Purposes:DaySim</t>
  </si>
  <si>
    <t>Table X. Estimated-Observed Different Tour Mode Shares</t>
  </si>
  <si>
    <t>Table X. Estimated-Observed Different School Tour Modes</t>
  </si>
  <si>
    <t>Table X. Estimated-Observed Different Escort Tour Modes</t>
  </si>
  <si>
    <t>Table X. Estimated Personal Busines Tour Modes:DaySim</t>
  </si>
  <si>
    <t>Table X. Estimated-Observed Different Personal Busines Tour Modes</t>
  </si>
  <si>
    <t>Table X. Estimated-Observed Different Shop Tour Modes</t>
  </si>
  <si>
    <t>Table X. Estimated-Observed Different Meal Tour Modes</t>
  </si>
  <si>
    <t>DaySim</t>
  </si>
  <si>
    <t>Diff</t>
  </si>
  <si>
    <t>WORK TOUR MODE</t>
  </si>
  <si>
    <t>SCHOOL TOUR MODE</t>
  </si>
  <si>
    <t>ESCORT TOUR MODE</t>
  </si>
  <si>
    <t>PERSONAL BUSINESS TOUR MODE</t>
  </si>
  <si>
    <t>SHOP TOUR MODE</t>
  </si>
  <si>
    <t>MEAL TOUR MODE</t>
  </si>
  <si>
    <t>SOCIAL/RECREATIONAL TOUR MODE</t>
  </si>
  <si>
    <t>This set of summaries is just a crosstabulations from the tour file based on HH vehicle availability</t>
  </si>
  <si>
    <t>For work-based tours, it is based on Work tour mode</t>
  </si>
  <si>
    <t>Table X. Observed Tour Mode Shares All Purposes: Survey</t>
  </si>
  <si>
    <t>Table X. Observed Work Tour Modes: Survey</t>
  </si>
  <si>
    <t>Survey</t>
  </si>
  <si>
    <t>Table X. Observed School Tour Modes: Survey</t>
  </si>
  <si>
    <t>Table X. Observed Escort Tour Modes: Survey</t>
  </si>
  <si>
    <t>Table X. Observed Personal Business Tour Modes: Survey</t>
  </si>
  <si>
    <t>Table X. Observed Personal Busines Tour Modes: Survey</t>
  </si>
  <si>
    <t>Table X. Observed Shop Tour Modes: Survey</t>
  </si>
  <si>
    <t>Table X. Observed Meal Tour Modes: Survey</t>
  </si>
  <si>
    <t>Table X. Observed Social/Recreational Tour Modes: Survey</t>
  </si>
  <si>
    <t>Table X. Observed SocRecTour Modes: Survey</t>
  </si>
  <si>
    <t>Table X. Observed Workbased Tour Modes: Survey</t>
  </si>
  <si>
    <t>Table X. Estimated Workbased Tour Modes: Survey</t>
  </si>
  <si>
    <t>Table X. Observed Workbased Tour Mode Shares: Survey</t>
  </si>
  <si>
    <t>Table X. Estimated Workbased Tour Mode Shares: Survey</t>
  </si>
  <si>
    <t>Table X. Tour Modes All Purposes: Survey</t>
  </si>
  <si>
    <t>Count</t>
  </si>
  <si>
    <t>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</si>
</sst>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0" fontId="2" fillId="0" borderId="0">
      <alignment wrapText="1"/>
    </xf>
    <xf numFmtId="0" fontId="4" fillId="5" borderId="0">
      <alignment wrapText="1"/>
    </xf>
    <xf numFmtId="165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0" fontId="4" fillId="0" borderId="0">
      <alignment wrapText="1"/>
    </xf>
    <xf numFmtId="165" fontId="4" fillId="0" borderId="0">
      <alignment wrapText="1"/>
    </xf>
  </cellStyleXfs>
  <cellXfs count="37">
    <xf numFmtId="0" fontId="0" fillId="0" borderId="0" xfId="0"/>
    <xf numFmtId="0" fontId="1" fillId="0" borderId="1" xfId="0" applyFont="1" applyBorder="1"/>
    <xf numFmtId="0" fontId="0" fillId="0" borderId="2" xfId="0" applyBorder="1"/>
    <xf numFmtId="0" fontId="0" fillId="0" borderId="1" xfId="0" applyBorder="1"/>
    <xf numFmtId="0" fontId="0" fillId="0" borderId="2" xfId="0" applyBorder="1" applyAlignment="1">
      <alignment horizontal="center"/>
    </xf>
    <xf numFmtId="0" fontId="1" fillId="0" borderId="0" xfId="0" applyFont="1" applyBorder="1"/>
    <xf numFmtId="0" fontId="0" fillId="0" borderId="3" xfId="0" applyBorder="1"/>
    <xf numFmtId="0" fontId="0" fillId="0" borderId="3" xfId="0" applyBorder="1" applyAlignment="1">
      <alignment horizontal="center"/>
    </xf>
    <xf numFmtId="0" fontId="2" fillId="0" borderId="0" xfId="1" applyAlignment="1"/>
    <xf numFmtId="3" fontId="0" fillId="0" borderId="0" xfId="0" applyNumberFormat="1"/>
    <xf numFmtId="3" fontId="0" fillId="0" borderId="1" xfId="0" applyNumberFormat="1" applyBorder="1"/>
    <xf numFmtId="0" fontId="0" fillId="0" borderId="0" xfId="0" applyBorder="1" applyAlignment="1">
      <alignment horizontal="center"/>
    </xf>
    <xf numFmtId="3" fontId="0" fillId="0" borderId="0" xfId="0" applyNumberFormat="1" applyBorder="1"/>
    <xf numFmtId="3" fontId="0" fillId="0" borderId="1" xfId="0" applyNumberFormat="1" applyFill="1" applyBorder="1"/>
    <xf numFmtId="3" fontId="0" fillId="0" borderId="3" xfId="0" applyNumberFormat="1" applyBorder="1"/>
    <xf numFmtId="0" fontId="0" fillId="0" borderId="4" xfId="0" applyFill="1" applyBorder="1"/>
    <xf numFmtId="164" fontId="0" fillId="0" borderId="0" xfId="0" applyNumberFormat="1"/>
    <xf numFmtId="164" fontId="0" fillId="0" borderId="3" xfId="0" applyNumberFormat="1" applyBorder="1"/>
    <xf numFmtId="164" fontId="0" fillId="0" borderId="4" xfId="0" applyNumberFormat="1" applyBorder="1"/>
    <xf numFmtId="3" fontId="0" fillId="0" borderId="4" xfId="0" applyNumberFormat="1" applyBorder="1"/>
    <xf numFmtId="164" fontId="0" fillId="0" borderId="0" xfId="0" applyNumberFormat="1" applyBorder="1"/>
    <xf numFmtId="0" fontId="1" fillId="2" borderId="1" xfId="0" applyFont="1" applyFill="1" applyBorder="1"/>
    <xf numFmtId="0" fontId="0" fillId="2" borderId="1" xfId="0" applyFill="1" applyBorder="1"/>
    <xf numFmtId="3" fontId="0" fillId="2" borderId="0" xfId="0" applyNumberFormat="1" applyFill="1"/>
    <xf numFmtId="164" fontId="0" fillId="2" borderId="0" xfId="0" applyNumberFormat="1" applyFill="1"/>
    <xf numFmtId="3" fontId="0" fillId="2" borderId="1" xfId="0" applyNumberFormat="1" applyFill="1" applyBorder="1"/>
    <xf numFmtId="164" fontId="0" fillId="2" borderId="4" xfId="0" applyNumberFormat="1" applyFill="1" applyBorder="1"/>
    <xf numFmtId="0" fontId="3" fillId="3" borderId="2" xfId="0" applyFont="1" applyFill="1" applyBorder="1"/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3" fontId="0" fillId="4" borderId="0" xfId="0" applyNumberFormat="1" applyFill="1"/>
    <xf numFmtId="164" fontId="0" fillId="4" borderId="0" xfId="0" applyNumberFormat="1" applyFill="1"/>
    <xf numFmtId="3" fontId="0" fillId="4" borderId="3" xfId="0" applyNumberFormat="1" applyFill="1" applyBorder="1"/>
    <xf numFmtId="164" fontId="0" fillId="4" borderId="3" xfId="0" applyNumberFormat="1" applyFill="1" applyBorder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Alignment="1">
      <alignment horizontal="center"/>
    </xf>
  </cellXfs>
  <cellStyles count="8">
    <cellStyle name="Normal" xfId="0" builtin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theme/theme1.xml" Type="http://schemas.openxmlformats.org/officeDocument/2006/relationships/theme"/>
<Relationship Id="rId12" Target="styles.xml" Type="http://schemas.openxmlformats.org/officeDocument/2006/relationships/styles"/>
<Relationship Id="rId13" Target="sharedStrings.xml" Type="http://schemas.openxmlformats.org/officeDocument/2006/relationships/sharedStrings"/>
<Relationship Id="rId14" Target="calcChain.xml" Type="http://schemas.openxmlformats.org/officeDocument/2006/relationships/calcChain"/>
<Relationship Id="rId15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AllPurposes!$B$17:$B$24</c:f>
              <c:numCache>
                <c:formatCode>0.0%</c:formatCode>
                <c:ptCount val="8"/>
                <c:pt idx="0">
                  <c:v>0.41982383591464273</c:v>
                </c:pt>
                <c:pt idx="1">
                  <c:v>0.26804109205845494</c:v>
                </c:pt>
                <c:pt idx="2">
                  <c:v>0.19835844096825689</c:v>
                </c:pt>
                <c:pt idx="3">
                  <c:v>4.6869688742147428E-3</c:v>
                </c:pt>
                <c:pt idx="4">
                  <c:v>1.3571248166226459E-2</c:v>
                </c:pt>
                <c:pt idx="5">
                  <c:v>5.113470261255847E-3</c:v>
                </c:pt>
                <c:pt idx="6">
                  <c:v>3.7905883595688833E-2</c:v>
                </c:pt>
                <c:pt idx="7">
                  <c:v>5.2499060161259707E-2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AllPurposes!$E$17:$E$24</c:f>
              <c:numCache>
                <c:formatCode>0.0%</c:formatCode>
                <c:ptCount val="8"/>
                <c:pt idx="0">
                  <c:v>0.41994189198316173</c:v>
                </c:pt>
                <c:pt idx="1">
                  <c:v>0.27885273425055779</c:v>
                </c:pt>
                <c:pt idx="2">
                  <c:v>0.20185632461115385</c:v>
                </c:pt>
                <c:pt idx="3">
                  <c:v>9.8500320663968662E-4</c:v>
                </c:pt>
                <c:pt idx="4">
                  <c:v>5.6081826989685555E-3</c:v>
                </c:pt>
                <c:pt idx="5">
                  <c:v>6.4282217763409165E-3</c:v>
                </c:pt>
                <c:pt idx="6">
                  <c:v>3.5369863324828117E-2</c:v>
                </c:pt>
                <c:pt idx="7">
                  <c:v>5.095777814834937E-2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5236864"/>
        <c:axId val="160734528"/>
      </c:barChart>
      <c:catAx>
        <c:axId val="195236864"/>
        <c:scaling>
          <c:orientation val="minMax"/>
        </c:scaling>
        <c:delete val="0"/>
        <c:axPos val="b"/>
        <c:majorTickMark val="out"/>
        <c:minorTickMark val="none"/>
        <c:tickLblPos val="nextTo"/>
        <c:crossAx val="160734528"/>
        <c:crosses val="autoZero"/>
        <c:auto val="1"/>
        <c:lblAlgn val="ctr"/>
        <c:lblOffset val="100"/>
        <c:noMultiLvlLbl val="0"/>
      </c:catAx>
      <c:valAx>
        <c:axId val="160734528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195236864"/>
        <c:crosses val="autoZero"/>
        <c:crossBetween val="between"/>
        <c:majorUnit val="0.1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Work!$D$17:$D$24</c:f>
              <c:numCache>
                <c:formatCode>0.0%</c:formatCode>
                <c:ptCount val="8"/>
                <c:pt idx="0">
                  <c:v>0.68949808293988424</c:v>
                </c:pt>
                <c:pt idx="1">
                  <c:v>0.19370536008664424</c:v>
                </c:pt>
                <c:pt idx="2">
                  <c:v>7.2387338547102734E-2</c:v>
                </c:pt>
                <c:pt idx="3">
                  <c:v>1.0088432562484241E-2</c:v>
                </c:pt>
                <c:pt idx="4">
                  <c:v>1.7676558965131008E-2</c:v>
                </c:pt>
                <c:pt idx="5">
                  <c:v>6.4797453170829158E-3</c:v>
                </c:pt>
                <c:pt idx="6">
                  <c:v>9.4892618226631829E-3</c:v>
                </c:pt>
                <c:pt idx="7">
                  <c:v>6.7521975900755311E-4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Work!$I$17:$I$24</c:f>
              <c:numCache>
                <c:formatCode>0.0%</c:formatCode>
                <c:ptCount val="8"/>
                <c:pt idx="0">
                  <c:v>0.689352133132489</c:v>
                </c:pt>
                <c:pt idx="1">
                  <c:v>0.20860371226528712</c:v>
                </c:pt>
                <c:pt idx="2">
                  <c:v>7.5620418537599002E-2</c:v>
                </c:pt>
                <c:pt idx="3">
                  <c:v>2.9623344921429831E-3</c:v>
                </c:pt>
                <c:pt idx="4">
                  <c:v>6.2338446715727337E-3</c:v>
                </c:pt>
                <c:pt idx="5">
                  <c:v>7.1182309398581389E-3</c:v>
                </c:pt>
                <c:pt idx="6">
                  <c:v>1.0109325961051054E-2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4123520"/>
        <c:axId val="193422464"/>
      </c:barChart>
      <c:catAx>
        <c:axId val="214123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2464"/>
        <c:crosses val="autoZero"/>
        <c:auto val="1"/>
        <c:lblAlgn val="ctr"/>
        <c:lblOffset val="100"/>
        <c:noMultiLvlLbl val="0"/>
      </c:catAx>
      <c:valAx>
        <c:axId val="19342246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14123520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School!$D$17:$D$24</c:f>
              <c:numCache>
                <c:formatCode>0.0%</c:formatCode>
                <c:ptCount val="8"/>
                <c:pt idx="0">
                  <c:v>0.11103896327327899</c:v>
                </c:pt>
                <c:pt idx="1">
                  <c:v>0.15273219128174603</c:v>
                </c:pt>
                <c:pt idx="2">
                  <c:v>0.32027765455512419</c:v>
                </c:pt>
                <c:pt idx="3">
                  <c:v>3.8536396793858651E-3</c:v>
                </c:pt>
                <c:pt idx="4">
                  <c:v>1.6357555405704303E-2</c:v>
                </c:pt>
                <c:pt idx="5">
                  <c:v>1.934775676279531E-3</c:v>
                </c:pt>
                <c:pt idx="6">
                  <c:v>2.5577056549815944E-2</c:v>
                </c:pt>
                <c:pt idx="7">
                  <c:v>0.36822816357866522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School!$I$17:$I$24</c:f>
              <c:numCache>
                <c:formatCode>0.0%</c:formatCode>
                <c:ptCount val="8"/>
                <c:pt idx="0">
                  <c:v>0.1035551862865139</c:v>
                </c:pt>
                <c:pt idx="1">
                  <c:v>0.15238324295959418</c:v>
                </c:pt>
                <c:pt idx="2">
                  <c:v>0.31652527549414028</c:v>
                </c:pt>
                <c:pt idx="3">
                  <c:v>0</c:v>
                </c:pt>
                <c:pt idx="4">
                  <c:v>5.8465978660136439E-3</c:v>
                </c:pt>
                <c:pt idx="5">
                  <c:v>1.5961168444988631E-3</c:v>
                </c:pt>
                <c:pt idx="6">
                  <c:v>4.7271296134336192E-2</c:v>
                </c:pt>
                <c:pt idx="7">
                  <c:v>0.37282228441490289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0576256"/>
        <c:axId val="193424192"/>
      </c:barChart>
      <c:catAx>
        <c:axId val="220576256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4192"/>
        <c:crosses val="autoZero"/>
        <c:auto val="1"/>
        <c:lblAlgn val="ctr"/>
        <c:lblOffset val="100"/>
        <c:noMultiLvlLbl val="0"/>
      </c:catAx>
      <c:valAx>
        <c:axId val="19342419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20576256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Escort!$D$17:$D$24</c:f>
              <c:numCache>
                <c:formatCode>0.0%</c:formatCode>
                <c:ptCount val="8"/>
                <c:pt idx="0">
                  <c:v>2.0076716783458466E-2</c:v>
                </c:pt>
                <c:pt idx="1">
                  <c:v>0.46754139315314497</c:v>
                </c:pt>
                <c:pt idx="2">
                  <c:v>0.47301904331669697</c:v>
                </c:pt>
                <c:pt idx="3">
                  <c:v>3.2954393237386056E-3</c:v>
                </c:pt>
                <c:pt idx="4">
                  <c:v>3.7168418687196629E-3</c:v>
                </c:pt>
                <c:pt idx="5">
                  <c:v>0</c:v>
                </c:pt>
                <c:pt idx="6">
                  <c:v>3.0269015995103461E-2</c:v>
                </c:pt>
                <c:pt idx="7">
                  <c:v>2.0815495591378005E-3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Escort!$I$17:$I$24</c:f>
              <c:numCache>
                <c:formatCode>0.0%</c:formatCode>
                <c:ptCount val="8"/>
                <c:pt idx="0">
                  <c:v>1.4259200579421485E-3</c:v>
                </c:pt>
                <c:pt idx="1">
                  <c:v>0.47414105291747771</c:v>
                </c:pt>
                <c:pt idx="2">
                  <c:v>0.47896767914535332</c:v>
                </c:pt>
                <c:pt idx="3">
                  <c:v>0</c:v>
                </c:pt>
                <c:pt idx="4">
                  <c:v>0</c:v>
                </c:pt>
                <c:pt idx="5">
                  <c:v>9.8456384953148346E-3</c:v>
                </c:pt>
                <c:pt idx="6">
                  <c:v>3.5619709383911999E-2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321472"/>
        <c:axId val="193426496"/>
      </c:barChart>
      <c:catAx>
        <c:axId val="249321472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6496"/>
        <c:crosses val="autoZero"/>
        <c:auto val="1"/>
        <c:lblAlgn val="ctr"/>
        <c:lblOffset val="100"/>
        <c:noMultiLvlLbl val="0"/>
      </c:catAx>
      <c:valAx>
        <c:axId val="19342649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49321472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Personal_Business!$D$17:$D$24</c:f>
              <c:numCache>
                <c:formatCode>0.0%</c:formatCode>
                <c:ptCount val="8"/>
                <c:pt idx="0">
                  <c:v>0.44886735777091774</c:v>
                </c:pt>
                <c:pt idx="1">
                  <c:v>0.30605168477007788</c:v>
                </c:pt>
                <c:pt idx="2">
                  <c:v>0.17952024257185592</c:v>
                </c:pt>
                <c:pt idx="3">
                  <c:v>1.4940402202416837E-3</c:v>
                </c:pt>
                <c:pt idx="4">
                  <c:v>2.0494638125707267E-2</c:v>
                </c:pt>
                <c:pt idx="5">
                  <c:v>3.0191392701603911E-3</c:v>
                </c:pt>
                <c:pt idx="6">
                  <c:v>3.993105173130921E-2</c:v>
                </c:pt>
                <c:pt idx="7">
                  <c:v>6.2184553972999138E-4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Personal_Business!$I$17:$I$24</c:f>
              <c:numCache>
                <c:formatCode>0.0%</c:formatCode>
                <c:ptCount val="8"/>
                <c:pt idx="0">
                  <c:v>0.4840781114288224</c:v>
                </c:pt>
                <c:pt idx="1">
                  <c:v>0.29322526812987343</c:v>
                </c:pt>
                <c:pt idx="2">
                  <c:v>0.17620939015702311</c:v>
                </c:pt>
                <c:pt idx="3">
                  <c:v>0</c:v>
                </c:pt>
                <c:pt idx="4">
                  <c:v>8.3683845846060766E-3</c:v>
                </c:pt>
                <c:pt idx="5">
                  <c:v>6.3677795235632237E-3</c:v>
                </c:pt>
                <c:pt idx="6">
                  <c:v>3.17510661761118E-2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333248"/>
        <c:axId val="193428224"/>
      </c:barChart>
      <c:catAx>
        <c:axId val="289333248"/>
        <c:scaling>
          <c:orientation val="minMax"/>
        </c:scaling>
        <c:delete val="0"/>
        <c:axPos val="b"/>
        <c:majorTickMark val="out"/>
        <c:minorTickMark val="none"/>
        <c:tickLblPos val="nextTo"/>
        <c:crossAx val="193428224"/>
        <c:crosses val="autoZero"/>
        <c:auto val="1"/>
        <c:lblAlgn val="ctr"/>
        <c:lblOffset val="100"/>
        <c:noMultiLvlLbl val="0"/>
      </c:catAx>
      <c:valAx>
        <c:axId val="193428224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8933324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Shop!$D$17:$D$24</c:f>
              <c:numCache>
                <c:formatCode>0.0%</c:formatCode>
                <c:ptCount val="8"/>
                <c:pt idx="0">
                  <c:v>0.50873239726495778</c:v>
                </c:pt>
                <c:pt idx="1">
                  <c:v>0.31244671134528368</c:v>
                </c:pt>
                <c:pt idx="2">
                  <c:v>0.11815028598346544</c:v>
                </c:pt>
                <c:pt idx="3">
                  <c:v>1.583578592994432E-3</c:v>
                </c:pt>
                <c:pt idx="4">
                  <c:v>2.6097755590692079E-2</c:v>
                </c:pt>
                <c:pt idx="5">
                  <c:v>3.5180096354400269E-3</c:v>
                </c:pt>
                <c:pt idx="6">
                  <c:v>2.9471261587166581E-2</c:v>
                </c:pt>
                <c:pt idx="7">
                  <c:v>0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Shop!$I$17:$I$24</c:f>
              <c:numCache>
                <c:formatCode>0.0%</c:formatCode>
                <c:ptCount val="8"/>
                <c:pt idx="0">
                  <c:v>0.49617091919592909</c:v>
                </c:pt>
                <c:pt idx="1">
                  <c:v>0.28963152766249234</c:v>
                </c:pt>
                <c:pt idx="2">
                  <c:v>0.17026236962719693</c:v>
                </c:pt>
                <c:pt idx="3">
                  <c:v>0</c:v>
                </c:pt>
                <c:pt idx="4">
                  <c:v>7.0085531776679054E-3</c:v>
                </c:pt>
                <c:pt idx="5">
                  <c:v>7.0662961492655814E-3</c:v>
                </c:pt>
                <c:pt idx="6">
                  <c:v>2.9860334187448122E-2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9335808"/>
        <c:axId val="160733952"/>
      </c:barChart>
      <c:catAx>
        <c:axId val="289335808"/>
        <c:scaling>
          <c:orientation val="minMax"/>
        </c:scaling>
        <c:delete val="0"/>
        <c:axPos val="b"/>
        <c:majorTickMark val="out"/>
        <c:minorTickMark val="none"/>
        <c:tickLblPos val="nextTo"/>
        <c:crossAx val="160733952"/>
        <c:crosses val="autoZero"/>
        <c:auto val="1"/>
        <c:lblAlgn val="ctr"/>
        <c:lblOffset val="100"/>
        <c:noMultiLvlLbl val="0"/>
      </c:catAx>
      <c:valAx>
        <c:axId val="16073395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289335808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Meal!$D$17:$D$24</c:f>
              <c:numCache>
                <c:formatCode>0.0%</c:formatCode>
                <c:ptCount val="8"/>
                <c:pt idx="0">
                  <c:v>0.18726656632646688</c:v>
                </c:pt>
                <c:pt idx="1">
                  <c:v>0.47904844967945476</c:v>
                </c:pt>
                <c:pt idx="2">
                  <c:v>0.29405031285411332</c:v>
                </c:pt>
                <c:pt idx="3">
                  <c:v>0</c:v>
                </c:pt>
                <c:pt idx="4">
                  <c:v>2.656195458462627E-4</c:v>
                </c:pt>
                <c:pt idx="5">
                  <c:v>6.0457432034837343E-3</c:v>
                </c:pt>
                <c:pt idx="6">
                  <c:v>3.095898503443659E-2</c:v>
                </c:pt>
                <c:pt idx="7">
                  <c:v>2.3643233561985617E-3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Meal!$I$17:$I$24</c:f>
              <c:numCache>
                <c:formatCode>0.0%</c:formatCode>
                <c:ptCount val="8"/>
                <c:pt idx="0">
                  <c:v>0.21571677685639373</c:v>
                </c:pt>
                <c:pt idx="1">
                  <c:v>0.49567813727089111</c:v>
                </c:pt>
                <c:pt idx="2">
                  <c:v>0.25482053919785225</c:v>
                </c:pt>
                <c:pt idx="3">
                  <c:v>0</c:v>
                </c:pt>
                <c:pt idx="4">
                  <c:v>8.2171845792926943E-3</c:v>
                </c:pt>
                <c:pt idx="5">
                  <c:v>2.2456122743410569E-3</c:v>
                </c:pt>
                <c:pt idx="6">
                  <c:v>2.3321749821229192E-2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47904"/>
        <c:axId val="216935232"/>
      </c:barChart>
      <c:catAx>
        <c:axId val="308347904"/>
        <c:scaling>
          <c:orientation val="minMax"/>
        </c:scaling>
        <c:delete val="0"/>
        <c:axPos val="b"/>
        <c:majorTickMark val="out"/>
        <c:minorTickMark val="none"/>
        <c:tickLblPos val="nextTo"/>
        <c:crossAx val="216935232"/>
        <c:crosses val="autoZero"/>
        <c:auto val="1"/>
        <c:lblAlgn val="ctr"/>
        <c:lblOffset val="100"/>
        <c:noMultiLvlLbl val="0"/>
      </c:catAx>
      <c:valAx>
        <c:axId val="216935232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347904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SocRec!$D$17:$D$24</c:f>
              <c:numCache>
                <c:formatCode>0.0%</c:formatCode>
                <c:ptCount val="8"/>
                <c:pt idx="0">
                  <c:v>0.32174596656316334</c:v>
                </c:pt>
                <c:pt idx="1">
                  <c:v>0.29977301540007606</c:v>
                </c:pt>
                <c:pt idx="2">
                  <c:v>0.25447723555831281</c:v>
                </c:pt>
                <c:pt idx="3">
                  <c:v>7.2401383642261945E-4</c:v>
                </c:pt>
                <c:pt idx="4">
                  <c:v>1.9586622684530587E-3</c:v>
                </c:pt>
                <c:pt idx="5">
                  <c:v>1.3195033247771718E-2</c:v>
                </c:pt>
                <c:pt idx="6">
                  <c:v>9.5730480529178819E-2</c:v>
                </c:pt>
                <c:pt idx="7">
                  <c:v>1.2395592596621832E-2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SocRec!$I$17:$I$24</c:f>
              <c:numCache>
                <c:formatCode>0.0%</c:formatCode>
                <c:ptCount val="8"/>
                <c:pt idx="0">
                  <c:v>0.32550633542851443</c:v>
                </c:pt>
                <c:pt idx="1">
                  <c:v>0.35575177092686822</c:v>
                </c:pt>
                <c:pt idx="2">
                  <c:v>0.24977052778609199</c:v>
                </c:pt>
                <c:pt idx="3">
                  <c:v>0</c:v>
                </c:pt>
                <c:pt idx="4">
                  <c:v>5.4374937643420131E-3</c:v>
                </c:pt>
                <c:pt idx="5">
                  <c:v>9.2337623466028137E-3</c:v>
                </c:pt>
                <c:pt idx="6">
                  <c:v>5.4300109747580566E-2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349952"/>
        <c:axId val="160727616"/>
      </c:barChart>
      <c:catAx>
        <c:axId val="308349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60727616"/>
        <c:crosses val="autoZero"/>
        <c:auto val="1"/>
        <c:lblAlgn val="ctr"/>
        <c:lblOffset val="100"/>
        <c:noMultiLvlLbl val="0"/>
      </c:catAx>
      <c:valAx>
        <c:axId val="160727616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349952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Survey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Workbased!$I$18:$I$24</c:f>
              <c:numCache>
                <c:formatCode>0.0%</c:formatCode>
                <c:ptCount val="7"/>
                <c:pt idx="0">
                  <c:v>0.52085002250140267</c:v>
                </c:pt>
                <c:pt idx="1">
                  <c:v>0.22396689220736374</c:v>
                </c:pt>
                <c:pt idx="2">
                  <c:v>9.177238483407979E-2</c:v>
                </c:pt>
                <c:pt idx="3">
                  <c:v>0</c:v>
                </c:pt>
                <c:pt idx="4">
                  <c:v>1.6488161361262171E-3</c:v>
                </c:pt>
                <c:pt idx="5">
                  <c:v>3.5081290769173974E-3</c:v>
                </c:pt>
                <c:pt idx="6">
                  <c:v>0.15825375524411009</c:v>
                </c:pt>
              </c:numCache>
            </c:numRef>
          </c:val>
        </c:ser>
        <c:ser>
          <c:idx val="1"/>
          <c:order val="1"/>
          <c:tx>
            <c:v>Daysim</c:v>
          </c:tx>
          <c:invertIfNegative val="0"/>
          <c:cat>
            <c:strRef>
              <c:f>AllPurposes!$A$17:$A$24</c:f>
              <c:strCache>
                <c:ptCount val="8"/>
                <c:pt idx="0">
                  <c:v>Drive Alone</c:v>
                </c:pt>
                <c:pt idx="1">
                  <c:v>Shared Ride 2</c:v>
                </c:pt>
                <c:pt idx="2">
                  <c:v>Shared Ride 3+</c:v>
                </c:pt>
                <c:pt idx="3">
                  <c:v>Drive-Transit</c:v>
                </c:pt>
                <c:pt idx="4">
                  <c:v>Walk-Transit</c:v>
                </c:pt>
                <c:pt idx="5">
                  <c:v>Bike</c:v>
                </c:pt>
                <c:pt idx="6">
                  <c:v>Walk</c:v>
                </c:pt>
                <c:pt idx="7">
                  <c:v>School Bus</c:v>
                </c:pt>
              </c:strCache>
            </c:strRef>
          </c:cat>
          <c:val>
            <c:numRef>
              <c:f>Workbased!$S$18:$S$24</c:f>
              <c:numCache>
                <c:formatCode>0.0%</c:formatCode>
                <c:ptCount val="7"/>
                <c:pt idx="0">
                  <c:v>0.51048329171939666</c:v>
                </c:pt>
                <c:pt idx="1">
                  <c:v>0.23725644445964589</c:v>
                </c:pt>
                <c:pt idx="2">
                  <c:v>9.7399413984562935E-2</c:v>
                </c:pt>
                <c:pt idx="3">
                  <c:v>0</c:v>
                </c:pt>
                <c:pt idx="4">
                  <c:v>1.6759585456784212E-3</c:v>
                </c:pt>
                <c:pt idx="5">
                  <c:v>4.2868055318033083E-3</c:v>
                </c:pt>
                <c:pt idx="6">
                  <c:v>0.14889808575891278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8864000"/>
        <c:axId val="216936960"/>
      </c:barChart>
      <c:catAx>
        <c:axId val="308864000"/>
        <c:scaling>
          <c:orientation val="minMax"/>
        </c:scaling>
        <c:delete val="0"/>
        <c:axPos val="b"/>
        <c:majorTickMark val="out"/>
        <c:minorTickMark val="none"/>
        <c:tickLblPos val="nextTo"/>
        <c:crossAx val="216936960"/>
        <c:crosses val="autoZero"/>
        <c:auto val="1"/>
        <c:lblAlgn val="ctr"/>
        <c:lblOffset val="100"/>
        <c:noMultiLvlLbl val="0"/>
      </c:catAx>
      <c:valAx>
        <c:axId val="216936960"/>
        <c:scaling>
          <c:orientation val="minMax"/>
        </c:scaling>
        <c:delete val="0"/>
        <c:axPos val="l"/>
        <c:majorGridlines/>
        <c:numFmt formatCode="0.0%" sourceLinked="1"/>
        <c:majorTickMark val="out"/>
        <c:minorTickMark val="none"/>
        <c:tickLblPos val="nextTo"/>
        <c:crossAx val="308864000"/>
        <c:crosses val="autoZero"/>
        <c:crossBetween val="between"/>
        <c:majorUnit val="0.1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<Relationship Id="rId1" Target="../charts/chart4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<Relationship Id="rId1" Target="../charts/chart5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<Relationship Id="rId1" Target="../charts/chart6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<Relationship Id="rId1" Target="../charts/chart7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<Relationship Id="rId1" Target="../charts/chart8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<Relationship Id="rId1" Target="../charts/chart9.xml" Type="http://schemas.openxmlformats.org/officeDocument/2006/relationships/chart"/>
</Relationships>
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11</xdr:row>
      <xdr:rowOff>14287</xdr:rowOff>
    </xdr:from>
    <xdr:to>
      <xdr:col>13</xdr:col>
      <xdr:colOff>342900</xdr:colOff>
      <xdr:row>25</xdr:row>
      <xdr:rowOff>61912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12</xdr:row>
      <xdr:rowOff>0</xdr:rowOff>
    </xdr:from>
    <xdr:to>
      <xdr:col>17</xdr:col>
      <xdr:colOff>371475</xdr:colOff>
      <xdr:row>26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104775</xdr:colOff>
      <xdr:row>9</xdr:row>
      <xdr:rowOff>19050</xdr:rowOff>
    </xdr:from>
    <xdr:to>
      <xdr:col>15</xdr:col>
      <xdr:colOff>581025</xdr:colOff>
      <xdr:row>23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5</xdr:row>
      <xdr:rowOff>0</xdr:rowOff>
    </xdr:from>
    <xdr:to>
      <xdr:col>15</xdr:col>
      <xdr:colOff>476250</xdr:colOff>
      <xdr:row>19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15</xdr:col>
      <xdr:colOff>476250</xdr:colOff>
      <xdr:row>22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11</xdr:row>
      <xdr:rowOff>0</xdr:rowOff>
    </xdr:from>
    <xdr:to>
      <xdr:col>15</xdr:col>
      <xdr:colOff>476250</xdr:colOff>
      <xdr:row>25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10</xdr:row>
      <xdr:rowOff>0</xdr:rowOff>
    </xdr:from>
    <xdr:to>
      <xdr:col>15</xdr:col>
      <xdr:colOff>476250</xdr:colOff>
      <xdr:row>24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9</xdr:row>
      <xdr:rowOff>0</xdr:rowOff>
    </xdr:from>
    <xdr:to>
      <xdr:col>15</xdr:col>
      <xdr:colOff>476250</xdr:colOff>
      <xdr:row>23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10</xdr:row>
      <xdr:rowOff>0</xdr:rowOff>
    </xdr:from>
    <xdr:to>
      <xdr:col>27</xdr:col>
      <xdr:colOff>304800</xdr:colOff>
      <xdr:row>24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<Relationship Id="rId1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<Relationship Id="rId1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<Relationship Id="rId1" Target="../drawings/drawing9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S38"/>
  <sheetViews>
    <sheetView tabSelected="1" workbookViewId="0">
      <selection activeCell="N31" sqref="N31"/>
    </sheetView>
  </sheetViews>
  <sheetFormatPr defaultRowHeight="15" x14ac:dyDescent="0.25"/>
  <cols>
    <col min="1" max="2" customWidth="true" width="16.7109375" collapsed="true"/>
    <col min="4" max="5" customWidth="true" width="16.7109375" collapsed="true"/>
    <col min="15" max="15" bestFit="true" customWidth="true" width="14.140625" collapsed="true"/>
  </cols>
  <sheetData>
    <row r="2" spans="1:19" ht="15.75" thickBot="1" x14ac:dyDescent="0.3">
      <c r="A2" s="1" t="s">
        <v>59</v>
      </c>
      <c r="B2" s="3"/>
      <c r="D2" s="1" t="s">
        <v>24</v>
      </c>
      <c r="E2" s="3"/>
    </row>
    <row r="3" spans="1:19" x14ac:dyDescent="0.25">
      <c r="A3" s="2" t="s">
        <v>0</v>
      </c>
      <c r="B3" s="7" t="s">
        <v>19</v>
      </c>
      <c r="D3" s="2" t="s">
        <v>0</v>
      </c>
      <c r="E3" s="7" t="s">
        <v>19</v>
      </c>
    </row>
    <row r="4" spans="1:19" x14ac:dyDescent="0.25">
      <c r="A4" s="9" t="s">
        <v>1</v>
      </c>
      <c r="B4" s="9">
        <f>SUM(Work!D4,Workbased!I5,School!D4,Escort!D4,Personal_Business!D4,Shop!D4,Meal!D4,SocRec!D4)</f>
        <v>709468.35677512293</v>
      </c>
      <c r="D4" s="9" t="s">
        <v>1</v>
      </c>
      <c r="E4" s="9">
        <f>SUM(Work!I4,Workbased!S5,School!I4,Escort!I4,Personal_Business!I4,Shop!I4,Meal!I4,SocRec!I4)</f>
        <v>702601</v>
      </c>
    </row>
    <row r="5" spans="1:19" x14ac:dyDescent="0.25">
      <c r="A5" s="9" t="s">
        <v>2</v>
      </c>
      <c r="B5" s="9">
        <f>SUM(Work!D5,Workbased!I6,School!D5,Escort!D5,Personal_Business!D5,Shop!D5,Meal!D5,SocRec!D5)</f>
        <v>452967.78520594904</v>
      </c>
      <c r="D5" s="9" t="s">
        <v>2</v>
      </c>
      <c r="E5" s="9">
        <f>SUM(Work!I5,Workbased!S6,School!I5,Escort!I5,Personal_Business!I5,Shop!I5,Meal!I5,SocRec!I5)</f>
        <v>466546</v>
      </c>
      <c r="P5" s="36" t="s">
        <v>60</v>
      </c>
      <c r="Q5" s="36"/>
      <c r="R5" s="36" t="s">
        <v>61</v>
      </c>
      <c r="S5" s="36"/>
    </row>
    <row r="6" spans="1:19" x14ac:dyDescent="0.25">
      <c r="A6" s="9" t="s">
        <v>3</v>
      </c>
      <c r="B6" s="9">
        <f>SUM(Work!D6,Workbased!I7,School!D6,Escort!D6,Personal_Business!D6,Shop!D6,Meal!D6,SocRec!D6)</f>
        <v>335209.73591131932</v>
      </c>
      <c r="D6" s="9" t="s">
        <v>3</v>
      </c>
      <c r="E6" s="9">
        <f>SUM(Work!I6,Workbased!S7,School!I6,Escort!I6,Personal_Business!I6,Shop!I6,Meal!I6,SocRec!I6)</f>
        <v>337724</v>
      </c>
      <c r="P6" t="s">
        <v>46</v>
      </c>
      <c r="Q6" t="s">
        <v>33</v>
      </c>
      <c r="R6" t="s">
        <v>46</v>
      </c>
      <c r="S6" t="s">
        <v>33</v>
      </c>
    </row>
    <row r="7" spans="1:19" x14ac:dyDescent="0.25">
      <c r="A7" s="9" t="s">
        <v>4</v>
      </c>
      <c r="B7" s="9">
        <f>SUM(Work!D7,Workbased!I8,School!D7,Escort!D7,Personal_Business!D7,Shop!D7,Meal!D7,SocRec!D7)</f>
        <v>7920.5986439544658</v>
      </c>
      <c r="D7" s="9" t="s">
        <v>4</v>
      </c>
      <c r="E7" s="9">
        <f>SUM(Work!I7,Workbased!S8,School!I7,Escort!I7,Personal_Business!I7,Shop!I7,Meal!I7,SocRec!I7)</f>
        <v>1648</v>
      </c>
      <c r="O7" s="9" t="str">
        <f>A4</f>
        <v>Drive Alone</v>
      </c>
      <c r="P7" s="9">
        <f>B4</f>
        <v>709468.35677512293</v>
      </c>
      <c r="Q7" s="9">
        <f>E4</f>
        <v>702601</v>
      </c>
      <c r="R7" s="16">
        <f>B17</f>
        <v>0.41982383591464273</v>
      </c>
      <c r="S7" s="16">
        <f>E17</f>
        <v>0.41994189198316173</v>
      </c>
    </row>
    <row r="8" spans="1:19" x14ac:dyDescent="0.25">
      <c r="A8" s="9" t="s">
        <v>5</v>
      </c>
      <c r="B8" s="9">
        <f>SUM(Work!D8,Workbased!I9,School!D8,Escort!D8,Personal_Business!D8,Shop!D8,Meal!D8,SocRec!D8)</f>
        <v>22934.312709766429</v>
      </c>
      <c r="D8" s="9" t="s">
        <v>5</v>
      </c>
      <c r="E8" s="9">
        <f>SUM(Work!I8,Workbased!S9,School!I8,Escort!I8,Personal_Business!I8,Shop!I8,Meal!I8,SocRec!I8)</f>
        <v>9383</v>
      </c>
      <c r="O8" s="9" t="str">
        <f t="shared" ref="O8:O14" si="0">A5</f>
        <v>Shared Ride 2</v>
      </c>
      <c r="P8" s="9">
        <f t="shared" ref="P8:P15" si="1">B5</f>
        <v>452967.78520594904</v>
      </c>
      <c r="Q8" s="9">
        <f t="shared" ref="Q8:Q15" si="2">E5</f>
        <v>466546</v>
      </c>
      <c r="R8" s="16">
        <f t="shared" ref="R8:R15" si="3">B18</f>
        <v>0.26804109205845494</v>
      </c>
      <c r="S8" s="16">
        <f t="shared" ref="S8:S15" si="4">E18</f>
        <v>0.27885273425055779</v>
      </c>
    </row>
    <row r="9" spans="1:19" x14ac:dyDescent="0.25">
      <c r="A9" s="9" t="s">
        <v>6</v>
      </c>
      <c r="B9" s="9">
        <f>SUM(Work!D9,Workbased!I10,School!D9,Escort!D9,Personal_Business!D9,Shop!D9,Meal!D9,SocRec!D9)</f>
        <v>8641.3515225210958</v>
      </c>
      <c r="D9" s="9" t="s">
        <v>6</v>
      </c>
      <c r="E9" s="9">
        <f>SUM(Work!I9,Workbased!S10,School!I9,Escort!I9,Personal_Business!I9,Shop!I9,Meal!I9,SocRec!I9)</f>
        <v>10755</v>
      </c>
      <c r="O9" s="9" t="str">
        <f t="shared" si="0"/>
        <v>Shared Ride 3+</v>
      </c>
      <c r="P9" s="9">
        <f t="shared" si="1"/>
        <v>335209.73591131932</v>
      </c>
      <c r="Q9" s="9">
        <f t="shared" si="2"/>
        <v>337724</v>
      </c>
      <c r="R9" s="16">
        <f t="shared" si="3"/>
        <v>0.19835844096825689</v>
      </c>
      <c r="S9" s="16">
        <f t="shared" si="4"/>
        <v>0.20185632461115385</v>
      </c>
    </row>
    <row r="10" spans="1:19" x14ac:dyDescent="0.25">
      <c r="A10" s="9" t="s">
        <v>7</v>
      </c>
      <c r="B10" s="9">
        <f>SUM(Work!D10,Workbased!I11,School!D10,Escort!D10,Personal_Business!D10,Shop!D10,Meal!D10,SocRec!D10)</f>
        <v>64057.880106193523</v>
      </c>
      <c r="D10" s="9" t="s">
        <v>7</v>
      </c>
      <c r="E10" s="9">
        <f>SUM(Work!I10,Workbased!S11,School!I10,Escort!I10,Personal_Business!I10,Shop!I10,Meal!I10,SocRec!I10)</f>
        <v>59177</v>
      </c>
      <c r="O10" s="9" t="str">
        <f t="shared" si="0"/>
        <v>Drive-Transit</v>
      </c>
      <c r="P10" s="9">
        <f t="shared" si="1"/>
        <v>7920.5986439544658</v>
      </c>
      <c r="Q10" s="9">
        <f t="shared" si="2"/>
        <v>1648</v>
      </c>
      <c r="R10" s="16">
        <f t="shared" si="3"/>
        <v>4.6869688742147428E-3</v>
      </c>
      <c r="S10" s="16">
        <f t="shared" si="4"/>
        <v>9.8500320663968662E-4</v>
      </c>
    </row>
    <row r="11" spans="1:19" x14ac:dyDescent="0.25">
      <c r="A11" s="14" t="s">
        <v>8</v>
      </c>
      <c r="B11" s="14">
        <f>SUM(Work!D11,School!D11,Escort!D11,Personal_Business!D11,Shop!D11,Meal!D11,SocRec!D11)</f>
        <v>88719.169228924089</v>
      </c>
      <c r="D11" s="14" t="s">
        <v>8</v>
      </c>
      <c r="E11" s="14">
        <f>SUM(Work!I11,School!I11,Escort!I11,Personal_Business!I11,Shop!I11,Meal!I11,SocRec!I11)</f>
        <v>85257</v>
      </c>
      <c r="O11" s="9" t="str">
        <f t="shared" si="0"/>
        <v>Walk-Transit</v>
      </c>
      <c r="P11" s="9">
        <f t="shared" si="1"/>
        <v>22934.312709766429</v>
      </c>
      <c r="Q11" s="9">
        <f t="shared" si="2"/>
        <v>9383</v>
      </c>
      <c r="R11" s="16">
        <f t="shared" si="3"/>
        <v>1.3571248166226459E-2</v>
      </c>
      <c r="S11" s="16">
        <f t="shared" si="4"/>
        <v>5.6081826989685555E-3</v>
      </c>
    </row>
    <row r="12" spans="1:19" ht="15.75" thickBot="1" x14ac:dyDescent="0.3">
      <c r="A12" s="13" t="s">
        <v>19</v>
      </c>
      <c r="B12" s="10">
        <f>SUM(B4:B11)</f>
        <v>1689919.1901037507</v>
      </c>
      <c r="D12" s="13" t="s">
        <v>19</v>
      </c>
      <c r="E12" s="10">
        <f>SUM(E4:E11)</f>
        <v>1673091</v>
      </c>
      <c r="O12" s="9" t="str">
        <f t="shared" si="0"/>
        <v>Bike</v>
      </c>
      <c r="P12" s="9">
        <f t="shared" si="1"/>
        <v>8641.3515225210958</v>
      </c>
      <c r="Q12" s="9">
        <f t="shared" si="2"/>
        <v>10755</v>
      </c>
      <c r="R12" s="16">
        <f t="shared" si="3"/>
        <v>5.113470261255847E-3</v>
      </c>
      <c r="S12" s="16">
        <f t="shared" si="4"/>
        <v>6.4282217763409165E-3</v>
      </c>
    </row>
    <row r="13" spans="1:19" x14ac:dyDescent="0.25">
      <c r="O13" s="9" t="str">
        <f t="shared" si="0"/>
        <v>Walk</v>
      </c>
      <c r="P13" s="9">
        <f t="shared" si="1"/>
        <v>64057.880106193523</v>
      </c>
      <c r="Q13" s="9">
        <f t="shared" si="2"/>
        <v>59177</v>
      </c>
      <c r="R13" s="16">
        <f t="shared" si="3"/>
        <v>3.7905883595688833E-2</v>
      </c>
      <c r="S13" s="16">
        <f t="shared" si="4"/>
        <v>3.5369863324828117E-2</v>
      </c>
    </row>
    <row r="14" spans="1:19" x14ac:dyDescent="0.25">
      <c r="E14" s="8"/>
      <c r="O14" s="9" t="str">
        <f t="shared" si="0"/>
        <v>School Bus</v>
      </c>
      <c r="P14" s="9">
        <f t="shared" si="1"/>
        <v>88719.169228924089</v>
      </c>
      <c r="Q14" s="9">
        <f t="shared" si="2"/>
        <v>85257</v>
      </c>
      <c r="R14" s="16">
        <f t="shared" si="3"/>
        <v>5.2499060161259707E-2</v>
      </c>
      <c r="S14" s="16">
        <f t="shared" si="4"/>
        <v>5.095777814834937E-2</v>
      </c>
    </row>
    <row r="15" spans="1:19" ht="15.75" thickBot="1" x14ac:dyDescent="0.3">
      <c r="A15" s="1" t="s">
        <v>44</v>
      </c>
      <c r="B15" s="3"/>
      <c r="D15" s="1" t="s">
        <v>25</v>
      </c>
      <c r="E15" s="3"/>
      <c r="O15" s="9" t="str">
        <f>A12</f>
        <v>Total</v>
      </c>
      <c r="P15" s="9">
        <f t="shared" si="1"/>
        <v>1689919.1901037507</v>
      </c>
      <c r="Q15" s="9">
        <f t="shared" si="2"/>
        <v>1673091</v>
      </c>
      <c r="R15" s="16">
        <f t="shared" si="3"/>
        <v>1</v>
      </c>
      <c r="S15" s="16">
        <f t="shared" si="4"/>
        <v>1</v>
      </c>
    </row>
    <row r="16" spans="1:19" x14ac:dyDescent="0.25">
      <c r="A16" s="2" t="s">
        <v>0</v>
      </c>
      <c r="B16" s="7" t="s">
        <v>19</v>
      </c>
      <c r="D16" s="2" t="s">
        <v>0</v>
      </c>
      <c r="E16" s="7" t="s">
        <v>19</v>
      </c>
    </row>
    <row r="17" spans="1:5" x14ac:dyDescent="0.25">
      <c r="A17" s="9" t="s">
        <v>1</v>
      </c>
      <c r="B17" s="16">
        <f t="shared" ref="B17:B25" si="5">B4/$B$12</f>
        <v>0.41982383591464273</v>
      </c>
      <c r="D17" s="9" t="s">
        <v>1</v>
      </c>
      <c r="E17" s="16">
        <f t="shared" ref="E17:E25" si="6">E4/$E$12</f>
        <v>0.41994189198316173</v>
      </c>
    </row>
    <row r="18" spans="1:5" x14ac:dyDescent="0.25">
      <c r="A18" s="9" t="s">
        <v>2</v>
      </c>
      <c r="B18" s="16">
        <f t="shared" si="5"/>
        <v>0.26804109205845494</v>
      </c>
      <c r="D18" s="9" t="s">
        <v>2</v>
      </c>
      <c r="E18" s="16">
        <f t="shared" si="6"/>
        <v>0.27885273425055779</v>
      </c>
    </row>
    <row r="19" spans="1:5" x14ac:dyDescent="0.25">
      <c r="A19" s="9" t="s">
        <v>3</v>
      </c>
      <c r="B19" s="16">
        <f t="shared" si="5"/>
        <v>0.19835844096825689</v>
      </c>
      <c r="D19" s="9" t="s">
        <v>3</v>
      </c>
      <c r="E19" s="16">
        <f t="shared" si="6"/>
        <v>0.20185632461115385</v>
      </c>
    </row>
    <row r="20" spans="1:5" x14ac:dyDescent="0.25">
      <c r="A20" s="9" t="s">
        <v>4</v>
      </c>
      <c r="B20" s="16">
        <f t="shared" si="5"/>
        <v>4.6869688742147428E-3</v>
      </c>
      <c r="D20" s="9" t="s">
        <v>4</v>
      </c>
      <c r="E20" s="16">
        <f t="shared" si="6"/>
        <v>9.8500320663968662E-4</v>
      </c>
    </row>
    <row r="21" spans="1:5" x14ac:dyDescent="0.25">
      <c r="A21" s="9" t="s">
        <v>5</v>
      </c>
      <c r="B21" s="16">
        <f t="shared" si="5"/>
        <v>1.3571248166226459E-2</v>
      </c>
      <c r="D21" s="9" t="s">
        <v>5</v>
      </c>
      <c r="E21" s="16">
        <f t="shared" si="6"/>
        <v>5.6081826989685555E-3</v>
      </c>
    </row>
    <row r="22" spans="1:5" x14ac:dyDescent="0.25">
      <c r="A22" s="9" t="s">
        <v>6</v>
      </c>
      <c r="B22" s="16">
        <f t="shared" si="5"/>
        <v>5.113470261255847E-3</v>
      </c>
      <c r="D22" s="9" t="s">
        <v>6</v>
      </c>
      <c r="E22" s="16">
        <f t="shared" si="6"/>
        <v>6.4282217763409165E-3</v>
      </c>
    </row>
    <row r="23" spans="1:5" x14ac:dyDescent="0.25">
      <c r="A23" s="9" t="s">
        <v>7</v>
      </c>
      <c r="B23" s="16">
        <f t="shared" si="5"/>
        <v>3.7905883595688833E-2</v>
      </c>
      <c r="D23" s="9" t="s">
        <v>7</v>
      </c>
      <c r="E23" s="16">
        <f t="shared" si="6"/>
        <v>3.5369863324828117E-2</v>
      </c>
    </row>
    <row r="24" spans="1:5" x14ac:dyDescent="0.25">
      <c r="A24" s="14" t="s">
        <v>8</v>
      </c>
      <c r="B24" s="17">
        <f t="shared" si="5"/>
        <v>5.2499060161259707E-2</v>
      </c>
      <c r="D24" s="14" t="s">
        <v>8</v>
      </c>
      <c r="E24" s="17">
        <f t="shared" si="6"/>
        <v>5.095777814834937E-2</v>
      </c>
    </row>
    <row r="25" spans="1:5" ht="15.75" thickBot="1" x14ac:dyDescent="0.3">
      <c r="A25" s="13" t="s">
        <v>19</v>
      </c>
      <c r="B25" s="18">
        <f t="shared" si="5"/>
        <v>1</v>
      </c>
      <c r="D25" s="13" t="s">
        <v>19</v>
      </c>
      <c r="E25" s="18">
        <f t="shared" si="6"/>
        <v>1</v>
      </c>
    </row>
    <row r="28" spans="1:5" ht="15.75" thickBot="1" x14ac:dyDescent="0.3">
      <c r="D28" s="1" t="s">
        <v>26</v>
      </c>
      <c r="E28" s="3"/>
    </row>
    <row r="29" spans="1:5" x14ac:dyDescent="0.25">
      <c r="D29" s="2" t="s">
        <v>0</v>
      </c>
      <c r="E29" s="7" t="s">
        <v>19</v>
      </c>
    </row>
    <row r="30" spans="1:5" x14ac:dyDescent="0.25">
      <c r="D30" s="9" t="s">
        <v>1</v>
      </c>
      <c r="E30" s="16">
        <f>E17-B17</f>
        <v>1.180560685190013E-4</v>
      </c>
    </row>
    <row r="31" spans="1:5" x14ac:dyDescent="0.25">
      <c r="D31" s="9" t="s">
        <v>2</v>
      </c>
      <c r="E31" s="16">
        <f t="shared" ref="E31:E36" si="7">E18-B18</f>
        <v>1.0811642192102844E-2</v>
      </c>
    </row>
    <row r="32" spans="1:5" x14ac:dyDescent="0.25">
      <c r="D32" s="9" t="s">
        <v>3</v>
      </c>
      <c r="E32" s="16">
        <f t="shared" si="7"/>
        <v>3.4978836428969651E-3</v>
      </c>
    </row>
    <row r="33" spans="4:5" x14ac:dyDescent="0.25">
      <c r="D33" s="9" t="s">
        <v>4</v>
      </c>
      <c r="E33" s="16">
        <f t="shared" si="7"/>
        <v>-3.7019656675750562E-3</v>
      </c>
    </row>
    <row r="34" spans="4:5" x14ac:dyDescent="0.25">
      <c r="D34" s="9" t="s">
        <v>5</v>
      </c>
      <c r="E34" s="16">
        <f t="shared" si="7"/>
        <v>-7.9630654672579043E-3</v>
      </c>
    </row>
    <row r="35" spans="4:5" x14ac:dyDescent="0.25">
      <c r="D35" s="9" t="s">
        <v>6</v>
      </c>
      <c r="E35" s="16">
        <f t="shared" si="7"/>
        <v>1.3147515150850695E-3</v>
      </c>
    </row>
    <row r="36" spans="4:5" x14ac:dyDescent="0.25">
      <c r="D36" s="9" t="s">
        <v>7</v>
      </c>
      <c r="E36" s="16">
        <f t="shared" si="7"/>
        <v>-2.5360202708607157E-3</v>
      </c>
    </row>
    <row r="37" spans="4:5" x14ac:dyDescent="0.25">
      <c r="D37" s="14" t="s">
        <v>8</v>
      </c>
      <c r="E37" s="17">
        <f>E24-B24</f>
        <v>-1.5412820129103375E-3</v>
      </c>
    </row>
    <row r="38" spans="4:5" ht="15.75" thickBot="1" x14ac:dyDescent="0.3">
      <c r="D38" s="13" t="s">
        <v>19</v>
      </c>
      <c r="E38" s="18">
        <f>E25-B25</f>
        <v>0</v>
      </c>
    </row>
  </sheetData>
  <mergeCells count="2">
    <mergeCell ref="P5:Q5"/>
    <mergeCell ref="R5:S5"/>
  </mergeCell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N38"/>
  <sheetViews>
    <sheetView topLeftCell="D1" workbookViewId="0">
      <selection activeCell="T16" sqref="T1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45</v>
      </c>
      <c r="B2" s="1"/>
      <c r="C2" s="3"/>
      <c r="D2" s="3"/>
      <c r="F2" s="1" t="s">
        <v>11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764.192078085687</v>
      </c>
      <c r="C4" s="9" t="n">
        <v>393429.7033631221</v>
      </c>
      <c r="D4" s="9">
        <f>SUM(B4:C4)</f>
        <v>394193.8954412078</v>
      </c>
      <c r="F4" s="9" t="s">
        <v>1</v>
      </c>
      <c r="G4" s="9" t="n">
        <v>0.0</v>
      </c>
      <c r="H4" s="9" t="n">
        <v>394713.0</v>
      </c>
      <c r="I4" s="9">
        <f>SUM(G4:H4)</f>
        <v>383499</v>
      </c>
    </row>
    <row r="5" spans="1:9" x14ac:dyDescent="0.25">
      <c r="A5" s="9" t="s">
        <v>2</v>
      </c>
      <c r="B5" s="9" t="n">
        <v>385.59937532570143</v>
      </c>
      <c r="C5" s="9" t="n">
        <v>110357.95793062488</v>
      </c>
      <c r="D5" s="9">
        <f t="shared" ref="D5:D11" si="0">SUM(B5:C5)</f>
        <v>110743.55730595058</v>
      </c>
      <c r="F5" s="9" t="s">
        <v>2</v>
      </c>
      <c r="G5" s="9" t="n">
        <v>1150.0</v>
      </c>
      <c r="H5" s="9" t="n">
        <v>108074.0</v>
      </c>
      <c r="I5" s="9">
        <f t="shared" ref="I5:I11" si="1">SUM(G5:H5)</f>
        <v>116050</v>
      </c>
    </row>
    <row r="6" spans="1:9" x14ac:dyDescent="0.25">
      <c r="A6" s="9" t="s">
        <v>3</v>
      </c>
      <c r="B6" s="9" t="n">
        <v>0.0</v>
      </c>
      <c r="C6" s="9" t="n">
        <v>41384.66468367512</v>
      </c>
      <c r="D6" s="9">
        <f t="shared" si="0"/>
        <v>41384.664683675117</v>
      </c>
      <c r="F6" s="9" t="s">
        <v>3</v>
      </c>
      <c r="G6" s="9" t="n">
        <v>372.0</v>
      </c>
      <c r="H6" s="9" t="n">
        <v>39281.0</v>
      </c>
      <c r="I6" s="9">
        <f t="shared" si="1"/>
        <v>42069</v>
      </c>
    </row>
    <row r="7" spans="1:9" x14ac:dyDescent="0.25">
      <c r="A7" s="9" t="s">
        <v>4</v>
      </c>
      <c r="B7" s="9" t="n">
        <v>134.38446053506868</v>
      </c>
      <c r="C7" s="9" t="n">
        <v>5633.287167709787</v>
      </c>
      <c r="D7" s="9">
        <f t="shared" si="0"/>
        <v>5767.671628244856</v>
      </c>
      <c r="F7" s="9" t="s">
        <v>4</v>
      </c>
      <c r="G7" s="9" t="n">
        <v>198.0</v>
      </c>
      <c r="H7" s="9" t="n">
        <v>3669.0</v>
      </c>
      <c r="I7" s="9">
        <f t="shared" si="1"/>
        <v>1648</v>
      </c>
    </row>
    <row r="8" spans="1:9" x14ac:dyDescent="0.25">
      <c r="A8" s="9" t="s">
        <v>5</v>
      </c>
      <c r="B8" s="9" t="n">
        <v>4712.507855743457</v>
      </c>
      <c r="C8" s="9" t="n">
        <v>5393.381934045442</v>
      </c>
      <c r="D8" s="9">
        <f t="shared" si="0"/>
        <v>10105.8897897889</v>
      </c>
      <c r="F8" s="9" t="s">
        <v>5</v>
      </c>
      <c r="G8" s="9" t="n">
        <v>966.0</v>
      </c>
      <c r="H8" s="9" t="n">
        <v>1934.0</v>
      </c>
      <c r="I8" s="9">
        <f t="shared" si="1"/>
        <v>3468</v>
      </c>
    </row>
    <row r="9" spans="1:9" x14ac:dyDescent="0.25">
      <c r="A9" s="9" t="s">
        <v>6</v>
      </c>
      <c r="B9" s="9" t="n">
        <v>294.7879895052077</v>
      </c>
      <c r="C9" s="9" t="n">
        <v>3409.7561001852346</v>
      </c>
      <c r="D9" s="9">
        <f t="shared" si="0"/>
        <v>3704.5440896904424</v>
      </c>
      <c r="F9" s="9" t="s">
        <v>6</v>
      </c>
      <c r="G9" s="9" t="n">
        <v>1607.0</v>
      </c>
      <c r="H9" s="9" t="n">
        <v>2656.0</v>
      </c>
      <c r="I9" s="9">
        <f t="shared" si="1"/>
        <v>3960</v>
      </c>
    </row>
    <row r="10" spans="1:9" x14ac:dyDescent="0.25">
      <c r="A10" s="9" t="s">
        <v>7</v>
      </c>
      <c r="B10" s="9" t="n">
        <v>350.4494603620712</v>
      </c>
      <c r="C10" s="9" t="n">
        <v>5074.669441764406</v>
      </c>
      <c r="D10" s="9">
        <f t="shared" si="0"/>
        <v>5425.1189021264772</v>
      </c>
      <c r="F10" s="9" t="s">
        <v>7</v>
      </c>
      <c r="G10" s="9" t="n">
        <v>1776.0</v>
      </c>
      <c r="H10" s="9" t="n">
        <v>3746.0</v>
      </c>
      <c r="I10" s="9">
        <f t="shared" si="1"/>
        <v>5624</v>
      </c>
    </row>
    <row r="11" spans="1:9" x14ac:dyDescent="0.25">
      <c r="A11" s="14" t="s">
        <v>8</v>
      </c>
      <c r="B11" s="14" t="n">
        <v>151.1047809089342</v>
      </c>
      <c r="C11" s="14" t="n">
        <v>234.92603435769422</v>
      </c>
      <c r="D11" s="14">
        <f t="shared" si="0"/>
        <v>386.03081526662845</v>
      </c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6793.0260004661277</v>
      </c>
      <c r="C12" s="10">
        <f>SUM(C4:C11)</f>
        <v>564918.34665548475</v>
      </c>
      <c r="D12" s="10">
        <f>SUM(D4:D11)</f>
        <v>571711.37265595072</v>
      </c>
      <c r="F12" s="13" t="s">
        <v>19</v>
      </c>
      <c r="G12" s="10">
        <f>SUM(G4:G11)</f>
        <v>5313</v>
      </c>
      <c r="H12" s="10">
        <f>SUM(H4:H11)</f>
        <v>551005</v>
      </c>
      <c r="I12" s="10">
        <f>SUM(I4:I11)</f>
        <v>556318</v>
      </c>
    </row>
    <row r="14" spans="1:9" x14ac:dyDescent="0.25">
      <c r="G14" s="8"/>
      <c r="H14" s="8"/>
      <c r="I14" s="8"/>
    </row>
    <row r="15" spans="1:9" ht="15.75" thickBot="1" x14ac:dyDescent="0.3">
      <c r="A15" s="1" t="s">
        <v>45</v>
      </c>
      <c r="B15" s="1"/>
      <c r="C15" s="3"/>
      <c r="D15" s="3"/>
      <c r="F15" s="1" t="s">
        <v>11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1.3366746135126629E-3</v>
      </c>
      <c r="C17" s="16">
        <f t="shared" ref="C17:D17" si="2">C4/$D$12</f>
        <v>0.68816140832637163</v>
      </c>
      <c r="D17" s="16">
        <f t="shared" si="2"/>
        <v>0.68949808293988424</v>
      </c>
      <c r="F17" s="9" t="s">
        <v>1</v>
      </c>
      <c r="G17" s="16">
        <f t="shared" ref="G17:I25" si="3">G4/$I$12</f>
        <v>0</v>
      </c>
      <c r="H17" s="16">
        <f t="shared" si="3"/>
        <v>0.689352133132489</v>
      </c>
      <c r="I17" s="16">
        <f t="shared" si="3"/>
        <v>0.689352133132489</v>
      </c>
    </row>
    <row r="18" spans="1:14" x14ac:dyDescent="0.25">
      <c r="A18" s="9" t="s">
        <v>2</v>
      </c>
      <c r="B18" s="16">
        <f t="shared" ref="B18:D18" si="4">B5/$D$12</f>
        <v>6.7446511258706528E-4</v>
      </c>
      <c r="C18" s="16">
        <f t="shared" si="4"/>
        <v>0.19303089497405715</v>
      </c>
      <c r="D18" s="16">
        <f t="shared" si="4"/>
        <v>0.19370536008664424</v>
      </c>
      <c r="F18" s="9" t="s">
        <v>2</v>
      </c>
      <c r="G18" s="16">
        <f t="shared" si="3"/>
        <v>2.0366049633483009E-3</v>
      </c>
      <c r="H18" s="16">
        <f t="shared" si="3"/>
        <v>0.20656710730193881</v>
      </c>
      <c r="I18" s="16">
        <f t="shared" si="3"/>
        <v>0.20860371226528712</v>
      </c>
    </row>
    <row r="19" spans="1:14" x14ac:dyDescent="0.25">
      <c r="A19" s="9" t="s">
        <v>3</v>
      </c>
      <c r="B19" s="16">
        <f t="shared" ref="B19:D19" si="5">B6/$D$12</f>
        <v>0</v>
      </c>
      <c r="C19" s="16">
        <f t="shared" si="5"/>
        <v>7.2387338547102734E-2</v>
      </c>
      <c r="D19" s="16">
        <f t="shared" si="5"/>
        <v>7.2387338547102734E-2</v>
      </c>
      <c r="F19" s="9" t="s">
        <v>3</v>
      </c>
      <c r="G19" s="16">
        <f t="shared" si="3"/>
        <v>7.2440582544515907E-4</v>
      </c>
      <c r="H19" s="16">
        <f t="shared" si="3"/>
        <v>7.4896012712153834E-2</v>
      </c>
      <c r="I19" s="16">
        <f t="shared" si="3"/>
        <v>7.5620418537599002E-2</v>
      </c>
    </row>
    <row r="20" spans="1:14" x14ac:dyDescent="0.25">
      <c r="A20" s="9" t="s">
        <v>4</v>
      </c>
      <c r="B20" s="16">
        <f t="shared" ref="B20:D20" si="6">B7/$D$12</f>
        <v>2.350564759815259E-4</v>
      </c>
      <c r="C20" s="16">
        <f t="shared" si="6"/>
        <v>9.8533760865027152E-3</v>
      </c>
      <c r="D20" s="16">
        <f t="shared" si="6"/>
        <v>1.0088432562484241E-2</v>
      </c>
      <c r="F20" s="9" t="s">
        <v>4</v>
      </c>
      <c r="G20" s="16">
        <f t="shared" si="3"/>
        <v>1.5099277751214234E-4</v>
      </c>
      <c r="H20" s="16">
        <f t="shared" si="3"/>
        <v>2.8113417146308408E-3</v>
      </c>
      <c r="I20" s="16">
        <f t="shared" si="3"/>
        <v>2.9623344921429831E-3</v>
      </c>
    </row>
    <row r="21" spans="1:14" x14ac:dyDescent="0.25">
      <c r="A21" s="9" t="s">
        <v>5</v>
      </c>
      <c r="B21" s="16">
        <f t="shared" ref="B21:D21" si="7">B8/$D$12</f>
        <v>8.242809363492214E-3</v>
      </c>
      <c r="C21" s="16">
        <f t="shared" si="7"/>
        <v>9.4337496016387926E-3</v>
      </c>
      <c r="D21" s="16">
        <f t="shared" si="7"/>
        <v>1.7676558965131008E-2</v>
      </c>
      <c r="F21" s="9" t="s">
        <v>5</v>
      </c>
      <c r="G21" s="16">
        <f t="shared" si="3"/>
        <v>1.5692463662869078E-3</v>
      </c>
      <c r="H21" s="16">
        <f t="shared" si="3"/>
        <v>4.664598305285826E-3</v>
      </c>
      <c r="I21" s="16">
        <f t="shared" si="3"/>
        <v>6.2338446715727337E-3</v>
      </c>
    </row>
    <row r="22" spans="1:14" x14ac:dyDescent="0.25">
      <c r="A22" s="9" t="s">
        <v>6</v>
      </c>
      <c r="B22" s="16">
        <f t="shared" ref="B22:D22" si="8">B9/$D$12</f>
        <v>5.1562379830881499E-4</v>
      </c>
      <c r="C22" s="16">
        <f t="shared" si="8"/>
        <v>5.9641215187741002E-3</v>
      </c>
      <c r="D22" s="16">
        <f t="shared" si="8"/>
        <v>6.4797453170829158E-3</v>
      </c>
      <c r="F22" s="9" t="s">
        <v>6</v>
      </c>
      <c r="G22" s="16">
        <f t="shared" si="3"/>
        <v>2.3349954522413441E-3</v>
      </c>
      <c r="H22" s="16">
        <f t="shared" si="3"/>
        <v>4.7832354876167944E-3</v>
      </c>
      <c r="I22" s="16">
        <f t="shared" si="3"/>
        <v>7.1182309398581389E-3</v>
      </c>
    </row>
    <row r="23" spans="1:14" x14ac:dyDescent="0.25">
      <c r="A23" s="9" t="s">
        <v>7</v>
      </c>
      <c r="B23" s="16">
        <f t="shared" ref="B23:D23" si="9">B10/$D$12</f>
        <v>6.1298318893678472E-4</v>
      </c>
      <c r="C23" s="16">
        <f t="shared" si="9"/>
        <v>8.8762786337263973E-3</v>
      </c>
      <c r="D23" s="16">
        <f t="shared" si="9"/>
        <v>9.4892618226631829E-3</v>
      </c>
      <c r="F23" s="9" t="s">
        <v>7</v>
      </c>
      <c r="G23" s="16">
        <f t="shared" si="3"/>
        <v>2.7340477928091489E-3</v>
      </c>
      <c r="H23" s="16">
        <f t="shared" si="3"/>
        <v>7.3752781682419047E-3</v>
      </c>
      <c r="I23" s="16">
        <f t="shared" si="3"/>
        <v>1.0109325961051054E-2</v>
      </c>
    </row>
    <row r="24" spans="1:14" x14ac:dyDescent="0.25">
      <c r="A24" s="14" t="s">
        <v>8</v>
      </c>
      <c r="B24" s="17">
        <f t="shared" ref="B24:D24" si="10">B11/$D$12</f>
        <v>2.6430256268466308E-4</v>
      </c>
      <c r="C24" s="17">
        <f t="shared" si="10"/>
        <v>4.1091719632288997E-4</v>
      </c>
      <c r="D24" s="17">
        <f t="shared" si="10"/>
        <v>6.7521975900755311E-4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ref="B25:D25" si="11">B12/$D$12</f>
        <v>1.1881915115503731E-2</v>
      </c>
      <c r="C25" s="18">
        <f t="shared" si="11"/>
        <v>0.98811808488449659</v>
      </c>
      <c r="D25" s="18">
        <f t="shared" si="11"/>
        <v>1</v>
      </c>
      <c r="F25" s="13" t="s">
        <v>19</v>
      </c>
      <c r="G25" s="18">
        <f t="shared" si="3"/>
        <v>9.5502931776430024E-3</v>
      </c>
      <c r="H25" s="18">
        <f t="shared" si="3"/>
        <v>0.990449706822357</v>
      </c>
      <c r="I25" s="18">
        <f t="shared" si="3"/>
        <v>1</v>
      </c>
    </row>
    <row r="28" spans="1:14" ht="15.75" thickBot="1" x14ac:dyDescent="0.3">
      <c r="F28" s="1" t="s">
        <v>20</v>
      </c>
      <c r="G28" s="1"/>
      <c r="H28" s="3"/>
      <c r="I28" s="3"/>
      <c r="K28" s="21" t="s">
        <v>35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12">G17-B17</f>
        <v>-1.3366746135126629E-3</v>
      </c>
      <c r="H30" s="16">
        <f t="shared" ref="H30:H38" si="13">H17-C17</f>
        <v>1.1907248061173714E-3</v>
      </c>
      <c r="I30" s="16">
        <f t="shared" ref="I30:I38" si="14">I17-D17</f>
        <v>-1.4594980739524033E-4</v>
      </c>
      <c r="K30" s="23" t="s">
        <v>1</v>
      </c>
      <c r="L30" s="24">
        <f>D17</f>
        <v>0.68949808293988424</v>
      </c>
      <c r="M30" s="24">
        <f t="shared" ref="M30:M38" si="15">I17</f>
        <v>0.689352133132489</v>
      </c>
      <c r="N30" s="24">
        <f>M30-L30</f>
        <v>-1.4594980739524033E-4</v>
      </c>
    </row>
    <row r="31" spans="1:14" x14ac:dyDescent="0.25">
      <c r="F31" s="9" t="s">
        <v>2</v>
      </c>
      <c r="G31" s="16">
        <f t="shared" si="12"/>
        <v>1.3621398507612356E-3</v>
      </c>
      <c r="H31" s="16">
        <f t="shared" si="13"/>
        <v>1.3536212327881658E-2</v>
      </c>
      <c r="I31" s="16">
        <f t="shared" si="14"/>
        <v>1.4898352178642882E-2</v>
      </c>
      <c r="K31" s="30" t="s">
        <v>2</v>
      </c>
      <c r="L31" s="31">
        <f t="shared" ref="L31:L38" si="16">D18</f>
        <v>0.19370536008664424</v>
      </c>
      <c r="M31" s="31">
        <f t="shared" si="15"/>
        <v>0.20860371226528712</v>
      </c>
      <c r="N31" s="31">
        <f t="shared" ref="N31:N38" si="17">M31-L31</f>
        <v>1.4898352178642882E-2</v>
      </c>
    </row>
    <row r="32" spans="1:14" x14ac:dyDescent="0.25">
      <c r="F32" s="9" t="s">
        <v>3</v>
      </c>
      <c r="G32" s="16">
        <f t="shared" si="12"/>
        <v>7.2440582544515907E-4</v>
      </c>
      <c r="H32" s="16">
        <f t="shared" si="13"/>
        <v>2.5086741650511002E-3</v>
      </c>
      <c r="I32" s="16">
        <f t="shared" si="14"/>
        <v>3.2330799904962682E-3</v>
      </c>
      <c r="K32" s="23" t="s">
        <v>3</v>
      </c>
      <c r="L32" s="24">
        <f t="shared" si="16"/>
        <v>7.2387338547102734E-2</v>
      </c>
      <c r="M32" s="24">
        <f t="shared" si="15"/>
        <v>7.5620418537599002E-2</v>
      </c>
      <c r="N32" s="24">
        <f t="shared" si="17"/>
        <v>3.2330799904962682E-3</v>
      </c>
    </row>
    <row r="33" spans="6:14" x14ac:dyDescent="0.25">
      <c r="F33" s="9" t="s">
        <v>4</v>
      </c>
      <c r="G33" s="16">
        <f t="shared" si="12"/>
        <v>-8.4063698469383566E-5</v>
      </c>
      <c r="H33" s="16">
        <f t="shared" si="13"/>
        <v>-7.0420343718718744E-3</v>
      </c>
      <c r="I33" s="16">
        <f t="shared" si="14"/>
        <v>-7.126098070341258E-3</v>
      </c>
      <c r="K33" s="30" t="s">
        <v>4</v>
      </c>
      <c r="L33" s="31">
        <f t="shared" si="16"/>
        <v>1.0088432562484241E-2</v>
      </c>
      <c r="M33" s="31">
        <f t="shared" si="15"/>
        <v>2.9623344921429831E-3</v>
      </c>
      <c r="N33" s="31">
        <f t="shared" si="17"/>
        <v>-7.126098070341258E-3</v>
      </c>
    </row>
    <row r="34" spans="6:14" x14ac:dyDescent="0.25">
      <c r="F34" s="9" t="s">
        <v>5</v>
      </c>
      <c r="G34" s="16">
        <f t="shared" si="12"/>
        <v>-6.6735629972053062E-3</v>
      </c>
      <c r="H34" s="16">
        <f t="shared" si="13"/>
        <v>-4.7691512963529666E-3</v>
      </c>
      <c r="I34" s="16">
        <f t="shared" si="14"/>
        <v>-1.1442714293558275E-2</v>
      </c>
      <c r="K34" s="23" t="s">
        <v>5</v>
      </c>
      <c r="L34" s="24">
        <f t="shared" si="16"/>
        <v>1.7676558965131008E-2</v>
      </c>
      <c r="M34" s="24">
        <f t="shared" si="15"/>
        <v>6.2338446715727337E-3</v>
      </c>
      <c r="N34" s="24">
        <f t="shared" si="17"/>
        <v>-1.1442714293558275E-2</v>
      </c>
    </row>
    <row r="35" spans="6:14" x14ac:dyDescent="0.25">
      <c r="F35" s="9" t="s">
        <v>6</v>
      </c>
      <c r="G35" s="16">
        <f t="shared" si="12"/>
        <v>1.819371653932529E-3</v>
      </c>
      <c r="H35" s="16">
        <f t="shared" si="13"/>
        <v>-1.1808860311573058E-3</v>
      </c>
      <c r="I35" s="16">
        <f t="shared" si="14"/>
        <v>6.3848562277522315E-4</v>
      </c>
      <c r="K35" s="30" t="s">
        <v>6</v>
      </c>
      <c r="L35" s="31">
        <f t="shared" si="16"/>
        <v>6.4797453170829158E-3</v>
      </c>
      <c r="M35" s="31">
        <f t="shared" si="15"/>
        <v>7.1182309398581389E-3</v>
      </c>
      <c r="N35" s="31">
        <f t="shared" si="17"/>
        <v>6.3848562277522315E-4</v>
      </c>
    </row>
    <row r="36" spans="6:14" x14ac:dyDescent="0.25">
      <c r="F36" s="9" t="s">
        <v>7</v>
      </c>
      <c r="G36" s="16">
        <f t="shared" si="12"/>
        <v>2.1210646038723642E-3</v>
      </c>
      <c r="H36" s="16">
        <f t="shared" si="13"/>
        <v>-1.5010004654844927E-3</v>
      </c>
      <c r="I36" s="16">
        <f t="shared" si="14"/>
        <v>6.2006413838787064E-4</v>
      </c>
      <c r="K36" s="23" t="s">
        <v>7</v>
      </c>
      <c r="L36" s="24">
        <f t="shared" si="16"/>
        <v>9.4892618226631829E-3</v>
      </c>
      <c r="M36" s="24">
        <f t="shared" si="15"/>
        <v>1.0109325961051054E-2</v>
      </c>
      <c r="N36" s="24">
        <f t="shared" si="17"/>
        <v>6.2006413838787064E-4</v>
      </c>
    </row>
    <row r="37" spans="6:14" x14ac:dyDescent="0.25">
      <c r="F37" s="14" t="s">
        <v>8</v>
      </c>
      <c r="G37" s="17">
        <f t="shared" si="12"/>
        <v>-2.6430256268466308E-4</v>
      </c>
      <c r="H37" s="17">
        <f t="shared" si="13"/>
        <v>-4.1091719632288997E-4</v>
      </c>
      <c r="I37" s="17">
        <f t="shared" si="14"/>
        <v>-6.7521975900755311E-4</v>
      </c>
      <c r="K37" s="32" t="s">
        <v>8</v>
      </c>
      <c r="L37" s="33">
        <f t="shared" si="16"/>
        <v>6.7521975900755311E-4</v>
      </c>
      <c r="M37" s="33">
        <f t="shared" si="15"/>
        <v>0</v>
      </c>
      <c r="N37" s="33">
        <f t="shared" si="17"/>
        <v>-6.7521975900755311E-4</v>
      </c>
    </row>
    <row r="38" spans="6:14" ht="15.75" thickBot="1" x14ac:dyDescent="0.3">
      <c r="F38" s="13" t="s">
        <v>19</v>
      </c>
      <c r="G38" s="18">
        <f t="shared" si="12"/>
        <v>-2.331621937860729E-3</v>
      </c>
      <c r="H38" s="18">
        <f t="shared" si="13"/>
        <v>2.3316219378604064E-3</v>
      </c>
      <c r="I38" s="18">
        <f t="shared" si="14"/>
        <v>0</v>
      </c>
      <c r="K38" s="25" t="s">
        <v>19</v>
      </c>
      <c r="L38" s="26">
        <f t="shared" si="16"/>
        <v>1</v>
      </c>
      <c r="M38" s="26">
        <f t="shared" si="15"/>
        <v>1</v>
      </c>
      <c r="N38" s="26">
        <f t="shared" si="17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N38"/>
  <sheetViews>
    <sheetView workbookViewId="0">
      <selection activeCell="L7" sqref="L7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47</v>
      </c>
      <c r="B2" s="1"/>
      <c r="C2" s="3"/>
      <c r="D2" s="3"/>
      <c r="F2" s="1" t="s">
        <v>12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25693.869771558013</v>
      </c>
      <c r="D4" s="9">
        <f>SUM(B4:C4)</f>
        <v>25693.869771558013</v>
      </c>
      <c r="E4" s="9"/>
      <c r="F4" s="9" t="s">
        <v>1</v>
      </c>
      <c r="G4" s="9" t="n">
        <v>0.0</v>
      </c>
      <c r="H4" s="9" t="n">
        <v>26722.0</v>
      </c>
      <c r="I4" s="9">
        <f>SUM(G4:H4)</f>
        <v>23681</v>
      </c>
    </row>
    <row r="5" spans="1:9" x14ac:dyDescent="0.25">
      <c r="A5" s="9" t="s">
        <v>2</v>
      </c>
      <c r="B5" s="9" t="n">
        <v>374.3508309133714</v>
      </c>
      <c r="C5" s="9" t="n">
        <v>34967.126764296045</v>
      </c>
      <c r="D5" s="9">
        <f t="shared" ref="D5:D12" si="0">SUM(B5:C5)</f>
        <v>35341.477595209413</v>
      </c>
      <c r="E5" s="9"/>
      <c r="F5" s="9" t="s">
        <v>2</v>
      </c>
      <c r="G5" s="9" t="n">
        <v>421.0</v>
      </c>
      <c r="H5" s="9" t="n">
        <v>35805.0</v>
      </c>
      <c r="I5" s="9">
        <f t="shared" ref="I5:I12" si="1">SUM(G5:H5)</f>
        <v>34847</v>
      </c>
    </row>
    <row r="6" spans="1:9" x14ac:dyDescent="0.25">
      <c r="A6" s="9" t="s">
        <v>3</v>
      </c>
      <c r="B6" s="9" t="n">
        <v>357.87413655221224</v>
      </c>
      <c r="C6" s="9" t="n">
        <v>73752.79930900685</v>
      </c>
      <c r="D6" s="9">
        <f t="shared" si="0"/>
        <v>74110.673445559063</v>
      </c>
      <c r="E6" s="9"/>
      <c r="F6" s="9" t="s">
        <v>3</v>
      </c>
      <c r="G6" s="9" t="n">
        <v>666.0</v>
      </c>
      <c r="H6" s="9" t="n">
        <v>74049.0</v>
      </c>
      <c r="I6" s="9">
        <f t="shared" si="1"/>
        <v>72383</v>
      </c>
    </row>
    <row r="7" spans="1:9" x14ac:dyDescent="0.25">
      <c r="A7" s="9" t="s">
        <v>4</v>
      </c>
      <c r="B7" s="9" t="n">
        <v>60.3370631273951</v>
      </c>
      <c r="C7" s="9" t="n">
        <v>831.3761981443487</v>
      </c>
      <c r="D7" s="9">
        <f t="shared" si="0"/>
        <v>891.71326127174382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2344.3381458650156</v>
      </c>
      <c r="C8" s="9" t="n">
        <v>1440.7196931642843</v>
      </c>
      <c r="D8" s="9">
        <f t="shared" si="0"/>
        <v>3785.0578390292999</v>
      </c>
      <c r="E8" s="9"/>
      <c r="F8" s="9" t="s">
        <v>5</v>
      </c>
      <c r="G8" s="9" t="n">
        <v>520.0</v>
      </c>
      <c r="H8" s="9" t="n">
        <v>613.0</v>
      </c>
      <c r="I8" s="9">
        <f t="shared" si="1"/>
        <v>1337</v>
      </c>
    </row>
    <row r="9" spans="1:9" x14ac:dyDescent="0.25">
      <c r="A9" s="9" t="s">
        <v>6</v>
      </c>
      <c r="B9" s="9" t="n">
        <v>47.4096403999149</v>
      </c>
      <c r="C9" s="9" t="n">
        <v>400.2879316780773</v>
      </c>
      <c r="D9" s="9">
        <f t="shared" si="0"/>
        <v>447.69757207799222</v>
      </c>
      <c r="E9" s="9"/>
      <c r="F9" s="9" t="s">
        <v>6</v>
      </c>
      <c r="G9" s="9" t="n">
        <v>102.0</v>
      </c>
      <c r="H9" s="9" t="n">
        <v>366.0</v>
      </c>
      <c r="I9" s="9">
        <f t="shared" si="1"/>
        <v>365</v>
      </c>
    </row>
    <row r="10" spans="1:9" x14ac:dyDescent="0.25">
      <c r="A10" s="9" t="s">
        <v>7</v>
      </c>
      <c r="B10" s="9" t="n">
        <v>184.5565622914786</v>
      </c>
      <c r="C10" s="9" t="n">
        <v>5733.848480030198</v>
      </c>
      <c r="D10" s="9">
        <f t="shared" si="0"/>
        <v>5918.4050423216759</v>
      </c>
      <c r="E10" s="9"/>
      <c r="F10" s="9" t="s">
        <v>7</v>
      </c>
      <c r="G10" s="9" t="n">
        <v>1266.0</v>
      </c>
      <c r="H10" s="9" t="n">
        <v>7870.0</v>
      </c>
      <c r="I10" s="9">
        <f t="shared" si="1"/>
        <v>10810</v>
      </c>
    </row>
    <row r="11" spans="1:9" x14ac:dyDescent="0.25">
      <c r="A11" s="14" t="s">
        <v>8</v>
      </c>
      <c r="B11" s="14" t="n">
        <v>2596.185540548115</v>
      </c>
      <c r="C11" s="14" t="n">
        <v>82609.99976870342</v>
      </c>
      <c r="D11" s="14">
        <f t="shared" si="0"/>
        <v>85206.185309251538</v>
      </c>
      <c r="E11" s="9"/>
      <c r="F11" s="14" t="s">
        <v>8</v>
      </c>
      <c r="G11" s="14" t="n">
        <v>4638.0</v>
      </c>
      <c r="H11" s="14" t="n">
        <v>81211.0</v>
      </c>
      <c r="I11" s="14">
        <f t="shared" si="1"/>
        <v>85257</v>
      </c>
    </row>
    <row r="12" spans="1:9" ht="15.75" thickBot="1" x14ac:dyDescent="0.3">
      <c r="A12" s="13" t="s">
        <v>19</v>
      </c>
      <c r="B12" s="10">
        <f>SUM(B4:B11)</f>
        <v>5965.0519196975029</v>
      </c>
      <c r="C12" s="10">
        <f>SUM(C4:C11)</f>
        <v>225430.02791658122</v>
      </c>
      <c r="D12" s="10">
        <f t="shared" si="0"/>
        <v>231395.07983627872</v>
      </c>
      <c r="E12" s="9"/>
      <c r="F12" s="13" t="s">
        <v>19</v>
      </c>
      <c r="G12" s="10">
        <f>SUM(G4:G11)</f>
        <v>7196</v>
      </c>
      <c r="H12" s="10">
        <f>SUM(H4:H11)</f>
        <v>221484</v>
      </c>
      <c r="I12" s="10">
        <f t="shared" si="1"/>
        <v>228680</v>
      </c>
    </row>
    <row r="15" spans="1:9" ht="15.75" thickBot="1" x14ac:dyDescent="0.3">
      <c r="A15" s="1" t="s">
        <v>47</v>
      </c>
      <c r="B15" s="1"/>
      <c r="C15" s="3"/>
      <c r="D15" s="3"/>
      <c r="F15" s="1" t="s">
        <v>12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t="shared" ref="C17:D17" si="2">C4/$D$12</f>
        <v>0.11103896327327899</v>
      </c>
      <c r="D17" s="16">
        <f t="shared" si="2"/>
        <v>0.11103896327327899</v>
      </c>
      <c r="F17" s="9" t="s">
        <v>1</v>
      </c>
      <c r="G17" s="16">
        <f t="shared" ref="G17:I25" si="3">G4/$I$12</f>
        <v>0</v>
      </c>
      <c r="H17" s="16">
        <f t="shared" si="3"/>
        <v>0.1035551862865139</v>
      </c>
      <c r="I17" s="16">
        <f t="shared" si="3"/>
        <v>0.1035551862865139</v>
      </c>
    </row>
    <row r="18" spans="1:14" x14ac:dyDescent="0.25">
      <c r="A18" s="9" t="s">
        <v>2</v>
      </c>
      <c r="B18" s="16">
        <f t="shared" ref="B18:D25" si="4">B5/$D$12</f>
        <v>1.6177994414498338E-3</v>
      </c>
      <c r="C18" s="16">
        <f t="shared" si="4"/>
        <v>0.15111439184029621</v>
      </c>
      <c r="D18" s="16">
        <f t="shared" si="4"/>
        <v>0.15273219128174603</v>
      </c>
      <c r="F18" s="9" t="s">
        <v>2</v>
      </c>
      <c r="G18" s="16">
        <f t="shared" si="3"/>
        <v>1.5829980759139409E-3</v>
      </c>
      <c r="H18" s="16">
        <f t="shared" si="3"/>
        <v>0.15080024488368024</v>
      </c>
      <c r="I18" s="16">
        <f t="shared" si="3"/>
        <v>0.15238324295959418</v>
      </c>
    </row>
    <row r="19" spans="1:14" x14ac:dyDescent="0.25">
      <c r="A19" s="9" t="s">
        <v>3</v>
      </c>
      <c r="B19" s="16">
        <f t="shared" si="4"/>
        <v>1.5465935438446769E-3</v>
      </c>
      <c r="C19" s="16">
        <f t="shared" si="4"/>
        <v>0.31873106101127952</v>
      </c>
      <c r="D19" s="16">
        <f t="shared" si="4"/>
        <v>0.32027765455512419</v>
      </c>
      <c r="F19" s="9" t="s">
        <v>3</v>
      </c>
      <c r="G19" s="16">
        <f t="shared" si="3"/>
        <v>2.4357180339338812E-3</v>
      </c>
      <c r="H19" s="16">
        <f t="shared" si="3"/>
        <v>0.31408955746020639</v>
      </c>
      <c r="I19" s="16">
        <f t="shared" si="3"/>
        <v>0.31652527549414028</v>
      </c>
    </row>
    <row r="20" spans="1:14" x14ac:dyDescent="0.25">
      <c r="A20" s="9" t="s">
        <v>4</v>
      </c>
      <c r="B20" s="16">
        <f t="shared" si="4"/>
        <v>2.60753440263665E-4</v>
      </c>
      <c r="C20" s="16">
        <f t="shared" si="4"/>
        <v>3.5928862391221999E-3</v>
      </c>
      <c r="D20" s="16">
        <f t="shared" si="4"/>
        <v>3.8536396793858651E-3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1.0131322357950431E-2</v>
      </c>
      <c r="C21" s="16">
        <f t="shared" si="4"/>
        <v>6.2262330477538723E-3</v>
      </c>
      <c r="D21" s="16">
        <f t="shared" si="4"/>
        <v>1.6357555405704303E-2</v>
      </c>
      <c r="F21" s="9" t="s">
        <v>5</v>
      </c>
      <c r="G21" s="16">
        <f t="shared" si="3"/>
        <v>4.2898373272695469E-3</v>
      </c>
      <c r="H21" s="16">
        <f t="shared" si="3"/>
        <v>1.5567605387440966E-3</v>
      </c>
      <c r="I21" s="16">
        <f t="shared" si="3"/>
        <v>5.8465978660136439E-3</v>
      </c>
    </row>
    <row r="22" spans="1:14" x14ac:dyDescent="0.25">
      <c r="A22" s="9" t="s">
        <v>6</v>
      </c>
      <c r="B22" s="16">
        <f t="shared" si="4"/>
        <v>2.0488612131882458E-4</v>
      </c>
      <c r="C22" s="16">
        <f t="shared" si="4"/>
        <v>1.7298895549607064E-3</v>
      </c>
      <c r="D22" s="16">
        <f t="shared" si="4"/>
        <v>1.934775676279531E-3</v>
      </c>
      <c r="F22" s="9" t="s">
        <v>6</v>
      </c>
      <c r="G22" s="16">
        <f t="shared" si="3"/>
        <v>2.8423998600664687E-4</v>
      </c>
      <c r="H22" s="16">
        <f t="shared" si="3"/>
        <v>1.3118768584922161E-3</v>
      </c>
      <c r="I22" s="16">
        <f t="shared" si="3"/>
        <v>1.5961168444988631E-3</v>
      </c>
    </row>
    <row r="23" spans="1:14" x14ac:dyDescent="0.25">
      <c r="A23" s="9" t="s">
        <v>7</v>
      </c>
      <c r="B23" s="16">
        <f t="shared" si="4"/>
        <v>7.9758205067307286E-4</v>
      </c>
      <c r="C23" s="16">
        <f t="shared" si="4"/>
        <v>2.4779474499142872E-2</v>
      </c>
      <c r="D23" s="16">
        <f t="shared" si="4"/>
        <v>2.5577056549815944E-2</v>
      </c>
      <c r="F23" s="9" t="s">
        <v>7</v>
      </c>
      <c r="G23" s="16">
        <f t="shared" si="3"/>
        <v>4.963267447962218E-3</v>
      </c>
      <c r="H23" s="16">
        <f t="shared" si="3"/>
        <v>4.2308028686373969E-2</v>
      </c>
      <c r="I23" s="16">
        <f t="shared" si="3"/>
        <v>4.7271296134336192E-2</v>
      </c>
    </row>
    <row r="24" spans="1:14" x14ac:dyDescent="0.25">
      <c r="A24" s="14" t="s">
        <v>8</v>
      </c>
      <c r="B24" s="17">
        <f t="shared" si="4"/>
        <v>1.1219709348984518E-2</v>
      </c>
      <c r="C24" s="17">
        <f t="shared" si="4"/>
        <v>0.35700845422968069</v>
      </c>
      <c r="D24" s="17">
        <f t="shared" si="4"/>
        <v>0.36822816357866522</v>
      </c>
      <c r="F24" s="14" t="s">
        <v>8</v>
      </c>
      <c r="G24" s="17">
        <f t="shared" si="3"/>
        <v>1.7911492041280393E-2</v>
      </c>
      <c r="H24" s="17">
        <f t="shared" si="3"/>
        <v>0.35491079237362255</v>
      </c>
      <c r="I24" s="17">
        <f t="shared" si="3"/>
        <v>0.37282228441490289</v>
      </c>
    </row>
    <row r="25" spans="1:14" ht="15.75" thickBot="1" x14ac:dyDescent="0.3">
      <c r="A25" s="13" t="s">
        <v>19</v>
      </c>
      <c r="B25" s="18">
        <f t="shared" si="4"/>
        <v>2.5778646304485023E-2</v>
      </c>
      <c r="C25" s="18">
        <f t="shared" si="4"/>
        <v>0.97422135369551499</v>
      </c>
      <c r="D25" s="18">
        <f t="shared" si="4"/>
        <v>1</v>
      </c>
      <c r="F25" s="13" t="s">
        <v>19</v>
      </c>
      <c r="G25" s="18">
        <f t="shared" si="3"/>
        <v>3.1467552912366623E-2</v>
      </c>
      <c r="H25" s="18">
        <f t="shared" si="3"/>
        <v>0.96853244708763342</v>
      </c>
      <c r="I25" s="18">
        <f t="shared" si="3"/>
        <v>1</v>
      </c>
    </row>
    <row r="28" spans="1:14" ht="15.75" thickBot="1" x14ac:dyDescent="0.3">
      <c r="F28" s="1" t="s">
        <v>27</v>
      </c>
      <c r="G28" s="1"/>
      <c r="H28" s="3"/>
      <c r="I28" s="3"/>
      <c r="K28" s="21" t="s">
        <v>36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0</v>
      </c>
      <c r="H30" s="16">
        <f t="shared" ref="H30:H38" si="6">H17-C17</f>
        <v>-7.4837769867650838E-3</v>
      </c>
      <c r="I30" s="16">
        <f t="shared" ref="I30:I38" si="7">I17-D17</f>
        <v>-7.4837769867650838E-3</v>
      </c>
      <c r="K30" s="23" t="s">
        <v>1</v>
      </c>
      <c r="L30" s="24">
        <f>D17</f>
        <v>0.11103896327327899</v>
      </c>
      <c r="M30" s="24">
        <f t="shared" ref="M30:M38" si="8">I17</f>
        <v>0.1035551862865139</v>
      </c>
      <c r="N30" s="24">
        <f>M30-L30</f>
        <v>-7.4837769867650838E-3</v>
      </c>
    </row>
    <row r="31" spans="1:14" x14ac:dyDescent="0.25">
      <c r="F31" s="9" t="s">
        <v>2</v>
      </c>
      <c r="G31" s="16">
        <f t="shared" si="5"/>
        <v>-3.480136553589289E-5</v>
      </c>
      <c r="H31" s="16">
        <f t="shared" si="6"/>
        <v>-3.1414695661596825E-4</v>
      </c>
      <c r="I31" s="16">
        <f t="shared" si="7"/>
        <v>-3.4894832215184857E-4</v>
      </c>
      <c r="K31" s="30" t="s">
        <v>2</v>
      </c>
      <c r="L31" s="31">
        <f t="shared" ref="L31:L38" si="9">D18</f>
        <v>0.15273219128174603</v>
      </c>
      <c r="M31" s="31">
        <f t="shared" si="8"/>
        <v>0.15238324295959418</v>
      </c>
      <c r="N31" s="31">
        <f t="shared" ref="N31:N38" si="10">M31-L31</f>
        <v>-3.4894832215184857E-4</v>
      </c>
    </row>
    <row r="32" spans="1:14" x14ac:dyDescent="0.25">
      <c r="F32" s="9" t="s">
        <v>3</v>
      </c>
      <c r="G32" s="16">
        <f t="shared" si="5"/>
        <v>8.8912449008920428E-4</v>
      </c>
      <c r="H32" s="16">
        <f t="shared" si="6"/>
        <v>-4.6415035510731228E-3</v>
      </c>
      <c r="I32" s="16">
        <f t="shared" si="7"/>
        <v>-3.7523790609839125E-3</v>
      </c>
      <c r="K32" s="23" t="s">
        <v>3</v>
      </c>
      <c r="L32" s="24">
        <f t="shared" si="9"/>
        <v>0.32027765455512419</v>
      </c>
      <c r="M32" s="24">
        <f t="shared" si="8"/>
        <v>0.31652527549414028</v>
      </c>
      <c r="N32" s="24">
        <f t="shared" si="10"/>
        <v>-3.7523790609839125E-3</v>
      </c>
    </row>
    <row r="33" spans="6:14" x14ac:dyDescent="0.25">
      <c r="F33" s="9" t="s">
        <v>4</v>
      </c>
      <c r="G33" s="16">
        <f t="shared" si="5"/>
        <v>-2.60753440263665E-4</v>
      </c>
      <c r="H33" s="16">
        <f t="shared" si="6"/>
        <v>-3.5928862391221999E-3</v>
      </c>
      <c r="I33" s="16">
        <f t="shared" si="7"/>
        <v>-3.8536396793858651E-3</v>
      </c>
      <c r="K33" s="30" t="s">
        <v>4</v>
      </c>
      <c r="L33" s="31">
        <f t="shared" si="9"/>
        <v>3.8536396793858651E-3</v>
      </c>
      <c r="M33" s="31">
        <f t="shared" si="8"/>
        <v>0</v>
      </c>
      <c r="N33" s="31">
        <f t="shared" si="10"/>
        <v>-3.8536396793858651E-3</v>
      </c>
    </row>
    <row r="34" spans="6:14" x14ac:dyDescent="0.25">
      <c r="F34" s="9" t="s">
        <v>5</v>
      </c>
      <c r="G34" s="16">
        <f t="shared" si="5"/>
        <v>-5.8414850306808845E-3</v>
      </c>
      <c r="H34" s="16">
        <f t="shared" si="6"/>
        <v>-4.6694725090097762E-3</v>
      </c>
      <c r="I34" s="16">
        <f t="shared" si="7"/>
        <v>-1.0510957539690658E-2</v>
      </c>
      <c r="K34" s="23" t="s">
        <v>5</v>
      </c>
      <c r="L34" s="24">
        <f t="shared" si="9"/>
        <v>1.6357555405704303E-2</v>
      </c>
      <c r="M34" s="24">
        <f t="shared" si="8"/>
        <v>5.8465978660136439E-3</v>
      </c>
      <c r="N34" s="24">
        <f t="shared" si="10"/>
        <v>-1.0510957539690658E-2</v>
      </c>
    </row>
    <row r="35" spans="6:14" x14ac:dyDescent="0.25">
      <c r="F35" s="9" t="s">
        <v>6</v>
      </c>
      <c r="G35" s="16">
        <f t="shared" si="5"/>
        <v>7.9353864687822291E-5</v>
      </c>
      <c r="H35" s="16">
        <f t="shared" si="6"/>
        <v>-4.1801269646849024E-4</v>
      </c>
      <c r="I35" s="16">
        <f t="shared" si="7"/>
        <v>-3.3865883178066792E-4</v>
      </c>
      <c r="K35" s="30" t="s">
        <v>6</v>
      </c>
      <c r="L35" s="31">
        <f t="shared" si="9"/>
        <v>1.934775676279531E-3</v>
      </c>
      <c r="M35" s="31">
        <f t="shared" si="8"/>
        <v>1.5961168444988631E-3</v>
      </c>
      <c r="N35" s="31">
        <f t="shared" si="10"/>
        <v>-3.3865883178066792E-4</v>
      </c>
    </row>
    <row r="36" spans="6:14" x14ac:dyDescent="0.25">
      <c r="F36" s="9" t="s">
        <v>7</v>
      </c>
      <c r="G36" s="16">
        <f t="shared" si="5"/>
        <v>4.1656853972891449E-3</v>
      </c>
      <c r="H36" s="16">
        <f t="shared" si="6"/>
        <v>1.7528554187231097E-2</v>
      </c>
      <c r="I36" s="16">
        <f t="shared" si="7"/>
        <v>2.1694239584520249E-2</v>
      </c>
      <c r="K36" s="23" t="s">
        <v>7</v>
      </c>
      <c r="L36" s="24">
        <f t="shared" si="9"/>
        <v>2.5577056549815944E-2</v>
      </c>
      <c r="M36" s="24">
        <f t="shared" si="8"/>
        <v>4.7271296134336192E-2</v>
      </c>
      <c r="N36" s="24">
        <f t="shared" si="10"/>
        <v>2.1694239584520249E-2</v>
      </c>
    </row>
    <row r="37" spans="6:14" x14ac:dyDescent="0.25">
      <c r="F37" s="14" t="s">
        <v>8</v>
      </c>
      <c r="G37" s="17">
        <f t="shared" si="5"/>
        <v>6.6917826922958754E-3</v>
      </c>
      <c r="H37" s="17">
        <f t="shared" si="6"/>
        <v>-2.0976618560581417E-3</v>
      </c>
      <c r="I37" s="17">
        <f t="shared" si="7"/>
        <v>4.5941208362376695E-3</v>
      </c>
      <c r="K37" s="32" t="s">
        <v>8</v>
      </c>
      <c r="L37" s="33">
        <f t="shared" si="9"/>
        <v>0.36822816357866522</v>
      </c>
      <c r="M37" s="33">
        <f t="shared" si="8"/>
        <v>0.37282228441490289</v>
      </c>
      <c r="N37" s="33">
        <f t="shared" si="10"/>
        <v>4.5941208362376695E-3</v>
      </c>
    </row>
    <row r="38" spans="6:14" ht="15.75" thickBot="1" x14ac:dyDescent="0.3">
      <c r="F38" s="13" t="s">
        <v>19</v>
      </c>
      <c r="G38" s="18">
        <f t="shared" si="5"/>
        <v>5.6889066078815997E-3</v>
      </c>
      <c r="H38" s="18">
        <f t="shared" si="6"/>
        <v>-5.688906607881572E-3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N38"/>
  <sheetViews>
    <sheetView workbookViewId="0">
      <selection activeCell="N24" sqref="N24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48</v>
      </c>
      <c r="B2" s="1"/>
      <c r="C2" s="3"/>
      <c r="D2" s="3"/>
      <c r="F2" s="1" t="s">
        <v>13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0.0</v>
      </c>
      <c r="C4" s="9" t="n">
        <v>3614.2796424409617</v>
      </c>
      <c r="D4" s="9">
        <f>SUM(B4:C4)</f>
        <v>3614.2796424409617</v>
      </c>
      <c r="F4" s="9" t="s">
        <v>1</v>
      </c>
      <c r="G4" s="9" t="n">
        <v>0.0</v>
      </c>
      <c r="H4" s="9" t="n">
        <v>2221.0</v>
      </c>
      <c r="I4" s="9">
        <f>SUM(G4:H4)</f>
        <v>252</v>
      </c>
    </row>
    <row r="5" spans="1:9" x14ac:dyDescent="0.25">
      <c r="A5" s="9" t="s">
        <v>2</v>
      </c>
      <c r="B5" s="9" t="n">
        <v>22.8672043951755</v>
      </c>
      <c r="C5" s="9" t="n">
        <v>84145.54327316719</v>
      </c>
      <c r="D5" s="9">
        <f t="shared" ref="D5:D12" si="0">SUM(B5:C5)</f>
        <v>84168.410477562371</v>
      </c>
      <c r="F5" s="9" t="s">
        <v>2</v>
      </c>
      <c r="G5" s="9" t="n">
        <v>1276.0</v>
      </c>
      <c r="H5" s="9" t="n">
        <v>72719.0</v>
      </c>
      <c r="I5" s="9">
        <f t="shared" ref="I5:I12" si="1">SUM(G5:H5)</f>
        <v>83794</v>
      </c>
    </row>
    <row r="6" spans="1:9" x14ac:dyDescent="0.25">
      <c r="A6" s="9" t="s">
        <v>3</v>
      </c>
      <c r="B6" s="9" t="n">
        <v>890.0917817505054</v>
      </c>
      <c r="C6" s="9" t="n">
        <v>84264.42412769458</v>
      </c>
      <c r="D6" s="9">
        <f t="shared" si="0"/>
        <v>85154.515909445094</v>
      </c>
      <c r="F6" s="9" t="s">
        <v>3</v>
      </c>
      <c r="G6" s="9" t="n">
        <v>1325.0</v>
      </c>
      <c r="H6" s="9" t="n">
        <v>72910.0</v>
      </c>
      <c r="I6" s="9">
        <f t="shared" si="1"/>
        <v>84647</v>
      </c>
    </row>
    <row r="7" spans="1:9" x14ac:dyDescent="0.25">
      <c r="A7" s="9" t="s">
        <v>4</v>
      </c>
      <c r="B7" s="9" t="n">
        <v>0.0</v>
      </c>
      <c r="C7" s="9" t="n">
        <v>593.25632717503</v>
      </c>
      <c r="D7" s="9">
        <f t="shared" si="0"/>
        <v>593.25632717503004</v>
      </c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250.30836630208069</v>
      </c>
      <c r="C8" s="9" t="n">
        <v>418.810297131671</v>
      </c>
      <c r="D8" s="9">
        <f t="shared" si="0"/>
        <v>669.11866343375164</v>
      </c>
      <c r="F8" s="9" t="s">
        <v>5</v>
      </c>
      <c r="G8" s="9" t="n">
        <v>0.0</v>
      </c>
      <c r="H8" s="9" t="n">
        <v>0.0</v>
      </c>
      <c r="I8" s="9">
        <f t="shared" si="1"/>
        <v>0</v>
      </c>
    </row>
    <row r="9" spans="1:9" x14ac:dyDescent="0.25">
      <c r="A9" s="9" t="s">
        <v>6</v>
      </c>
      <c r="B9" s="9" t="n">
        <v>0.0</v>
      </c>
      <c r="C9" s="9" t="n">
        <v>0.0</v>
      </c>
      <c r="D9" s="9">
        <f t="shared" si="0"/>
        <v>0</v>
      </c>
      <c r="F9" s="9" t="s">
        <v>6</v>
      </c>
      <c r="G9" s="9" t="n">
        <v>2448.0</v>
      </c>
      <c r="H9" s="9" t="n">
        <v>1042.0</v>
      </c>
      <c r="I9" s="9">
        <f t="shared" si="1"/>
        <v>1740</v>
      </c>
    </row>
    <row r="10" spans="1:9" x14ac:dyDescent="0.25">
      <c r="A10" s="9" t="s">
        <v>7</v>
      </c>
      <c r="B10" s="9" t="n">
        <v>282.470187868377</v>
      </c>
      <c r="C10" s="9" t="n">
        <v>5166.662231928434</v>
      </c>
      <c r="D10" s="9">
        <f t="shared" si="0"/>
        <v>5449.1324197968115</v>
      </c>
      <c r="F10" s="9" t="s">
        <v>7</v>
      </c>
      <c r="G10" s="9" t="n">
        <v>2344.0</v>
      </c>
      <c r="H10" s="9" t="n">
        <v>2093.0</v>
      </c>
      <c r="I10" s="9">
        <f t="shared" si="1"/>
        <v>6295</v>
      </c>
    </row>
    <row r="11" spans="1:9" x14ac:dyDescent="0.25">
      <c r="A11" s="14" t="s">
        <v>8</v>
      </c>
      <c r="B11" s="14" t="n">
        <v>0.0</v>
      </c>
      <c r="C11" s="14" t="n">
        <v>374.72771456946</v>
      </c>
      <c r="D11" s="14">
        <f t="shared" si="0"/>
        <v>374.72771456945998</v>
      </c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1445.7375403161386</v>
      </c>
      <c r="C12" s="10">
        <f>SUM(C4:C11)</f>
        <v>178577.70361410736</v>
      </c>
      <c r="D12" s="10">
        <f t="shared" si="0"/>
        <v>180023.44115442349</v>
      </c>
      <c r="F12" s="13" t="s">
        <v>19</v>
      </c>
      <c r="G12" s="10">
        <f>SUM(G4:G11)</f>
        <v>7434</v>
      </c>
      <c r="H12" s="10">
        <f>SUM(H4:H11)</f>
        <v>169294</v>
      </c>
      <c r="I12" s="10">
        <f t="shared" si="1"/>
        <v>176728</v>
      </c>
    </row>
    <row r="15" spans="1:9" ht="15.75" thickBot="1" x14ac:dyDescent="0.3">
      <c r="A15" s="1" t="s">
        <v>48</v>
      </c>
      <c r="B15" s="1"/>
      <c r="C15" s="3"/>
      <c r="D15" s="3"/>
      <c r="F15" s="1" t="s">
        <v>13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0</v>
      </c>
      <c r="C17" s="16">
        <f t="shared" ref="C17:D17" si="2">C4/$D$12</f>
        <v>2.0076716783458466E-2</v>
      </c>
      <c r="D17" s="16">
        <f t="shared" si="2"/>
        <v>2.0076716783458466E-2</v>
      </c>
      <c r="F17" s="9" t="s">
        <v>1</v>
      </c>
      <c r="G17" s="16">
        <f t="shared" ref="G17:I25" si="3">G4/$I$12</f>
        <v>0</v>
      </c>
      <c r="H17" s="16">
        <f t="shared" si="3"/>
        <v>1.4259200579421485E-3</v>
      </c>
      <c r="I17" s="16">
        <f t="shared" si="3"/>
        <v>1.4259200579421485E-3</v>
      </c>
    </row>
    <row r="18" spans="1:14" x14ac:dyDescent="0.25">
      <c r="A18" s="9" t="s">
        <v>2</v>
      </c>
      <c r="B18" s="16">
        <f t="shared" ref="B18:D25" si="4">B5/$D$12</f>
        <v>1.2702348232283866E-4</v>
      </c>
      <c r="C18" s="16">
        <f t="shared" si="4"/>
        <v>0.46741436967082212</v>
      </c>
      <c r="D18" s="16">
        <f t="shared" si="4"/>
        <v>0.46754139315314497</v>
      </c>
      <c r="F18" s="9" t="s">
        <v>2</v>
      </c>
      <c r="G18" s="16">
        <f t="shared" si="3"/>
        <v>9.0760943370603413E-3</v>
      </c>
      <c r="H18" s="16">
        <f t="shared" si="3"/>
        <v>0.46506495858041735</v>
      </c>
      <c r="I18" s="16">
        <f t="shared" si="3"/>
        <v>0.47414105291747771</v>
      </c>
    </row>
    <row r="19" spans="1:14" x14ac:dyDescent="0.25">
      <c r="A19" s="9" t="s">
        <v>3</v>
      </c>
      <c r="B19" s="16">
        <f t="shared" si="4"/>
        <v>4.9443104522537583E-3</v>
      </c>
      <c r="C19" s="16">
        <f t="shared" si="4"/>
        <v>0.46807473286444318</v>
      </c>
      <c r="D19" s="16">
        <f t="shared" si="4"/>
        <v>0.47301904331669697</v>
      </c>
      <c r="F19" s="9" t="s">
        <v>3</v>
      </c>
      <c r="G19" s="16">
        <f t="shared" si="3"/>
        <v>8.8610746457833504E-3</v>
      </c>
      <c r="H19" s="16">
        <f t="shared" si="3"/>
        <v>0.47010660449956998</v>
      </c>
      <c r="I19" s="16">
        <f t="shared" si="3"/>
        <v>0.47896767914535332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3.2954393237386056E-3</v>
      </c>
      <c r="D20" s="16">
        <f t="shared" si="4"/>
        <v>3.2954393237386056E-3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1.3904209623865984E-3</v>
      </c>
      <c r="C21" s="16">
        <f t="shared" si="4"/>
        <v>2.3264209063330646E-3</v>
      </c>
      <c r="D21" s="16">
        <f t="shared" si="4"/>
        <v>3.7168418687196629E-3</v>
      </c>
      <c r="F21" s="9" t="s">
        <v>5</v>
      </c>
      <c r="G21" s="16">
        <f t="shared" si="3"/>
        <v>0</v>
      </c>
      <c r="H21" s="16">
        <f t="shared" si="3"/>
        <v>0</v>
      </c>
      <c r="I21" s="16">
        <f t="shared" si="3"/>
        <v>0</v>
      </c>
    </row>
    <row r="22" spans="1:14" x14ac:dyDescent="0.25">
      <c r="A22" s="9" t="s">
        <v>6</v>
      </c>
      <c r="B22" s="16">
        <f t="shared" si="4"/>
        <v>0</v>
      </c>
      <c r="C22" s="16">
        <f t="shared" si="4"/>
        <v>0</v>
      </c>
      <c r="D22" s="16">
        <f t="shared" si="4"/>
        <v>0</v>
      </c>
      <c r="F22" s="9" t="s">
        <v>6</v>
      </c>
      <c r="G22" s="16">
        <f t="shared" si="3"/>
        <v>8.5159114571544976E-3</v>
      </c>
      <c r="H22" s="16">
        <f t="shared" si="3"/>
        <v>1.3297270381603368E-3</v>
      </c>
      <c r="I22" s="16">
        <f t="shared" si="3"/>
        <v>9.8456384953148346E-3</v>
      </c>
    </row>
    <row r="23" spans="1:14" x14ac:dyDescent="0.25">
      <c r="A23" s="9" t="s">
        <v>7</v>
      </c>
      <c r="B23" s="16">
        <f t="shared" si="4"/>
        <v>1.5690744830617646E-3</v>
      </c>
      <c r="C23" s="16">
        <f t="shared" si="4"/>
        <v>2.8699941512041697E-2</v>
      </c>
      <c r="D23" s="16">
        <f t="shared" si="4"/>
        <v>3.0269015995103461E-2</v>
      </c>
      <c r="F23" s="9" t="s">
        <v>7</v>
      </c>
      <c r="G23" s="16">
        <f t="shared" si="3"/>
        <v>1.5611561269295188E-2</v>
      </c>
      <c r="H23" s="16">
        <f t="shared" si="3"/>
        <v>2.0008148114616812E-2</v>
      </c>
      <c r="I23" s="16">
        <f t="shared" si="3"/>
        <v>3.5619709383911999E-2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2.0815495591378005E-3</v>
      </c>
      <c r="D24" s="17">
        <f t="shared" si="4"/>
        <v>2.0815495591378005E-3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8.0308293800249592E-3</v>
      </c>
      <c r="C25" s="18">
        <f t="shared" si="4"/>
        <v>0.99196917061997514</v>
      </c>
      <c r="D25" s="18">
        <f t="shared" si="4"/>
        <v>1</v>
      </c>
      <c r="F25" s="13" t="s">
        <v>19</v>
      </c>
      <c r="G25" s="18">
        <f t="shared" si="3"/>
        <v>4.2064641709293381E-2</v>
      </c>
      <c r="H25" s="18">
        <f t="shared" si="3"/>
        <v>0.95793535829070664</v>
      </c>
      <c r="I25" s="18">
        <f t="shared" si="3"/>
        <v>1</v>
      </c>
    </row>
    <row r="28" spans="1:14" ht="15.75" thickBot="1" x14ac:dyDescent="0.3">
      <c r="F28" s="1" t="s">
        <v>28</v>
      </c>
      <c r="G28" s="1"/>
      <c r="H28" s="3"/>
      <c r="I28" s="3"/>
      <c r="K28" s="21" t="s">
        <v>37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0</v>
      </c>
      <c r="H30" s="16">
        <f t="shared" ref="H30:H38" si="6">H17-C17</f>
        <v>-1.8650796725516318E-2</v>
      </c>
      <c r="I30" s="16">
        <f t="shared" ref="I30:I38" si="7">I17-D17</f>
        <v>-1.8650796725516318E-2</v>
      </c>
      <c r="K30" s="23" t="s">
        <v>1</v>
      </c>
      <c r="L30" s="24">
        <f>D17</f>
        <v>2.0076716783458466E-2</v>
      </c>
      <c r="M30" s="24">
        <f t="shared" ref="M30:M38" si="8">I17</f>
        <v>1.4259200579421485E-3</v>
      </c>
      <c r="N30" s="24">
        <f>M30-L30</f>
        <v>-1.8650796725516318E-2</v>
      </c>
    </row>
    <row r="31" spans="1:14" x14ac:dyDescent="0.25">
      <c r="F31" s="9" t="s">
        <v>2</v>
      </c>
      <c r="G31" s="16">
        <f t="shared" si="5"/>
        <v>8.9490708547375029E-3</v>
      </c>
      <c r="H31" s="16">
        <f t="shared" si="6"/>
        <v>-2.3494110904047627E-3</v>
      </c>
      <c r="I31" s="16">
        <f t="shared" si="7"/>
        <v>6.5996597643327437E-3</v>
      </c>
      <c r="K31" s="30" t="s">
        <v>2</v>
      </c>
      <c r="L31" s="31">
        <f t="shared" ref="L31:L38" si="9">D18</f>
        <v>0.46754139315314497</v>
      </c>
      <c r="M31" s="31">
        <f t="shared" si="8"/>
        <v>0.47414105291747771</v>
      </c>
      <c r="N31" s="31">
        <f t="shared" ref="N31:N38" si="10">M31-L31</f>
        <v>6.5996597643327437E-3</v>
      </c>
    </row>
    <row r="32" spans="1:14" x14ac:dyDescent="0.25">
      <c r="F32" s="9" t="s">
        <v>3</v>
      </c>
      <c r="G32" s="16">
        <f t="shared" si="5"/>
        <v>3.9167641935295922E-3</v>
      </c>
      <c r="H32" s="16">
        <f t="shared" si="6"/>
        <v>2.0318716351268029E-3</v>
      </c>
      <c r="I32" s="16">
        <f t="shared" si="7"/>
        <v>5.9486358286563457E-3</v>
      </c>
      <c r="K32" s="23" t="s">
        <v>3</v>
      </c>
      <c r="L32" s="24">
        <f t="shared" si="9"/>
        <v>0.47301904331669697</v>
      </c>
      <c r="M32" s="24">
        <f t="shared" si="8"/>
        <v>0.47896767914535332</v>
      </c>
      <c r="N32" s="24">
        <f t="shared" si="10"/>
        <v>5.9486358286563457E-3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-3.2954393237386056E-3</v>
      </c>
      <c r="I33" s="16">
        <f t="shared" si="7"/>
        <v>-3.2954393237386056E-3</v>
      </c>
      <c r="K33" s="30" t="s">
        <v>4</v>
      </c>
      <c r="L33" s="31">
        <f t="shared" si="9"/>
        <v>3.2954393237386056E-3</v>
      </c>
      <c r="M33" s="31">
        <f t="shared" si="8"/>
        <v>0</v>
      </c>
      <c r="N33" s="31">
        <f t="shared" si="10"/>
        <v>-3.2954393237386056E-3</v>
      </c>
    </row>
    <row r="34" spans="6:14" x14ac:dyDescent="0.25">
      <c r="F34" s="9" t="s">
        <v>5</v>
      </c>
      <c r="G34" s="16">
        <f t="shared" si="5"/>
        <v>-1.3904209623865984E-3</v>
      </c>
      <c r="H34" s="16">
        <f t="shared" si="6"/>
        <v>-2.3264209063330646E-3</v>
      </c>
      <c r="I34" s="16">
        <f t="shared" si="7"/>
        <v>-3.7168418687196629E-3</v>
      </c>
      <c r="K34" s="23" t="s">
        <v>5</v>
      </c>
      <c r="L34" s="24">
        <f t="shared" si="9"/>
        <v>3.7168418687196629E-3</v>
      </c>
      <c r="M34" s="24">
        <f t="shared" si="8"/>
        <v>0</v>
      </c>
      <c r="N34" s="24">
        <f t="shared" si="10"/>
        <v>-3.7168418687196629E-3</v>
      </c>
    </row>
    <row r="35" spans="6:14" x14ac:dyDescent="0.25">
      <c r="F35" s="9" t="s">
        <v>6</v>
      </c>
      <c r="G35" s="16">
        <f t="shared" si="5"/>
        <v>8.5159114571544976E-3</v>
      </c>
      <c r="H35" s="16">
        <f t="shared" si="6"/>
        <v>1.3297270381603368E-3</v>
      </c>
      <c r="I35" s="16">
        <f t="shared" si="7"/>
        <v>9.8456384953148346E-3</v>
      </c>
      <c r="K35" s="30" t="s">
        <v>6</v>
      </c>
      <c r="L35" s="31">
        <f t="shared" si="9"/>
        <v>0</v>
      </c>
      <c r="M35" s="31">
        <f t="shared" si="8"/>
        <v>9.8456384953148346E-3</v>
      </c>
      <c r="N35" s="31">
        <f t="shared" si="10"/>
        <v>9.8456384953148346E-3</v>
      </c>
    </row>
    <row r="36" spans="6:14" x14ac:dyDescent="0.25">
      <c r="F36" s="9" t="s">
        <v>7</v>
      </c>
      <c r="G36" s="16">
        <f t="shared" si="5"/>
        <v>1.4042486786233424E-2</v>
      </c>
      <c r="H36" s="16">
        <f t="shared" si="6"/>
        <v>-8.6917933974248844E-3</v>
      </c>
      <c r="I36" s="16">
        <f t="shared" si="7"/>
        <v>5.3506933888085376E-3</v>
      </c>
      <c r="K36" s="23" t="s">
        <v>7</v>
      </c>
      <c r="L36" s="24">
        <f t="shared" si="9"/>
        <v>3.0269015995103461E-2</v>
      </c>
      <c r="M36" s="24">
        <f t="shared" si="8"/>
        <v>3.5619709383911999E-2</v>
      </c>
      <c r="N36" s="24">
        <f t="shared" si="10"/>
        <v>5.3506933888085376E-3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-2.0815495591378005E-3</v>
      </c>
      <c r="I37" s="17">
        <f t="shared" si="7"/>
        <v>-2.0815495591378005E-3</v>
      </c>
      <c r="K37" s="32" t="s">
        <v>8</v>
      </c>
      <c r="L37" s="33">
        <f t="shared" si="9"/>
        <v>2.0815495591378005E-3</v>
      </c>
      <c r="M37" s="33">
        <f t="shared" si="8"/>
        <v>0</v>
      </c>
      <c r="N37" s="33">
        <f t="shared" si="10"/>
        <v>-2.0815495591378005E-3</v>
      </c>
    </row>
    <row r="38" spans="6:14" ht="15.75" thickBot="1" x14ac:dyDescent="0.3">
      <c r="F38" s="13" t="s">
        <v>19</v>
      </c>
      <c r="G38" s="18">
        <f t="shared" si="5"/>
        <v>3.4033812329268422E-2</v>
      </c>
      <c r="H38" s="18">
        <f t="shared" si="6"/>
        <v>-3.4033812329268498E-2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38"/>
  <sheetViews>
    <sheetView workbookViewId="0">
      <selection activeCell="P26" sqref="P2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49</v>
      </c>
      <c r="B2" s="1"/>
      <c r="C2" s="3"/>
      <c r="D2" s="3"/>
      <c r="F2" s="1" t="s">
        <v>17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213.1395914669737</v>
      </c>
      <c r="C4" s="9" t="n">
        <v>90877.30593082237</v>
      </c>
      <c r="D4" s="9">
        <f>SUM(B4:C4)</f>
        <v>91090.445522289345</v>
      </c>
      <c r="E4" s="9"/>
      <c r="F4" s="9" t="s">
        <v>1</v>
      </c>
      <c r="G4" s="9" t="n">
        <v>0.0</v>
      </c>
      <c r="H4" s="9" t="n">
        <v>100359.0</v>
      </c>
      <c r="I4" s="9">
        <f>SUM(G4:H4)</f>
        <v>99206</v>
      </c>
    </row>
    <row r="5" spans="1:9" x14ac:dyDescent="0.25">
      <c r="A5" s="9" t="s">
        <v>2</v>
      </c>
      <c r="B5" s="9" t="n">
        <v>3764.3838133203058</v>
      </c>
      <c r="C5" s="9" t="n">
        <v>58343.906834050766</v>
      </c>
      <c r="D5" s="9">
        <f t="shared" ref="D5:D12" si="0">SUM(B5:C5)</f>
        <v>62108.290647371068</v>
      </c>
      <c r="E5" s="9"/>
      <c r="F5" s="9" t="s">
        <v>2</v>
      </c>
      <c r="G5" s="9" t="n">
        <v>3736.0</v>
      </c>
      <c r="H5" s="9" t="n">
        <v>57670.0</v>
      </c>
      <c r="I5" s="9">
        <f t="shared" ref="I5:I12" si="1">SUM(G5:H5)</f>
        <v>60093</v>
      </c>
    </row>
    <row r="6" spans="1:9" x14ac:dyDescent="0.25">
      <c r="A6" s="9" t="s">
        <v>3</v>
      </c>
      <c r="B6" s="9" t="n">
        <v>1040.3934686170987</v>
      </c>
      <c r="C6" s="9" t="n">
        <v>35390.36629379238</v>
      </c>
      <c r="D6" s="9">
        <f t="shared" si="0"/>
        <v>36430.759762409478</v>
      </c>
      <c r="E6" s="9"/>
      <c r="F6" s="9" t="s">
        <v>3</v>
      </c>
      <c r="G6" s="9" t="n">
        <v>1294.0</v>
      </c>
      <c r="H6" s="9" t="n">
        <v>35689.0</v>
      </c>
      <c r="I6" s="9">
        <f t="shared" si="1"/>
        <v>36112</v>
      </c>
    </row>
    <row r="7" spans="1:9" x14ac:dyDescent="0.25">
      <c r="A7" s="9" t="s">
        <v>4</v>
      </c>
      <c r="B7" s="9" t="n">
        <v>27.0856378388751</v>
      </c>
      <c r="C7" s="9" t="n">
        <v>276.105910697586</v>
      </c>
      <c r="D7" s="9">
        <f t="shared" si="0"/>
        <v>303.19154853646114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3522.9123890460123</v>
      </c>
      <c r="C8" s="9" t="n">
        <v>636.1463737913132</v>
      </c>
      <c r="D8" s="9">
        <f t="shared" si="0"/>
        <v>4159.058762837325</v>
      </c>
      <c r="E8" s="9"/>
      <c r="F8" s="9" t="s">
        <v>5</v>
      </c>
      <c r="G8" s="9" t="n">
        <v>2176.0</v>
      </c>
      <c r="H8" s="9" t="n">
        <v>112.0</v>
      </c>
      <c r="I8" s="9">
        <f t="shared" si="1"/>
        <v>1715</v>
      </c>
    </row>
    <row r="9" spans="1:9" x14ac:dyDescent="0.25">
      <c r="A9" s="9" t="s">
        <v>6</v>
      </c>
      <c r="B9" s="9" t="n">
        <v>29.4703738029319</v>
      </c>
      <c r="C9" s="9" t="n">
        <v>583.2156156138013</v>
      </c>
      <c r="D9" s="9">
        <f t="shared" si="0"/>
        <v>612.68598941673326</v>
      </c>
      <c r="E9" s="9"/>
      <c r="F9" s="9" t="s">
        <v>6</v>
      </c>
      <c r="G9" s="9" t="n">
        <v>568.0</v>
      </c>
      <c r="H9" s="9" t="n">
        <v>745.0</v>
      </c>
      <c r="I9" s="9">
        <f t="shared" si="1"/>
        <v>1305</v>
      </c>
    </row>
    <row r="10" spans="1:9" x14ac:dyDescent="0.25">
      <c r="A10" s="9" t="s">
        <v>7</v>
      </c>
      <c r="B10" s="9" t="n">
        <v>865.084113881342</v>
      </c>
      <c r="C10" s="9" t="n">
        <v>7238.283683771872</v>
      </c>
      <c r="D10" s="9">
        <f t="shared" si="0"/>
        <v>8103.3677976532144</v>
      </c>
      <c r="E10" s="9"/>
      <c r="F10" s="9" t="s">
        <v>7</v>
      </c>
      <c r="G10" s="9" t="n">
        <v>2092.0</v>
      </c>
      <c r="H10" s="9" t="n">
        <v>3913.0</v>
      </c>
      <c r="I10" s="9">
        <f t="shared" si="1"/>
        <v>6507</v>
      </c>
    </row>
    <row r="11" spans="1:9" x14ac:dyDescent="0.25">
      <c r="A11" s="14" t="s">
        <v>8</v>
      </c>
      <c r="B11" s="14" t="n">
        <v>52.2210465652953</v>
      </c>
      <c r="C11" s="14" t="n">
        <v>73.9725522326866</v>
      </c>
      <c r="D11" s="14">
        <f t="shared" si="0"/>
        <v>126.19359879798191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9514.6904345388339</v>
      </c>
      <c r="C12" s="10">
        <f>SUM(C4:C11)</f>
        <v>193419.30319477274</v>
      </c>
      <c r="D12" s="10">
        <f t="shared" si="0"/>
        <v>202933.99362931159</v>
      </c>
      <c r="F12" s="13" t="s">
        <v>19</v>
      </c>
      <c r="G12" s="10">
        <f>SUM(G4:G11)</f>
        <v>8988</v>
      </c>
      <c r="H12" s="10">
        <f>SUM(H4:H11)</f>
        <v>195950</v>
      </c>
      <c r="I12" s="10">
        <f t="shared" si="1"/>
        <v>204938</v>
      </c>
    </row>
    <row r="15" spans="1:9" ht="15.75" thickBot="1" x14ac:dyDescent="0.3">
      <c r="A15" s="1" t="s">
        <v>50</v>
      </c>
      <c r="B15" s="1"/>
      <c r="C15" s="3"/>
      <c r="D15" s="3"/>
      <c r="F15" s="1" t="s">
        <v>29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1.050290233071075E-3</v>
      </c>
      <c r="C17" s="16">
        <f t="shared" ref="C17:D17" si="2">C4/$D$12</f>
        <v>0.44781706753784667</v>
      </c>
      <c r="D17" s="16">
        <f t="shared" si="2"/>
        <v>0.44886735777091774</v>
      </c>
      <c r="F17" s="9" t="s">
        <v>1</v>
      </c>
      <c r="G17" s="16">
        <f t="shared" ref="G17:I25" si="3">G4/$I$12</f>
        <v>0</v>
      </c>
      <c r="H17" s="16">
        <f t="shared" si="3"/>
        <v>0.4840781114288224</v>
      </c>
      <c r="I17" s="16">
        <f t="shared" si="3"/>
        <v>0.4840781114288224</v>
      </c>
    </row>
    <row r="18" spans="1:14" x14ac:dyDescent="0.25">
      <c r="A18" s="9" t="s">
        <v>2</v>
      </c>
      <c r="B18" s="16">
        <f t="shared" ref="B18:D25" si="4">B5/$D$12</f>
        <v>1.8549794176901183E-2</v>
      </c>
      <c r="C18" s="16">
        <f t="shared" si="4"/>
        <v>0.28750189059317671</v>
      </c>
      <c r="D18" s="16">
        <f t="shared" si="4"/>
        <v>0.30605168477007788</v>
      </c>
      <c r="F18" s="9" t="s">
        <v>2</v>
      </c>
      <c r="G18" s="16">
        <f t="shared" si="3"/>
        <v>1.7776107896046608E-2</v>
      </c>
      <c r="H18" s="16">
        <f t="shared" si="3"/>
        <v>0.27544916023382682</v>
      </c>
      <c r="I18" s="16">
        <f t="shared" si="3"/>
        <v>0.29322526812987343</v>
      </c>
    </row>
    <row r="19" spans="1:14" x14ac:dyDescent="0.25">
      <c r="A19" s="9" t="s">
        <v>3</v>
      </c>
      <c r="B19" s="16">
        <f t="shared" si="4"/>
        <v>5.126757967014282E-3</v>
      </c>
      <c r="C19" s="16">
        <f t="shared" si="4"/>
        <v>0.17439348460484164</v>
      </c>
      <c r="D19" s="16">
        <f t="shared" si="4"/>
        <v>0.17952024257185592</v>
      </c>
      <c r="F19" s="9" t="s">
        <v>3</v>
      </c>
      <c r="G19" s="16">
        <f t="shared" si="3"/>
        <v>5.9042246923459779E-3</v>
      </c>
      <c r="H19" s="16">
        <f t="shared" si="3"/>
        <v>0.17030516546467711</v>
      </c>
      <c r="I19" s="16">
        <f t="shared" si="3"/>
        <v>0.17620939015702311</v>
      </c>
    </row>
    <row r="20" spans="1:14" x14ac:dyDescent="0.25">
      <c r="A20" s="9" t="s">
        <v>4</v>
      </c>
      <c r="B20" s="16">
        <f t="shared" si="4"/>
        <v>1.3347018581988266E-4</v>
      </c>
      <c r="C20" s="16">
        <f t="shared" si="4"/>
        <v>1.3605700344218009E-3</v>
      </c>
      <c r="D20" s="16">
        <f t="shared" si="4"/>
        <v>1.4940402202416837E-3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1.7359892869802402E-2</v>
      </c>
      <c r="C21" s="16">
        <f t="shared" si="4"/>
        <v>3.134745255904868E-3</v>
      </c>
      <c r="D21" s="16">
        <f t="shared" si="4"/>
        <v>2.0494638125707267E-2</v>
      </c>
      <c r="F21" s="9" t="s">
        <v>5</v>
      </c>
      <c r="G21" s="16">
        <f t="shared" si="3"/>
        <v>7.8413959343801541E-3</v>
      </c>
      <c r="H21" s="16">
        <f t="shared" si="3"/>
        <v>5.2698865022592198E-4</v>
      </c>
      <c r="I21" s="16">
        <f t="shared" si="3"/>
        <v>8.3683845846060766E-3</v>
      </c>
    </row>
    <row r="22" spans="1:14" x14ac:dyDescent="0.25">
      <c r="A22" s="9" t="s">
        <v>6</v>
      </c>
      <c r="B22" s="16">
        <f t="shared" si="4"/>
        <v>1.4522147460796449E-4</v>
      </c>
      <c r="C22" s="16">
        <f t="shared" si="4"/>
        <v>2.8739177955524266E-3</v>
      </c>
      <c r="D22" s="16">
        <f t="shared" si="4"/>
        <v>3.0191392701603911E-3</v>
      </c>
      <c r="F22" s="9" t="s">
        <v>6</v>
      </c>
      <c r="G22" s="16">
        <f t="shared" si="3"/>
        <v>2.5519913339644186E-3</v>
      </c>
      <c r="H22" s="16">
        <f t="shared" si="3"/>
        <v>3.8157881895988055E-3</v>
      </c>
      <c r="I22" s="16">
        <f t="shared" si="3"/>
        <v>6.3677795235632237E-3</v>
      </c>
    </row>
    <row r="23" spans="1:14" x14ac:dyDescent="0.25">
      <c r="A23" s="9" t="s">
        <v>7</v>
      </c>
      <c r="B23" s="16">
        <f t="shared" si="4"/>
        <v>4.2628841940672776E-3</v>
      </c>
      <c r="C23" s="16">
        <f t="shared" si="4"/>
        <v>3.5668167537241932E-2</v>
      </c>
      <c r="D23" s="16">
        <f t="shared" si="4"/>
        <v>3.993105173130921E-2</v>
      </c>
      <c r="F23" s="9" t="s">
        <v>7</v>
      </c>
      <c r="G23" s="16">
        <f t="shared" si="3"/>
        <v>9.7834467009534597E-3</v>
      </c>
      <c r="H23" s="16">
        <f t="shared" si="3"/>
        <v>2.196761947515834E-2</v>
      </c>
      <c r="I23" s="16">
        <f t="shared" si="3"/>
        <v>3.17510661761118E-2</v>
      </c>
    </row>
    <row r="24" spans="1:14" x14ac:dyDescent="0.25">
      <c r="A24" s="14" t="s">
        <v>8</v>
      </c>
      <c r="B24" s="17">
        <f t="shared" si="4"/>
        <v>2.5733020688827832E-4</v>
      </c>
      <c r="C24" s="17">
        <f t="shared" si="4"/>
        <v>3.6451533284171306E-4</v>
      </c>
      <c r="D24" s="17">
        <f t="shared" si="4"/>
        <v>6.2184553972999138E-4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4.6885641308172341E-2</v>
      </c>
      <c r="C25" s="18">
        <f t="shared" si="4"/>
        <v>0.95311435869182759</v>
      </c>
      <c r="D25" s="18">
        <f t="shared" si="4"/>
        <v>1</v>
      </c>
      <c r="F25" s="13" t="s">
        <v>19</v>
      </c>
      <c r="G25" s="18">
        <f t="shared" si="3"/>
        <v>4.3857166557690619E-2</v>
      </c>
      <c r="H25" s="18">
        <f t="shared" si="3"/>
        <v>0.95614283344230944</v>
      </c>
      <c r="I25" s="18">
        <f t="shared" si="3"/>
        <v>1</v>
      </c>
    </row>
    <row r="28" spans="1:14" ht="15.75" thickBot="1" x14ac:dyDescent="0.3">
      <c r="F28" s="1" t="s">
        <v>30</v>
      </c>
      <c r="G28" s="1"/>
      <c r="H28" s="3"/>
      <c r="I28" s="3"/>
      <c r="K28" s="21" t="s">
        <v>38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-1.050290233071075E-3</v>
      </c>
      <c r="H30" s="16">
        <f t="shared" ref="H30:H38" si="6">H17-C17</f>
        <v>3.626104389097573E-2</v>
      </c>
      <c r="I30" s="16">
        <f t="shared" ref="I30:I38" si="7">I17-D17</f>
        <v>3.5210753657904659E-2</v>
      </c>
      <c r="K30" s="23" t="s">
        <v>1</v>
      </c>
      <c r="L30" s="24">
        <f>D17</f>
        <v>0.44886735777091774</v>
      </c>
      <c r="M30" s="24">
        <f t="shared" ref="M30:M38" si="8">I17</f>
        <v>0.4840781114288224</v>
      </c>
      <c r="N30" s="24">
        <f>M30-L30</f>
        <v>3.5210753657904659E-2</v>
      </c>
    </row>
    <row r="31" spans="1:14" x14ac:dyDescent="0.25">
      <c r="F31" s="9" t="s">
        <v>2</v>
      </c>
      <c r="G31" s="16">
        <f t="shared" si="5"/>
        <v>-7.7368628085457483E-4</v>
      </c>
      <c r="H31" s="16">
        <f t="shared" si="6"/>
        <v>-1.2052730359349895E-2</v>
      </c>
      <c r="I31" s="16">
        <f t="shared" si="7"/>
        <v>-1.2826416640204452E-2</v>
      </c>
      <c r="K31" s="30" t="s">
        <v>2</v>
      </c>
      <c r="L31" s="31">
        <f t="shared" ref="L31:L38" si="9">D18</f>
        <v>0.30605168477007788</v>
      </c>
      <c r="M31" s="31">
        <f t="shared" si="8"/>
        <v>0.29322526812987343</v>
      </c>
      <c r="N31" s="31">
        <f t="shared" ref="N31:N38" si="10">M31-L31</f>
        <v>-1.2826416640204452E-2</v>
      </c>
    </row>
    <row r="32" spans="1:14" x14ac:dyDescent="0.25">
      <c r="F32" s="9" t="s">
        <v>3</v>
      </c>
      <c r="G32" s="16">
        <f t="shared" si="5"/>
        <v>7.7746672533169584E-4</v>
      </c>
      <c r="H32" s="16">
        <f t="shared" si="6"/>
        <v>-4.0883191401645258E-3</v>
      </c>
      <c r="I32" s="16">
        <f t="shared" si="7"/>
        <v>-3.31085241483281E-3</v>
      </c>
      <c r="K32" s="23" t="s">
        <v>3</v>
      </c>
      <c r="L32" s="24">
        <f t="shared" si="9"/>
        <v>0.17952024257185592</v>
      </c>
      <c r="M32" s="24">
        <f t="shared" si="8"/>
        <v>0.17620939015702311</v>
      </c>
      <c r="N32" s="24">
        <f t="shared" si="10"/>
        <v>-3.31085241483281E-3</v>
      </c>
    </row>
    <row r="33" spans="6:14" x14ac:dyDescent="0.25">
      <c r="F33" s="9" t="s">
        <v>4</v>
      </c>
      <c r="G33" s="16">
        <f t="shared" si="5"/>
        <v>-1.3347018581988266E-4</v>
      </c>
      <c r="H33" s="16">
        <f t="shared" si="6"/>
        <v>-1.3605700344218009E-3</v>
      </c>
      <c r="I33" s="16">
        <f t="shared" si="7"/>
        <v>-1.4940402202416837E-3</v>
      </c>
      <c r="K33" s="30" t="s">
        <v>4</v>
      </c>
      <c r="L33" s="31">
        <f t="shared" si="9"/>
        <v>1.4940402202416837E-3</v>
      </c>
      <c r="M33" s="31">
        <f t="shared" si="8"/>
        <v>0</v>
      </c>
      <c r="N33" s="31">
        <f t="shared" si="10"/>
        <v>-1.4940402202416837E-3</v>
      </c>
    </row>
    <row r="34" spans="6:14" x14ac:dyDescent="0.25">
      <c r="F34" s="9" t="s">
        <v>5</v>
      </c>
      <c r="G34" s="16">
        <f t="shared" si="5"/>
        <v>-9.5184969354222479E-3</v>
      </c>
      <c r="H34" s="16">
        <f t="shared" si="6"/>
        <v>-2.6077566056789459E-3</v>
      </c>
      <c r="I34" s="16">
        <f t="shared" si="7"/>
        <v>-1.212625354110119E-2</v>
      </c>
      <c r="K34" s="23" t="s">
        <v>5</v>
      </c>
      <c r="L34" s="24">
        <f t="shared" si="9"/>
        <v>2.0494638125707267E-2</v>
      </c>
      <c r="M34" s="24">
        <f t="shared" si="8"/>
        <v>8.3683845846060766E-3</v>
      </c>
      <c r="N34" s="24">
        <f t="shared" si="10"/>
        <v>-1.212625354110119E-2</v>
      </c>
    </row>
    <row r="35" spans="6:14" x14ac:dyDescent="0.25">
      <c r="F35" s="9" t="s">
        <v>6</v>
      </c>
      <c r="G35" s="16">
        <f t="shared" si="5"/>
        <v>2.4067698593564541E-3</v>
      </c>
      <c r="H35" s="16">
        <f t="shared" si="6"/>
        <v>9.4187039404637889E-4</v>
      </c>
      <c r="I35" s="16">
        <f t="shared" si="7"/>
        <v>3.3486402534028325E-3</v>
      </c>
      <c r="K35" s="30" t="s">
        <v>6</v>
      </c>
      <c r="L35" s="31">
        <f t="shared" si="9"/>
        <v>3.0191392701603911E-3</v>
      </c>
      <c r="M35" s="31">
        <f t="shared" si="8"/>
        <v>6.3677795235632237E-3</v>
      </c>
      <c r="N35" s="31">
        <f t="shared" si="10"/>
        <v>3.3486402534028325E-3</v>
      </c>
    </row>
    <row r="36" spans="6:14" x14ac:dyDescent="0.25">
      <c r="F36" s="9" t="s">
        <v>7</v>
      </c>
      <c r="G36" s="16">
        <f t="shared" si="5"/>
        <v>5.520562506886182E-3</v>
      </c>
      <c r="H36" s="16">
        <f t="shared" si="6"/>
        <v>-1.3700548062083592E-2</v>
      </c>
      <c r="I36" s="16">
        <f t="shared" si="7"/>
        <v>-8.1799855551974096E-3</v>
      </c>
      <c r="K36" s="23" t="s">
        <v>7</v>
      </c>
      <c r="L36" s="24">
        <f t="shared" si="9"/>
        <v>3.993105173130921E-2</v>
      </c>
      <c r="M36" s="24">
        <f t="shared" si="8"/>
        <v>3.17510661761118E-2</v>
      </c>
      <c r="N36" s="24">
        <f t="shared" si="10"/>
        <v>-8.1799855551974096E-3</v>
      </c>
    </row>
    <row r="37" spans="6:14" x14ac:dyDescent="0.25">
      <c r="F37" s="14" t="s">
        <v>8</v>
      </c>
      <c r="G37" s="17">
        <f t="shared" si="5"/>
        <v>-2.5733020688827832E-4</v>
      </c>
      <c r="H37" s="17">
        <f t="shared" si="6"/>
        <v>-3.6451533284171306E-4</v>
      </c>
      <c r="I37" s="17">
        <f t="shared" si="7"/>
        <v>-6.2184553972999138E-4</v>
      </c>
      <c r="K37" s="32" t="s">
        <v>8</v>
      </c>
      <c r="L37" s="33">
        <f t="shared" si="9"/>
        <v>6.2184553972999138E-4</v>
      </c>
      <c r="M37" s="33">
        <f t="shared" si="8"/>
        <v>0</v>
      </c>
      <c r="N37" s="33">
        <f t="shared" si="10"/>
        <v>-6.2184553972999138E-4</v>
      </c>
    </row>
    <row r="38" spans="6:14" ht="15.75" thickBot="1" x14ac:dyDescent="0.3">
      <c r="F38" s="13" t="s">
        <v>19</v>
      </c>
      <c r="G38" s="18">
        <f t="shared" si="5"/>
        <v>-3.0284747504817217E-3</v>
      </c>
      <c r="H38" s="18">
        <f t="shared" si="6"/>
        <v>3.0284747504818466E-3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N38"/>
  <sheetViews>
    <sheetView workbookViewId="0">
      <selection activeCell="L6" sqref="L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51</v>
      </c>
      <c r="B2" s="1"/>
      <c r="C2" s="3"/>
      <c r="D2" s="3"/>
      <c r="F2" s="1" t="s">
        <v>15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306.68058421237583</v>
      </c>
      <c r="C4" s="9" t="n">
        <v>71153.89771642376</v>
      </c>
      <c r="D4" s="9">
        <f>SUM(B4:C4)</f>
        <v>71460.578300636131</v>
      </c>
      <c r="E4" s="9"/>
      <c r="F4" s="9" t="s">
        <v>1</v>
      </c>
      <c r="G4" s="9" t="n">
        <v>0.0</v>
      </c>
      <c r="H4" s="9" t="n">
        <v>65778.0</v>
      </c>
      <c r="I4" s="9">
        <f>SUM(G4:H4)</f>
        <v>68742</v>
      </c>
    </row>
    <row r="5" spans="1:9" x14ac:dyDescent="0.25">
      <c r="A5" s="9" t="s">
        <v>2</v>
      </c>
      <c r="B5" s="9" t="n">
        <v>1456.953900792022</v>
      </c>
      <c r="C5" s="9" t="n">
        <v>42431.78367696683</v>
      </c>
      <c r="D5" s="9">
        <f t="shared" ref="D5:D12" si="0">SUM(B5:C5)</f>
        <v>43888.737577758853</v>
      </c>
      <c r="E5" s="9"/>
      <c r="F5" s="9" t="s">
        <v>2</v>
      </c>
      <c r="G5" s="9" t="n">
        <v>2949.0</v>
      </c>
      <c r="H5" s="9" t="n">
        <v>36208.0</v>
      </c>
      <c r="I5" s="9">
        <f t="shared" ref="I5:I12" si="1">SUM(G5:H5)</f>
        <v>40127</v>
      </c>
    </row>
    <row r="6" spans="1:9" x14ac:dyDescent="0.25">
      <c r="A6" s="9" t="s">
        <v>3</v>
      </c>
      <c r="B6" s="9" t="n">
        <v>855.4049210147552</v>
      </c>
      <c r="C6" s="9" t="n">
        <v>15740.919213551138</v>
      </c>
      <c r="D6" s="9">
        <f t="shared" si="0"/>
        <v>16596.324134565893</v>
      </c>
      <c r="E6" s="9"/>
      <c r="F6" s="9" t="s">
        <v>3</v>
      </c>
      <c r="G6" s="9" t="n">
        <v>1063.0</v>
      </c>
      <c r="H6" s="9" t="n">
        <v>22260.0</v>
      </c>
      <c r="I6" s="9">
        <f t="shared" si="1"/>
        <v>23589</v>
      </c>
    </row>
    <row r="7" spans="1:9" x14ac:dyDescent="0.25">
      <c r="A7" s="9" t="s">
        <v>4</v>
      </c>
      <c r="B7" s="9" t="n">
        <v>148.22465545909</v>
      </c>
      <c r="C7" s="9" t="n">
        <v>74.21732513479</v>
      </c>
      <c r="D7" s="9">
        <f t="shared" si="0"/>
        <v>222.44198059388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3353.250722230039</v>
      </c>
      <c r="C8" s="9" t="n">
        <v>312.6465488812552</v>
      </c>
      <c r="D8" s="9">
        <f t="shared" si="0"/>
        <v>3665.8972711112942</v>
      </c>
      <c r="E8" s="9"/>
      <c r="F8" s="9" t="s">
        <v>5</v>
      </c>
      <c r="G8" s="9" t="n">
        <v>877.0</v>
      </c>
      <c r="H8" s="9" t="n">
        <v>22.0</v>
      </c>
      <c r="I8" s="9">
        <f t="shared" si="1"/>
        <v>971</v>
      </c>
    </row>
    <row r="9" spans="1:9" x14ac:dyDescent="0.25">
      <c r="A9" s="9" t="s">
        <v>6</v>
      </c>
      <c r="B9" s="9" t="n">
        <v>241.8479085098977</v>
      </c>
      <c r="C9" s="9" t="n">
        <v>252.3195641482686</v>
      </c>
      <c r="D9" s="9">
        <f t="shared" si="0"/>
        <v>494.16747265816628</v>
      </c>
      <c r="E9" s="9"/>
      <c r="F9" s="9" t="s">
        <v>6</v>
      </c>
      <c r="G9" s="9" t="n">
        <v>546.0</v>
      </c>
      <c r="H9" s="9" t="n">
        <v>509.0</v>
      </c>
      <c r="I9" s="9">
        <f t="shared" si="1"/>
        <v>979</v>
      </c>
    </row>
    <row r="10" spans="1:9" x14ac:dyDescent="0.25">
      <c r="A10" s="9" t="s">
        <v>7</v>
      </c>
      <c r="B10" s="9" t="n">
        <v>1321.6854318106284</v>
      </c>
      <c r="C10" s="9" t="n">
        <v>2818.08118732093</v>
      </c>
      <c r="D10" s="9">
        <f t="shared" si="0"/>
        <v>4139.7666191315584</v>
      </c>
      <c r="E10" s="9"/>
      <c r="F10" s="9" t="s">
        <v>7</v>
      </c>
      <c r="G10" s="9" t="n">
        <v>1893.0</v>
      </c>
      <c r="H10" s="9" t="n">
        <v>2088.0</v>
      </c>
      <c r="I10" s="9">
        <f t="shared" si="1"/>
        <v>4137</v>
      </c>
    </row>
    <row r="11" spans="1:9" x14ac:dyDescent="0.25">
      <c r="A11" s="14" t="s">
        <v>8</v>
      </c>
      <c r="B11" s="14" t="n">
        <v>0.0</v>
      </c>
      <c r="C11" s="14" t="n">
        <v>0.0</v>
      </c>
      <c r="D11" s="14">
        <f t="shared" si="0"/>
        <v>0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7684.0481240288082</v>
      </c>
      <c r="C12" s="10">
        <f>SUM(C4:C11)</f>
        <v>132783.86523242696</v>
      </c>
      <c r="D12" s="10">
        <f t="shared" si="0"/>
        <v>140467.91335645577</v>
      </c>
      <c r="F12" s="13" t="s">
        <v>19</v>
      </c>
      <c r="G12" s="10">
        <f>SUM(G4:G11)</f>
        <v>6677</v>
      </c>
      <c r="H12" s="10">
        <f>SUM(H4:H11)</f>
        <v>131868</v>
      </c>
      <c r="I12" s="10">
        <f t="shared" si="1"/>
        <v>138545</v>
      </c>
    </row>
    <row r="15" spans="1:9" ht="15.75" thickBot="1" x14ac:dyDescent="0.3">
      <c r="A15" s="1" t="s">
        <v>51</v>
      </c>
      <c r="B15" s="1"/>
      <c r="C15" s="3"/>
      <c r="D15" s="3"/>
      <c r="F15" s="1" t="s">
        <v>15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2.1832785643660386E-3</v>
      </c>
      <c r="C17" s="16">
        <f t="shared" ref="C17:D17" si="2">C4/$D$12</f>
        <v>0.50654911870059183</v>
      </c>
      <c r="D17" s="16">
        <f t="shared" si="2"/>
        <v>0.50873239726495778</v>
      </c>
      <c r="F17" s="9" t="s">
        <v>1</v>
      </c>
      <c r="G17" s="16">
        <f t="shared" ref="G17:I25" si="3">G4/$I$12</f>
        <v>0</v>
      </c>
      <c r="H17" s="16">
        <f t="shared" si="3"/>
        <v>0.49617091919592909</v>
      </c>
      <c r="I17" s="16">
        <f t="shared" si="3"/>
        <v>0.49617091919592909</v>
      </c>
    </row>
    <row r="18" spans="1:14" x14ac:dyDescent="0.25">
      <c r="A18" s="9" t="s">
        <v>2</v>
      </c>
      <c r="B18" s="16">
        <f t="shared" ref="B18:D25" si="4">B5/$D$12</f>
        <v>1.0372147389239066E-2</v>
      </c>
      <c r="C18" s="16">
        <f t="shared" si="4"/>
        <v>0.30207456395604459</v>
      </c>
      <c r="D18" s="16">
        <f t="shared" si="4"/>
        <v>0.31244671134528368</v>
      </c>
      <c r="F18" s="9" t="s">
        <v>2</v>
      </c>
      <c r="G18" s="16">
        <f t="shared" si="3"/>
        <v>1.9647046086109208E-2</v>
      </c>
      <c r="H18" s="16">
        <f t="shared" si="3"/>
        <v>0.26998448157638311</v>
      </c>
      <c r="I18" s="16">
        <f t="shared" si="3"/>
        <v>0.28963152766249234</v>
      </c>
    </row>
    <row r="19" spans="1:14" x14ac:dyDescent="0.25">
      <c r="A19" s="9" t="s">
        <v>3</v>
      </c>
      <c r="B19" s="16">
        <f t="shared" si="4"/>
        <v>6.0896819819915241E-3</v>
      </c>
      <c r="C19" s="16">
        <f t="shared" si="4"/>
        <v>0.11206060400147391</v>
      </c>
      <c r="D19" s="16">
        <f t="shared" si="4"/>
        <v>0.11815028598346544</v>
      </c>
      <c r="F19" s="9" t="s">
        <v>3</v>
      </c>
      <c r="G19" s="16">
        <f t="shared" si="3"/>
        <v>6.6909668338806889E-3</v>
      </c>
      <c r="H19" s="16">
        <f t="shared" si="3"/>
        <v>0.16357140279331625</v>
      </c>
      <c r="I19" s="16">
        <f t="shared" si="3"/>
        <v>0.17026236962719693</v>
      </c>
    </row>
    <row r="20" spans="1:14" x14ac:dyDescent="0.25">
      <c r="A20" s="9" t="s">
        <v>4</v>
      </c>
      <c r="B20" s="16">
        <f t="shared" si="4"/>
        <v>1.0552207398635621E-3</v>
      </c>
      <c r="C20" s="16">
        <f t="shared" si="4"/>
        <v>5.2835785313086979E-4</v>
      </c>
      <c r="D20" s="16">
        <f t="shared" si="4"/>
        <v>1.583578592994432E-3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2.3872004944792802E-2</v>
      </c>
      <c r="C21" s="16">
        <f t="shared" si="4"/>
        <v>2.2257506458992779E-3</v>
      </c>
      <c r="D21" s="16">
        <f t="shared" si="4"/>
        <v>2.6097755590692079E-2</v>
      </c>
      <c r="F21" s="9" t="s">
        <v>5</v>
      </c>
      <c r="G21" s="16">
        <f t="shared" si="3"/>
        <v>6.8786314915731351E-3</v>
      </c>
      <c r="H21" s="16">
        <f t="shared" si="3"/>
        <v>1.2992168609477064E-4</v>
      </c>
      <c r="I21" s="16">
        <f t="shared" si="3"/>
        <v>7.0085531776679054E-3</v>
      </c>
    </row>
    <row r="22" spans="1:14" x14ac:dyDescent="0.25">
      <c r="A22" s="9" t="s">
        <v>6</v>
      </c>
      <c r="B22" s="16">
        <f t="shared" si="4"/>
        <v>1.7217306268099597E-3</v>
      </c>
      <c r="C22" s="16">
        <f t="shared" si="4"/>
        <v>1.7962790086300676E-3</v>
      </c>
      <c r="D22" s="16">
        <f t="shared" si="4"/>
        <v>3.5180096354400269E-3</v>
      </c>
      <c r="F22" s="9" t="s">
        <v>6</v>
      </c>
      <c r="G22" s="16">
        <f t="shared" si="3"/>
        <v>3.2191706665704286E-3</v>
      </c>
      <c r="H22" s="16">
        <f t="shared" si="3"/>
        <v>3.8471254826951532E-3</v>
      </c>
      <c r="I22" s="16">
        <f t="shared" si="3"/>
        <v>7.0662961492655814E-3</v>
      </c>
    </row>
    <row r="23" spans="1:14" x14ac:dyDescent="0.25">
      <c r="A23" s="9" t="s">
        <v>7</v>
      </c>
      <c r="B23" s="16">
        <f t="shared" si="4"/>
        <v>9.4091625640987352E-3</v>
      </c>
      <c r="C23" s="16">
        <f t="shared" si="4"/>
        <v>2.0062099023067846E-2</v>
      </c>
      <c r="D23" s="16">
        <f t="shared" si="4"/>
        <v>2.9471261587166581E-2</v>
      </c>
      <c r="F23" s="9" t="s">
        <v>7</v>
      </c>
      <c r="G23" s="16">
        <f t="shared" si="3"/>
        <v>1.1757912591576745E-2</v>
      </c>
      <c r="H23" s="16">
        <f t="shared" si="3"/>
        <v>1.8102421595871377E-2</v>
      </c>
      <c r="I23" s="16">
        <f t="shared" si="3"/>
        <v>2.9860334187448122E-2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0</v>
      </c>
      <c r="D24" s="17">
        <f t="shared" si="4"/>
        <v>0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5.4703226811161687E-2</v>
      </c>
      <c r="C25" s="18">
        <f t="shared" si="4"/>
        <v>0.94529677318883831</v>
      </c>
      <c r="D25" s="18">
        <f t="shared" si="4"/>
        <v>1</v>
      </c>
      <c r="F25" s="13" t="s">
        <v>19</v>
      </c>
      <c r="G25" s="18">
        <f t="shared" si="3"/>
        <v>4.8193727669710203E-2</v>
      </c>
      <c r="H25" s="18">
        <f t="shared" si="3"/>
        <v>0.9518062723302898</v>
      </c>
      <c r="I25" s="18">
        <f t="shared" si="3"/>
        <v>1</v>
      </c>
    </row>
    <row r="28" spans="1:14" ht="15.75" thickBot="1" x14ac:dyDescent="0.3">
      <c r="F28" s="1" t="s">
        <v>31</v>
      </c>
      <c r="G28" s="1"/>
      <c r="H28" s="3"/>
      <c r="I28" s="3"/>
      <c r="K28" s="21" t="s">
        <v>39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-2.1832785643660386E-3</v>
      </c>
      <c r="H30" s="16">
        <f t="shared" ref="H30:H38" si="6">H17-C17</f>
        <v>-1.0378199504662733E-2</v>
      </c>
      <c r="I30" s="16">
        <f t="shared" ref="I30:I38" si="7">I17-D17</f>
        <v>-1.2561478069028686E-2</v>
      </c>
      <c r="K30" s="23" t="s">
        <v>1</v>
      </c>
      <c r="L30" s="24">
        <f>D17</f>
        <v>0.50873239726495778</v>
      </c>
      <c r="M30" s="24">
        <f t="shared" ref="M30:M38" si="8">I17</f>
        <v>0.49617091919592909</v>
      </c>
      <c r="N30" s="24">
        <f>M30-L30</f>
        <v>-1.2561478069028686E-2</v>
      </c>
    </row>
    <row r="31" spans="1:14" x14ac:dyDescent="0.25">
      <c r="F31" s="9" t="s">
        <v>2</v>
      </c>
      <c r="G31" s="16">
        <f t="shared" si="5"/>
        <v>9.2748986968701416E-3</v>
      </c>
      <c r="H31" s="16">
        <f t="shared" si="6"/>
        <v>-3.2090082379661489E-2</v>
      </c>
      <c r="I31" s="16">
        <f t="shared" si="7"/>
        <v>-2.281518368279134E-2</v>
      </c>
      <c r="K31" s="30" t="s">
        <v>2</v>
      </c>
      <c r="L31" s="31">
        <f t="shared" ref="L31:L38" si="9">D18</f>
        <v>0.31244671134528368</v>
      </c>
      <c r="M31" s="31">
        <f t="shared" si="8"/>
        <v>0.28963152766249234</v>
      </c>
      <c r="N31" s="31">
        <f t="shared" ref="N31:N38" si="10">M31-L31</f>
        <v>-2.281518368279134E-2</v>
      </c>
    </row>
    <row r="32" spans="1:14" x14ac:dyDescent="0.25">
      <c r="F32" s="9" t="s">
        <v>3</v>
      </c>
      <c r="G32" s="16">
        <f t="shared" si="5"/>
        <v>6.0128485188916479E-4</v>
      </c>
      <c r="H32" s="16">
        <f t="shared" si="6"/>
        <v>5.1510798791842338E-2</v>
      </c>
      <c r="I32" s="16">
        <f t="shared" si="7"/>
        <v>5.2112083643731488E-2</v>
      </c>
      <c r="K32" s="23" t="s">
        <v>3</v>
      </c>
      <c r="L32" s="24">
        <f t="shared" si="9"/>
        <v>0.11815028598346544</v>
      </c>
      <c r="M32" s="24">
        <f t="shared" si="8"/>
        <v>0.17026236962719693</v>
      </c>
      <c r="N32" s="24">
        <f t="shared" si="10"/>
        <v>5.2112083643731488E-2</v>
      </c>
    </row>
    <row r="33" spans="6:14" x14ac:dyDescent="0.25">
      <c r="F33" s="9" t="s">
        <v>4</v>
      </c>
      <c r="G33" s="16">
        <f t="shared" si="5"/>
        <v>-1.0552207398635621E-3</v>
      </c>
      <c r="H33" s="16">
        <f t="shared" si="6"/>
        <v>-5.2835785313086979E-4</v>
      </c>
      <c r="I33" s="16">
        <f t="shared" si="7"/>
        <v>-1.583578592994432E-3</v>
      </c>
      <c r="K33" s="30" t="s">
        <v>4</v>
      </c>
      <c r="L33" s="31">
        <f t="shared" si="9"/>
        <v>1.583578592994432E-3</v>
      </c>
      <c r="M33" s="31">
        <f t="shared" si="8"/>
        <v>0</v>
      </c>
      <c r="N33" s="31">
        <f t="shared" si="10"/>
        <v>-1.583578592994432E-3</v>
      </c>
    </row>
    <row r="34" spans="6:14" x14ac:dyDescent="0.25">
      <c r="F34" s="9" t="s">
        <v>5</v>
      </c>
      <c r="G34" s="16">
        <f t="shared" si="5"/>
        <v>-1.6993373453219666E-2</v>
      </c>
      <c r="H34" s="16">
        <f t="shared" si="6"/>
        <v>-2.0958289598045072E-3</v>
      </c>
      <c r="I34" s="16">
        <f t="shared" si="7"/>
        <v>-1.9089202413024173E-2</v>
      </c>
      <c r="K34" s="23" t="s">
        <v>5</v>
      </c>
      <c r="L34" s="24">
        <f t="shared" si="9"/>
        <v>2.6097755590692079E-2</v>
      </c>
      <c r="M34" s="24">
        <f t="shared" si="8"/>
        <v>7.0085531776679054E-3</v>
      </c>
      <c r="N34" s="24">
        <f t="shared" si="10"/>
        <v>-1.9089202413024173E-2</v>
      </c>
    </row>
    <row r="35" spans="6:14" x14ac:dyDescent="0.25">
      <c r="F35" s="9" t="s">
        <v>6</v>
      </c>
      <c r="G35" s="16">
        <f t="shared" si="5"/>
        <v>1.4974400397604688E-3</v>
      </c>
      <c r="H35" s="16">
        <f t="shared" si="6"/>
        <v>2.0508464740650856E-3</v>
      </c>
      <c r="I35" s="16">
        <f t="shared" si="7"/>
        <v>3.5482865138255545E-3</v>
      </c>
      <c r="K35" s="30" t="s">
        <v>6</v>
      </c>
      <c r="L35" s="31">
        <f t="shared" si="9"/>
        <v>3.5180096354400269E-3</v>
      </c>
      <c r="M35" s="31">
        <f t="shared" si="8"/>
        <v>7.0662961492655814E-3</v>
      </c>
      <c r="N35" s="31">
        <f t="shared" si="10"/>
        <v>3.5482865138255545E-3</v>
      </c>
    </row>
    <row r="36" spans="6:14" x14ac:dyDescent="0.25">
      <c r="F36" s="9" t="s">
        <v>7</v>
      </c>
      <c r="G36" s="16">
        <f t="shared" si="5"/>
        <v>2.3487500274780096E-3</v>
      </c>
      <c r="H36" s="16">
        <f t="shared" si="6"/>
        <v>-1.9596774271964691E-3</v>
      </c>
      <c r="I36" s="16">
        <f t="shared" si="7"/>
        <v>3.8907260028154048E-4</v>
      </c>
      <c r="K36" s="23" t="s">
        <v>7</v>
      </c>
      <c r="L36" s="24">
        <f t="shared" si="9"/>
        <v>2.9471261587166581E-2</v>
      </c>
      <c r="M36" s="24">
        <f t="shared" si="8"/>
        <v>2.9860334187448122E-2</v>
      </c>
      <c r="N36" s="24">
        <f t="shared" si="10"/>
        <v>3.8907260028154048E-4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0</v>
      </c>
      <c r="I37" s="17">
        <f t="shared" si="7"/>
        <v>0</v>
      </c>
      <c r="K37" s="32" t="s">
        <v>8</v>
      </c>
      <c r="L37" s="33">
        <f t="shared" si="9"/>
        <v>0</v>
      </c>
      <c r="M37" s="33">
        <f t="shared" si="8"/>
        <v>0</v>
      </c>
      <c r="N37" s="33">
        <f t="shared" si="10"/>
        <v>0</v>
      </c>
    </row>
    <row r="38" spans="6:14" ht="15.75" thickBot="1" x14ac:dyDescent="0.3">
      <c r="F38" s="13" t="s">
        <v>19</v>
      </c>
      <c r="G38" s="18">
        <f t="shared" si="5"/>
        <v>-6.5094991414514844E-3</v>
      </c>
      <c r="H38" s="18">
        <f t="shared" si="6"/>
        <v>6.5094991414514913E-3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N38"/>
  <sheetViews>
    <sheetView workbookViewId="0">
      <selection activeCell="Q17" sqref="Q17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52</v>
      </c>
      <c r="B2" s="1"/>
      <c r="C2" s="3"/>
      <c r="D2" s="3"/>
      <c r="F2" s="1" t="s">
        <v>14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26.521122342743</v>
      </c>
      <c r="C4" s="9" t="n">
        <v>14971.221180400325</v>
      </c>
      <c r="D4" s="9">
        <f>SUM(B4:C4)</f>
        <v>14997.742302743069</v>
      </c>
      <c r="E4" s="9"/>
      <c r="F4" s="9" t="s">
        <v>1</v>
      </c>
      <c r="G4" s="9" t="n">
        <v>0.0</v>
      </c>
      <c r="H4" s="9" t="n">
        <v>17512.0</v>
      </c>
      <c r="I4" s="9">
        <f>SUM(G4:H4)</f>
        <v>17195</v>
      </c>
    </row>
    <row r="5" spans="1:9" x14ac:dyDescent="0.25">
      <c r="A5" s="9" t="s">
        <v>2</v>
      </c>
      <c r="B5" s="9" t="n">
        <v>1103.930966404787</v>
      </c>
      <c r="C5" s="9" t="n">
        <v>37261.94148888367</v>
      </c>
      <c r="D5" s="9">
        <f t="shared" ref="D5:D12" si="0">SUM(B5:C5)</f>
        <v>38365.872455288452</v>
      </c>
      <c r="E5" s="9"/>
      <c r="F5" s="9" t="s">
        <v>2</v>
      </c>
      <c r="G5" s="9" t="n">
        <v>1829.0</v>
      </c>
      <c r="H5" s="9" t="n">
        <v>39130.0</v>
      </c>
      <c r="I5" s="9">
        <f t="shared" ref="I5:I12" si="1">SUM(G5:H5)</f>
        <v>39511</v>
      </c>
    </row>
    <row r="6" spans="1:9" x14ac:dyDescent="0.25">
      <c r="A6" s="9" t="s">
        <v>3</v>
      </c>
      <c r="B6" s="9" t="n">
        <v>0.0</v>
      </c>
      <c r="C6" s="9" t="n">
        <v>23549.803377815657</v>
      </c>
      <c r="D6" s="9">
        <f t="shared" si="0"/>
        <v>23549.803377815657</v>
      </c>
      <c r="E6" s="9"/>
      <c r="F6" s="9" t="s">
        <v>3</v>
      </c>
      <c r="G6" s="9" t="n">
        <v>645.0</v>
      </c>
      <c r="H6" s="9" t="n">
        <v>20496.0</v>
      </c>
      <c r="I6" s="9">
        <f t="shared" si="1"/>
        <v>20312</v>
      </c>
    </row>
    <row r="7" spans="1:9" x14ac:dyDescent="0.25">
      <c r="A7" s="9" t="s">
        <v>4</v>
      </c>
      <c r="B7" s="9" t="n">
        <v>0.0</v>
      </c>
      <c r="C7" s="9" t="n">
        <v>0.0</v>
      </c>
      <c r="D7" s="9">
        <f t="shared" si="0"/>
        <v>0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0.0</v>
      </c>
      <c r="C8" s="9" t="n">
        <v>21.2728495925376</v>
      </c>
      <c r="D8" s="9">
        <f t="shared" si="0"/>
        <v>21.2728495925376</v>
      </c>
      <c r="E8" s="9"/>
      <c r="F8" s="9" t="s">
        <v>5</v>
      </c>
      <c r="G8" s="9" t="n">
        <v>433.0</v>
      </c>
      <c r="H8" s="9" t="n">
        <v>31.0</v>
      </c>
      <c r="I8" s="9">
        <f t="shared" si="1"/>
        <v>655</v>
      </c>
    </row>
    <row r="9" spans="1:9" x14ac:dyDescent="0.25">
      <c r="A9" s="9" t="s">
        <v>6</v>
      </c>
      <c r="B9" s="9" t="n">
        <v>0.0</v>
      </c>
      <c r="C9" s="9" t="n">
        <v>484.1894651730709</v>
      </c>
      <c r="D9" s="9">
        <f t="shared" si="0"/>
        <v>484.18946517307091</v>
      </c>
      <c r="E9" s="9"/>
      <c r="F9" s="9" t="s">
        <v>6</v>
      </c>
      <c r="G9" s="9" t="n">
        <v>93.0</v>
      </c>
      <c r="H9" s="9" t="n">
        <v>129.0</v>
      </c>
      <c r="I9" s="9">
        <f t="shared" si="1"/>
        <v>179</v>
      </c>
    </row>
    <row r="10" spans="1:9" x14ac:dyDescent="0.25">
      <c r="A10" s="9" t="s">
        <v>7</v>
      </c>
      <c r="B10" s="9" t="n">
        <v>243.60891034592</v>
      </c>
      <c r="C10" s="9" t="n">
        <v>2235.823956979188</v>
      </c>
      <c r="D10" s="9">
        <f t="shared" si="0"/>
        <v>2479.432867325108</v>
      </c>
      <c r="E10" s="9"/>
      <c r="F10" s="9" t="s">
        <v>7</v>
      </c>
      <c r="G10" s="9" t="n">
        <v>698.0</v>
      </c>
      <c r="H10" s="9" t="n">
        <v>1181.0</v>
      </c>
      <c r="I10" s="9">
        <f t="shared" si="1"/>
        <v>1859</v>
      </c>
    </row>
    <row r="11" spans="1:9" x14ac:dyDescent="0.25">
      <c r="A11" s="14" t="s">
        <v>8</v>
      </c>
      <c r="B11" s="14" t="n">
        <v>0.0</v>
      </c>
      <c r="C11" s="14" t="n">
        <v>189.353140350772</v>
      </c>
      <c r="D11" s="14">
        <f t="shared" si="0"/>
        <v>189.35314035077201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1374.0609990934499</v>
      </c>
      <c r="C12" s="10">
        <f>SUM(C4:C11)</f>
        <v>78713.605459195212</v>
      </c>
      <c r="D12" s="10">
        <f t="shared" si="0"/>
        <v>80087.666458288659</v>
      </c>
      <c r="F12" s="13" t="s">
        <v>19</v>
      </c>
      <c r="G12" s="10">
        <f>SUM(G4:G11)</f>
        <v>3359</v>
      </c>
      <c r="H12" s="10">
        <f>SUM(H4:H11)</f>
        <v>76352</v>
      </c>
      <c r="I12" s="10">
        <f t="shared" si="1"/>
        <v>79711</v>
      </c>
    </row>
    <row r="15" spans="1:9" ht="15.75" thickBot="1" x14ac:dyDescent="0.3">
      <c r="A15" s="1" t="s">
        <v>52</v>
      </c>
      <c r="B15" s="1"/>
      <c r="C15" s="3"/>
      <c r="D15" s="3"/>
      <c r="F15" s="1" t="s">
        <v>14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3.3115114368522346E-4</v>
      </c>
      <c r="C17" s="16">
        <f t="shared" ref="C17:D17" si="2">C4/$D$12</f>
        <v>0.18693541518278164</v>
      </c>
      <c r="D17" s="16">
        <f t="shared" si="2"/>
        <v>0.18726656632646688</v>
      </c>
      <c r="F17" s="9" t="s">
        <v>1</v>
      </c>
      <c r="G17" s="16">
        <f t="shared" ref="G17:I25" si="3">G4/$I$12</f>
        <v>0</v>
      </c>
      <c r="H17" s="16">
        <f t="shared" si="3"/>
        <v>0.21571677685639373</v>
      </c>
      <c r="I17" s="16">
        <f t="shared" si="3"/>
        <v>0.21571677685639373</v>
      </c>
    </row>
    <row r="18" spans="1:14" x14ac:dyDescent="0.25">
      <c r="A18" s="9" t="s">
        <v>2</v>
      </c>
      <c r="B18" s="16">
        <f t="shared" ref="B18:D25" si="4">B5/$D$12</f>
        <v>1.3784032114105078E-2</v>
      </c>
      <c r="C18" s="16">
        <f t="shared" si="4"/>
        <v>0.46526441756534975</v>
      </c>
      <c r="D18" s="16">
        <f t="shared" si="4"/>
        <v>0.47904844967945476</v>
      </c>
      <c r="F18" s="9" t="s">
        <v>2</v>
      </c>
      <c r="G18" s="16">
        <f t="shared" si="3"/>
        <v>2.0649596667963017E-2</v>
      </c>
      <c r="H18" s="16">
        <f t="shared" si="3"/>
        <v>0.4750285406029281</v>
      </c>
      <c r="I18" s="16">
        <f t="shared" si="3"/>
        <v>0.49567813727089111</v>
      </c>
    </row>
    <row r="19" spans="1:14" x14ac:dyDescent="0.25">
      <c r="A19" s="9" t="s">
        <v>3</v>
      </c>
      <c r="B19" s="16">
        <f t="shared" si="4"/>
        <v>0</v>
      </c>
      <c r="C19" s="16">
        <f t="shared" si="4"/>
        <v>0.29405031285411332</v>
      </c>
      <c r="D19" s="16">
        <f t="shared" si="4"/>
        <v>0.29405031285411332</v>
      </c>
      <c r="F19" s="9" t="s">
        <v>3</v>
      </c>
      <c r="G19" s="16">
        <f t="shared" si="3"/>
        <v>6.7744727829283282E-3</v>
      </c>
      <c r="H19" s="16">
        <f t="shared" si="3"/>
        <v>0.24804606641492391</v>
      </c>
      <c r="I19" s="16">
        <f t="shared" si="3"/>
        <v>0.25482053919785225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0</v>
      </c>
      <c r="D20" s="16">
        <f t="shared" si="4"/>
        <v>0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0</v>
      </c>
      <c r="C21" s="16">
        <f t="shared" si="4"/>
        <v>2.656195458462627E-4</v>
      </c>
      <c r="D21" s="16">
        <f t="shared" si="4"/>
        <v>2.656195458462627E-4</v>
      </c>
      <c r="F21" s="9" t="s">
        <v>5</v>
      </c>
      <c r="G21" s="16">
        <f t="shared" si="3"/>
        <v>7.7404624204940346E-3</v>
      </c>
      <c r="H21" s="16">
        <f t="shared" si="3"/>
        <v>4.7672215879866016E-4</v>
      </c>
      <c r="I21" s="16">
        <f t="shared" si="3"/>
        <v>8.2171845792926943E-3</v>
      </c>
    </row>
    <row r="22" spans="1:14" x14ac:dyDescent="0.25">
      <c r="A22" s="9" t="s">
        <v>6</v>
      </c>
      <c r="B22" s="16">
        <f t="shared" si="4"/>
        <v>0</v>
      </c>
      <c r="C22" s="16">
        <f t="shared" si="4"/>
        <v>6.0457432034837343E-3</v>
      </c>
      <c r="D22" s="16">
        <f t="shared" si="4"/>
        <v>6.0457432034837343E-3</v>
      </c>
      <c r="F22" s="9" t="s">
        <v>6</v>
      </c>
      <c r="G22" s="16">
        <f t="shared" si="3"/>
        <v>6.2726599841928963E-4</v>
      </c>
      <c r="H22" s="16">
        <f t="shared" si="3"/>
        <v>1.6183462759217673E-3</v>
      </c>
      <c r="I22" s="16">
        <f t="shared" si="3"/>
        <v>2.2456122743410569E-3</v>
      </c>
    </row>
    <row r="23" spans="1:14" x14ac:dyDescent="0.25">
      <c r="A23" s="9" t="s">
        <v>7</v>
      </c>
      <c r="B23" s="16">
        <f t="shared" si="4"/>
        <v>3.041778105406488E-3</v>
      </c>
      <c r="C23" s="16">
        <f t="shared" si="4"/>
        <v>2.7917206929030106E-2</v>
      </c>
      <c r="D23" s="16">
        <f t="shared" si="4"/>
        <v>3.095898503443659E-2</v>
      </c>
      <c r="F23" s="9" t="s">
        <v>7</v>
      </c>
      <c r="G23" s="16">
        <f t="shared" si="3"/>
        <v>6.3479319040032119E-3</v>
      </c>
      <c r="H23" s="16">
        <f t="shared" si="3"/>
        <v>1.6973817917225978E-2</v>
      </c>
      <c r="I23" s="16">
        <f t="shared" si="3"/>
        <v>2.3321749821229192E-2</v>
      </c>
    </row>
    <row r="24" spans="1:14" x14ac:dyDescent="0.25">
      <c r="A24" s="14" t="s">
        <v>8</v>
      </c>
      <c r="B24" s="17">
        <f t="shared" si="4"/>
        <v>0</v>
      </c>
      <c r="C24" s="17">
        <f t="shared" si="4"/>
        <v>2.3643233561985617E-3</v>
      </c>
      <c r="D24" s="17">
        <f t="shared" si="4"/>
        <v>2.3643233561985617E-3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1.715696136319679E-2</v>
      </c>
      <c r="C25" s="18">
        <f t="shared" si="4"/>
        <v>0.98284303863680322</v>
      </c>
      <c r="D25" s="18">
        <f t="shared" si="4"/>
        <v>1</v>
      </c>
      <c r="F25" s="13" t="s">
        <v>19</v>
      </c>
      <c r="G25" s="18">
        <f t="shared" si="3"/>
        <v>4.213972977380788E-2</v>
      </c>
      <c r="H25" s="18">
        <f t="shared" si="3"/>
        <v>0.95786027022619213</v>
      </c>
      <c r="I25" s="18">
        <f t="shared" si="3"/>
        <v>1</v>
      </c>
    </row>
    <row r="28" spans="1:14" ht="15.75" thickBot="1" x14ac:dyDescent="0.3">
      <c r="F28" s="1" t="s">
        <v>32</v>
      </c>
      <c r="G28" s="1"/>
      <c r="H28" s="3"/>
      <c r="I28" s="3"/>
      <c r="K28" s="21" t="s">
        <v>40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-3.3115114368522346E-4</v>
      </c>
      <c r="H30" s="16">
        <f t="shared" ref="H30:H38" si="6">H17-C17</f>
        <v>2.8781361673612088E-2</v>
      </c>
      <c r="I30" s="16">
        <f t="shared" ref="I30:I38" si="7">I17-D17</f>
        <v>2.8450210529926856E-2</v>
      </c>
      <c r="K30" s="23" t="s">
        <v>1</v>
      </c>
      <c r="L30" s="24">
        <f>D17</f>
        <v>0.18726656632646688</v>
      </c>
      <c r="M30" s="24">
        <f t="shared" ref="M30:M38" si="8">I17</f>
        <v>0.21571677685639373</v>
      </c>
      <c r="N30" s="24">
        <f>M30-L30</f>
        <v>2.8450210529926856E-2</v>
      </c>
    </row>
    <row r="31" spans="1:14" x14ac:dyDescent="0.25">
      <c r="F31" s="9" t="s">
        <v>2</v>
      </c>
      <c r="G31" s="16">
        <f t="shared" si="5"/>
        <v>6.8655645538579398E-3</v>
      </c>
      <c r="H31" s="16">
        <f t="shared" si="6"/>
        <v>9.7641230375783428E-3</v>
      </c>
      <c r="I31" s="16">
        <f t="shared" si="7"/>
        <v>1.6629687591436348E-2</v>
      </c>
      <c r="K31" s="30" t="s">
        <v>2</v>
      </c>
      <c r="L31" s="31">
        <f t="shared" ref="L31:L38" si="9">D18</f>
        <v>0.47904844967945476</v>
      </c>
      <c r="M31" s="31">
        <f t="shared" si="8"/>
        <v>0.49567813727089111</v>
      </c>
      <c r="N31" s="31">
        <f t="shared" ref="N31:N38" si="10">M31-L31</f>
        <v>1.6629687591436348E-2</v>
      </c>
    </row>
    <row r="32" spans="1:14" x14ac:dyDescent="0.25">
      <c r="F32" s="9" t="s">
        <v>3</v>
      </c>
      <c r="G32" s="16">
        <f t="shared" si="5"/>
        <v>6.7744727829283282E-3</v>
      </c>
      <c r="H32" s="16">
        <f t="shared" si="6"/>
        <v>-4.6004246439189406E-2</v>
      </c>
      <c r="I32" s="16">
        <f t="shared" si="7"/>
        <v>-3.9229773656261069E-2</v>
      </c>
      <c r="K32" s="23" t="s">
        <v>3</v>
      </c>
      <c r="L32" s="24">
        <f t="shared" si="9"/>
        <v>0.29405031285411332</v>
      </c>
      <c r="M32" s="24">
        <f t="shared" si="8"/>
        <v>0.25482053919785225</v>
      </c>
      <c r="N32" s="24">
        <f t="shared" si="10"/>
        <v>-3.9229773656261069E-2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0</v>
      </c>
      <c r="I33" s="16">
        <f t="shared" si="7"/>
        <v>0</v>
      </c>
      <c r="K33" s="30" t="s">
        <v>4</v>
      </c>
      <c r="L33" s="31">
        <f t="shared" si="9"/>
        <v>0</v>
      </c>
      <c r="M33" s="31">
        <f t="shared" si="8"/>
        <v>0</v>
      </c>
      <c r="N33" s="31">
        <f t="shared" si="10"/>
        <v>0</v>
      </c>
    </row>
    <row r="34" spans="6:14" x14ac:dyDescent="0.25">
      <c r="F34" s="9" t="s">
        <v>5</v>
      </c>
      <c r="G34" s="16">
        <f t="shared" si="5"/>
        <v>7.7404624204940346E-3</v>
      </c>
      <c r="H34" s="16">
        <f t="shared" si="6"/>
        <v>2.1110261295239746E-4</v>
      </c>
      <c r="I34" s="16">
        <f t="shared" si="7"/>
        <v>7.9515650334464321E-3</v>
      </c>
      <c r="K34" s="23" t="s">
        <v>5</v>
      </c>
      <c r="L34" s="24">
        <f t="shared" si="9"/>
        <v>2.656195458462627E-4</v>
      </c>
      <c r="M34" s="24">
        <f t="shared" si="8"/>
        <v>8.2171845792926943E-3</v>
      </c>
      <c r="N34" s="24">
        <f t="shared" si="10"/>
        <v>7.9515650334464321E-3</v>
      </c>
    </row>
    <row r="35" spans="6:14" x14ac:dyDescent="0.25">
      <c r="F35" s="9" t="s">
        <v>6</v>
      </c>
      <c r="G35" s="16">
        <f t="shared" si="5"/>
        <v>6.2726599841928963E-4</v>
      </c>
      <c r="H35" s="16">
        <f t="shared" si="6"/>
        <v>-4.4273969275619666E-3</v>
      </c>
      <c r="I35" s="16">
        <f t="shared" si="7"/>
        <v>-3.8001309291426774E-3</v>
      </c>
      <c r="K35" s="30" t="s">
        <v>6</v>
      </c>
      <c r="L35" s="31">
        <f t="shared" si="9"/>
        <v>6.0457432034837343E-3</v>
      </c>
      <c r="M35" s="31">
        <f t="shared" si="8"/>
        <v>2.2456122743410569E-3</v>
      </c>
      <c r="N35" s="31">
        <f t="shared" si="10"/>
        <v>-3.8001309291426774E-3</v>
      </c>
    </row>
    <row r="36" spans="6:14" x14ac:dyDescent="0.25">
      <c r="F36" s="9" t="s">
        <v>7</v>
      </c>
      <c r="G36" s="16">
        <f t="shared" si="5"/>
        <v>3.3061537985967239E-3</v>
      </c>
      <c r="H36" s="16">
        <f t="shared" si="6"/>
        <v>-1.0943389011804128E-2</v>
      </c>
      <c r="I36" s="16">
        <f t="shared" si="7"/>
        <v>-7.6372352132073988E-3</v>
      </c>
      <c r="K36" s="23" t="s">
        <v>7</v>
      </c>
      <c r="L36" s="24">
        <f t="shared" si="9"/>
        <v>3.095898503443659E-2</v>
      </c>
      <c r="M36" s="24">
        <f t="shared" si="8"/>
        <v>2.3321749821229192E-2</v>
      </c>
      <c r="N36" s="24">
        <f t="shared" si="10"/>
        <v>-7.6372352132073988E-3</v>
      </c>
    </row>
    <row r="37" spans="6:14" x14ac:dyDescent="0.25">
      <c r="F37" s="14" t="s">
        <v>8</v>
      </c>
      <c r="G37" s="17">
        <f t="shared" si="5"/>
        <v>0</v>
      </c>
      <c r="H37" s="17">
        <f t="shared" si="6"/>
        <v>-2.3643233561985617E-3</v>
      </c>
      <c r="I37" s="17">
        <f t="shared" si="7"/>
        <v>-2.3643233561985617E-3</v>
      </c>
      <c r="K37" s="32" t="s">
        <v>8</v>
      </c>
      <c r="L37" s="33">
        <f t="shared" si="9"/>
        <v>2.3643233561985617E-3</v>
      </c>
      <c r="M37" s="33">
        <f t="shared" si="8"/>
        <v>0</v>
      </c>
      <c r="N37" s="33">
        <f t="shared" si="10"/>
        <v>-2.3643233561985617E-3</v>
      </c>
    </row>
    <row r="38" spans="6:14" ht="15.75" thickBot="1" x14ac:dyDescent="0.3">
      <c r="F38" s="13" t="s">
        <v>19</v>
      </c>
      <c r="G38" s="18">
        <f t="shared" si="5"/>
        <v>2.4982768410611089E-2</v>
      </c>
      <c r="H38" s="18">
        <f t="shared" si="6"/>
        <v>-2.4982768410611089E-2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N38"/>
  <sheetViews>
    <sheetView workbookViewId="0">
      <selection activeCell="P26" sqref="P26"/>
    </sheetView>
  </sheetViews>
  <sheetFormatPr defaultRowHeight="15" x14ac:dyDescent="0.25"/>
  <cols>
    <col min="1" max="4" customWidth="true" width="16.7109375" collapsed="true"/>
    <col min="6" max="9" customWidth="true" width="16.7109375" collapsed="true"/>
    <col min="11" max="11" customWidth="true" width="16.7109375" collapsed="true"/>
    <col min="12" max="14" customWidth="true" width="11.85546875" collapsed="true"/>
  </cols>
  <sheetData>
    <row r="2" spans="1:9" ht="15.75" thickBot="1" x14ac:dyDescent="0.3">
      <c r="A2" s="1" t="s">
        <v>53</v>
      </c>
      <c r="B2" s="1"/>
      <c r="C2" s="3"/>
      <c r="D2" s="3"/>
      <c r="F2" s="1" t="s">
        <v>16</v>
      </c>
      <c r="G2" s="1"/>
      <c r="H2" s="3"/>
      <c r="I2" s="3"/>
    </row>
    <row r="3" spans="1:9" x14ac:dyDescent="0.25">
      <c r="A3" s="2" t="s">
        <v>0</v>
      </c>
      <c r="B3" s="4" t="s">
        <v>9</v>
      </c>
      <c r="C3" s="4" t="s">
        <v>10</v>
      </c>
      <c r="D3" s="7" t="s">
        <v>19</v>
      </c>
      <c r="F3" s="2" t="s">
        <v>0</v>
      </c>
      <c r="G3" s="4" t="s">
        <v>9</v>
      </c>
      <c r="H3" s="4" t="s">
        <v>10</v>
      </c>
      <c r="I3" s="7" t="s">
        <v>19</v>
      </c>
    </row>
    <row r="4" spans="1:9" x14ac:dyDescent="0.25">
      <c r="A4" s="9" t="s">
        <v>1</v>
      </c>
      <c r="B4" s="9" t="n">
        <v>121.0139707352672</v>
      </c>
      <c r="C4" s="9" t="n">
        <v>63126.589688246655</v>
      </c>
      <c r="D4" s="9">
        <f>SUM(B4:C4)</f>
        <v>63247.60365898192</v>
      </c>
      <c r="E4" s="9"/>
      <c r="F4" s="9" t="s">
        <v>1</v>
      </c>
      <c r="G4" s="9" t="n">
        <v>0.0</v>
      </c>
      <c r="H4" s="9" t="n">
        <v>68002.0</v>
      </c>
      <c r="I4" s="9">
        <f>SUM(G4:H4)</f>
        <v>65251</v>
      </c>
    </row>
    <row r="5" spans="1:9" x14ac:dyDescent="0.25">
      <c r="A5" s="9" t="s">
        <v>2</v>
      </c>
      <c r="B5" s="9" t="n">
        <v>1400.7001543570216</v>
      </c>
      <c r="C5" s="9" t="n">
        <v>57527.54397628009</v>
      </c>
      <c r="D5" s="9">
        <f t="shared" ref="D5:D12" si="0">SUM(B5:C5)</f>
        <v>58928.244130637111</v>
      </c>
      <c r="E5" s="9"/>
      <c r="F5" s="9" t="s">
        <v>2</v>
      </c>
      <c r="G5" s="9" t="n">
        <v>2763.0</v>
      </c>
      <c r="H5" s="9" t="n">
        <v>70985.0</v>
      </c>
      <c r="I5" s="9">
        <f t="shared" ref="I5:I12" si="1">SUM(G5:H5)</f>
        <v>71314</v>
      </c>
    </row>
    <row r="6" spans="1:9" x14ac:dyDescent="0.25">
      <c r="A6" s="9" t="s">
        <v>3</v>
      </c>
      <c r="B6" s="9" t="n">
        <v>751.6055153806417</v>
      </c>
      <c r="C6" s="9" t="n">
        <v>49272.56574852192</v>
      </c>
      <c r="D6" s="9">
        <f t="shared" si="0"/>
        <v>50024.171263902565</v>
      </c>
      <c r="E6" s="9"/>
      <c r="F6" s="9" t="s">
        <v>3</v>
      </c>
      <c r="G6" s="9" t="n">
        <v>1271.0</v>
      </c>
      <c r="H6" s="9" t="n">
        <v>51019.0</v>
      </c>
      <c r="I6" s="9">
        <f t="shared" si="1"/>
        <v>50069</v>
      </c>
    </row>
    <row r="7" spans="1:9" x14ac:dyDescent="0.25">
      <c r="A7" s="9" t="s">
        <v>4</v>
      </c>
      <c r="B7" s="9" t="n">
        <v>0.0</v>
      </c>
      <c r="C7" s="9" t="n">
        <v>142.323898132495</v>
      </c>
      <c r="D7" s="9">
        <f t="shared" si="0"/>
        <v>142.323898132495</v>
      </c>
      <c r="E7" s="9"/>
      <c r="F7" s="9" t="s">
        <v>4</v>
      </c>
      <c r="G7" s="9" t="n">
        <v>0.0</v>
      </c>
      <c r="H7" s="9" t="n">
        <v>0.0</v>
      </c>
      <c r="I7" s="9">
        <f t="shared" si="1"/>
        <v>0</v>
      </c>
    </row>
    <row r="8" spans="1:9" x14ac:dyDescent="0.25">
      <c r="A8" s="9" t="s">
        <v>5</v>
      </c>
      <c r="B8" s="9" t="n">
        <v>213.398745092626</v>
      </c>
      <c r="C8" s="9" t="n">
        <v>171.6276662100374</v>
      </c>
      <c r="D8" s="9">
        <f t="shared" si="0"/>
        <v>385.0264113026634</v>
      </c>
      <c r="E8" s="9"/>
      <c r="F8" s="9" t="s">
        <v>5</v>
      </c>
      <c r="G8" s="9" t="n">
        <v>1042.0</v>
      </c>
      <c r="H8" s="9" t="n">
        <v>80.0</v>
      </c>
      <c r="I8" s="9">
        <f t="shared" si="1"/>
        <v>1090</v>
      </c>
    </row>
    <row r="9" spans="1:9" x14ac:dyDescent="0.25">
      <c r="A9" s="9" t="s">
        <v>6</v>
      </c>
      <c r="B9" s="9" t="n">
        <v>0.0</v>
      </c>
      <c r="C9" s="9" t="n">
        <v>2593.8296664188942</v>
      </c>
      <c r="D9" s="9">
        <f t="shared" si="0"/>
        <v>2593.8296664188942</v>
      </c>
      <c r="E9" s="9"/>
      <c r="F9" s="9" t="s">
        <v>6</v>
      </c>
      <c r="G9" s="9" t="n">
        <v>562.0</v>
      </c>
      <c r="H9" s="9" t="n">
        <v>1332.0</v>
      </c>
      <c r="I9" s="9">
        <f t="shared" si="1"/>
        <v>1851</v>
      </c>
    </row>
    <row r="10" spans="1:9" x14ac:dyDescent="0.25">
      <c r="A10" s="9" t="s">
        <v>7</v>
      </c>
      <c r="B10" s="9" t="n">
        <v>2308.0649378529893</v>
      </c>
      <c r="C10" s="9" t="n">
        <v>16510.270394424624</v>
      </c>
      <c r="D10" s="9">
        <f t="shared" si="0"/>
        <v>18818.335332277613</v>
      </c>
      <c r="E10" s="9"/>
      <c r="F10" s="9" t="s">
        <v>7</v>
      </c>
      <c r="G10" s="9" t="n">
        <v>2151.0</v>
      </c>
      <c r="H10" s="9" t="n">
        <v>8205.0</v>
      </c>
      <c r="I10" s="9">
        <f t="shared" si="1"/>
        <v>10885</v>
      </c>
    </row>
    <row r="11" spans="1:9" x14ac:dyDescent="0.25">
      <c r="A11" s="14" t="s">
        <v>8</v>
      </c>
      <c r="B11" s="14" t="n">
        <v>34.475990089522</v>
      </c>
      <c r="C11" s="14" t="n">
        <v>2402.202660598208</v>
      </c>
      <c r="D11" s="14">
        <f t="shared" si="0"/>
        <v>2436.6786506877297</v>
      </c>
      <c r="E11" s="9"/>
      <c r="F11" s="14" t="s">
        <v>8</v>
      </c>
      <c r="G11" s="14" t="n">
        <v>0.0</v>
      </c>
      <c r="H11" s="14" t="n">
        <v>0.0</v>
      </c>
      <c r="I11" s="14">
        <f t="shared" si="1"/>
        <v>0</v>
      </c>
    </row>
    <row r="12" spans="1:9" ht="15.75" thickBot="1" x14ac:dyDescent="0.3">
      <c r="A12" s="13" t="s">
        <v>19</v>
      </c>
      <c r="B12" s="10">
        <f>SUM(B4:B11)</f>
        <v>4829.2593135080679</v>
      </c>
      <c r="C12" s="10">
        <f>SUM(C4:C11)</f>
        <v>191746.95369883289</v>
      </c>
      <c r="D12" s="10">
        <f t="shared" si="0"/>
        <v>196576.21301234094</v>
      </c>
      <c r="F12" s="13" t="s">
        <v>19</v>
      </c>
      <c r="G12" s="10">
        <f>SUM(G4:G11)</f>
        <v>6944</v>
      </c>
      <c r="H12" s="10">
        <f>SUM(H4:H11)</f>
        <v>193516</v>
      </c>
      <c r="I12" s="10">
        <f t="shared" si="1"/>
        <v>200460</v>
      </c>
    </row>
    <row r="15" spans="1:9" ht="15.75" thickBot="1" x14ac:dyDescent="0.3">
      <c r="A15" s="1" t="s">
        <v>54</v>
      </c>
      <c r="B15" s="1"/>
      <c r="C15" s="3"/>
      <c r="D15" s="3"/>
      <c r="F15" s="1" t="s">
        <v>22</v>
      </c>
      <c r="G15" s="1"/>
      <c r="H15" s="3"/>
      <c r="I15" s="3"/>
    </row>
    <row r="16" spans="1:9" x14ac:dyDescent="0.25">
      <c r="A16" s="2" t="s">
        <v>0</v>
      </c>
      <c r="B16" s="4" t="s">
        <v>9</v>
      </c>
      <c r="C16" s="4" t="s">
        <v>10</v>
      </c>
      <c r="D16" s="7" t="s">
        <v>19</v>
      </c>
      <c r="F16" s="2" t="s">
        <v>0</v>
      </c>
      <c r="G16" s="4" t="s">
        <v>9</v>
      </c>
      <c r="H16" s="4" t="s">
        <v>10</v>
      </c>
      <c r="I16" s="7" t="s">
        <v>19</v>
      </c>
    </row>
    <row r="17" spans="1:14" x14ac:dyDescent="0.25">
      <c r="A17" s="9" t="s">
        <v>1</v>
      </c>
      <c r="B17" s="16">
        <f>B4/$D$12</f>
        <v>6.1560841406416763E-4</v>
      </c>
      <c r="C17" s="16">
        <f t="shared" ref="C17:D17" si="2">C4/$D$12</f>
        <v>0.32113035814909918</v>
      </c>
      <c r="D17" s="16">
        <f t="shared" si="2"/>
        <v>0.32174596656316334</v>
      </c>
      <c r="F17" s="9" t="s">
        <v>1</v>
      </c>
      <c r="G17" s="16">
        <f t="shared" ref="G17:I25" si="3">G4/$I$12</f>
        <v>0</v>
      </c>
      <c r="H17" s="16">
        <f t="shared" si="3"/>
        <v>0.32550633542851443</v>
      </c>
      <c r="I17" s="16">
        <f t="shared" si="3"/>
        <v>0.32550633542851443</v>
      </c>
    </row>
    <row r="18" spans="1:14" x14ac:dyDescent="0.25">
      <c r="A18" s="9" t="s">
        <v>2</v>
      </c>
      <c r="B18" s="16">
        <f t="shared" ref="B18:D25" si="4">B5/$D$12</f>
        <v>7.1254814246985536E-3</v>
      </c>
      <c r="C18" s="16">
        <f t="shared" si="4"/>
        <v>0.29264753397537746</v>
      </c>
      <c r="D18" s="16">
        <f t="shared" si="4"/>
        <v>0.29977301540007606</v>
      </c>
      <c r="F18" s="9" t="s">
        <v>2</v>
      </c>
      <c r="G18" s="16">
        <f t="shared" si="3"/>
        <v>1.2690811134390901E-2</v>
      </c>
      <c r="H18" s="16">
        <f t="shared" si="3"/>
        <v>0.3430609597924773</v>
      </c>
      <c r="I18" s="16">
        <f t="shared" si="3"/>
        <v>0.35575177092686822</v>
      </c>
    </row>
    <row r="19" spans="1:14" x14ac:dyDescent="0.25">
      <c r="A19" s="9" t="s">
        <v>3</v>
      </c>
      <c r="B19" s="16">
        <f t="shared" si="4"/>
        <v>3.823481508077767E-3</v>
      </c>
      <c r="C19" s="16">
        <f t="shared" si="4"/>
        <v>0.25065375405023504</v>
      </c>
      <c r="D19" s="16">
        <f t="shared" si="4"/>
        <v>0.25447723555831281</v>
      </c>
      <c r="F19" s="9" t="s">
        <v>3</v>
      </c>
      <c r="G19" s="16">
        <f t="shared" si="3"/>
        <v>5.5821610296318469E-3</v>
      </c>
      <c r="H19" s="16">
        <f t="shared" si="3"/>
        <v>0.24418836675646013</v>
      </c>
      <c r="I19" s="16">
        <f t="shared" si="3"/>
        <v>0.24977052778609199</v>
      </c>
    </row>
    <row r="20" spans="1:14" x14ac:dyDescent="0.25">
      <c r="A20" s="9" t="s">
        <v>4</v>
      </c>
      <c r="B20" s="16">
        <f t="shared" si="4"/>
        <v>0</v>
      </c>
      <c r="C20" s="16">
        <f t="shared" si="4"/>
        <v>7.2401383642261945E-4</v>
      </c>
      <c r="D20" s="16">
        <f t="shared" si="4"/>
        <v>7.2401383642261945E-4</v>
      </c>
      <c r="F20" s="9" t="s">
        <v>4</v>
      </c>
      <c r="G20" s="16">
        <f t="shared" si="3"/>
        <v>0</v>
      </c>
      <c r="H20" s="16">
        <f t="shared" si="3"/>
        <v>0</v>
      </c>
      <c r="I20" s="16">
        <f t="shared" si="3"/>
        <v>0</v>
      </c>
    </row>
    <row r="21" spans="1:14" x14ac:dyDescent="0.25">
      <c r="A21" s="9" t="s">
        <v>5</v>
      </c>
      <c r="B21" s="16">
        <f t="shared" si="4"/>
        <v>1.0855776587741517E-3</v>
      </c>
      <c r="C21" s="16">
        <f t="shared" si="4"/>
        <v>8.7308460967890718E-4</v>
      </c>
      <c r="D21" s="16">
        <f t="shared" si="4"/>
        <v>1.9586622684530587E-3</v>
      </c>
      <c r="F21" s="9" t="s">
        <v>5</v>
      </c>
      <c r="G21" s="16">
        <f t="shared" si="3"/>
        <v>5.0384116531976457E-3</v>
      </c>
      <c r="H21" s="16">
        <f t="shared" si="3"/>
        <v>3.9908211114436795E-4</v>
      </c>
      <c r="I21" s="16">
        <f t="shared" si="3"/>
        <v>5.4374937643420131E-3</v>
      </c>
    </row>
    <row r="22" spans="1:14" x14ac:dyDescent="0.25">
      <c r="A22" s="9" t="s">
        <v>6</v>
      </c>
      <c r="B22" s="16">
        <f t="shared" si="4"/>
        <v>0</v>
      </c>
      <c r="C22" s="16">
        <f t="shared" si="4"/>
        <v>1.3195033247771718E-2</v>
      </c>
      <c r="D22" s="16">
        <f t="shared" si="4"/>
        <v>1.3195033247771718E-2</v>
      </c>
      <c r="F22" s="9" t="s">
        <v>6</v>
      </c>
      <c r="G22" s="16">
        <f t="shared" si="3"/>
        <v>2.3346303501945525E-3</v>
      </c>
      <c r="H22" s="16">
        <f t="shared" si="3"/>
        <v>6.8991319964082608E-3</v>
      </c>
      <c r="I22" s="16">
        <f t="shared" si="3"/>
        <v>9.2337623466028137E-3</v>
      </c>
    </row>
    <row r="23" spans="1:14" x14ac:dyDescent="0.25">
      <c r="A23" s="9" t="s">
        <v>7</v>
      </c>
      <c r="B23" s="16">
        <f t="shared" si="4"/>
        <v>1.1741323644830264E-2</v>
      </c>
      <c r="C23" s="16">
        <f t="shared" si="4"/>
        <v>8.3989156884348562E-2</v>
      </c>
      <c r="D23" s="16">
        <f t="shared" si="4"/>
        <v>9.5730480529178819E-2</v>
      </c>
      <c r="F23" s="9" t="s">
        <v>7</v>
      </c>
      <c r="G23" s="16">
        <f t="shared" si="3"/>
        <v>8.994313079916192E-3</v>
      </c>
      <c r="H23" s="16">
        <f t="shared" si="3"/>
        <v>4.5305796667664371E-2</v>
      </c>
      <c r="I23" s="16">
        <f t="shared" si="3"/>
        <v>5.4300109747580566E-2</v>
      </c>
    </row>
    <row r="24" spans="1:14" x14ac:dyDescent="0.25">
      <c r="A24" s="14" t="s">
        <v>8</v>
      </c>
      <c r="B24" s="17">
        <f t="shared" si="4"/>
        <v>1.7538230878095927E-4</v>
      </c>
      <c r="C24" s="17">
        <f t="shared" si="4"/>
        <v>1.2220210287840873E-2</v>
      </c>
      <c r="D24" s="17">
        <f t="shared" si="4"/>
        <v>1.2395592596621832E-2</v>
      </c>
      <c r="F24" s="14" t="s">
        <v>8</v>
      </c>
      <c r="G24" s="17">
        <f t="shared" si="3"/>
        <v>0</v>
      </c>
      <c r="H24" s="17">
        <f t="shared" si="3"/>
        <v>0</v>
      </c>
      <c r="I24" s="17">
        <f t="shared" si="3"/>
        <v>0</v>
      </c>
    </row>
    <row r="25" spans="1:14" ht="15.75" thickBot="1" x14ac:dyDescent="0.3">
      <c r="A25" s="13" t="s">
        <v>19</v>
      </c>
      <c r="B25" s="18">
        <f t="shared" si="4"/>
        <v>2.4566854959225864E-2</v>
      </c>
      <c r="C25" s="18">
        <f t="shared" si="4"/>
        <v>0.97543314504077416</v>
      </c>
      <c r="D25" s="18">
        <f t="shared" si="4"/>
        <v>1</v>
      </c>
      <c r="F25" s="13" t="s">
        <v>19</v>
      </c>
      <c r="G25" s="18">
        <f t="shared" si="3"/>
        <v>3.464032724733114E-2</v>
      </c>
      <c r="H25" s="18">
        <f t="shared" si="3"/>
        <v>0.96535967275266887</v>
      </c>
      <c r="I25" s="18">
        <f t="shared" si="3"/>
        <v>1</v>
      </c>
    </row>
    <row r="28" spans="1:14" ht="15.75" thickBot="1" x14ac:dyDescent="0.3">
      <c r="F28" s="1" t="s">
        <v>23</v>
      </c>
      <c r="G28" s="1"/>
      <c r="H28" s="3"/>
      <c r="I28" s="3"/>
      <c r="K28" s="21" t="s">
        <v>41</v>
      </c>
      <c r="L28" s="21"/>
      <c r="M28" s="22"/>
      <c r="N28" s="22"/>
    </row>
    <row r="29" spans="1:14" x14ac:dyDescent="0.25">
      <c r="F29" s="2" t="s">
        <v>0</v>
      </c>
      <c r="G29" s="4" t="s">
        <v>9</v>
      </c>
      <c r="H29" s="4" t="s">
        <v>10</v>
      </c>
      <c r="I29" s="7" t="s">
        <v>19</v>
      </c>
      <c r="K29" s="27" t="s">
        <v>0</v>
      </c>
      <c r="L29" s="28" t="s">
        <v>46</v>
      </c>
      <c r="M29" s="28" t="s">
        <v>33</v>
      </c>
      <c r="N29" s="29" t="s">
        <v>34</v>
      </c>
    </row>
    <row r="30" spans="1:14" x14ac:dyDescent="0.25">
      <c r="F30" s="9" t="s">
        <v>1</v>
      </c>
      <c r="G30" s="16">
        <f t="shared" ref="G30:G38" si="5">G17-B17</f>
        <v>-6.1560841406416763E-4</v>
      </c>
      <c r="H30" s="16">
        <f t="shared" ref="H30:H38" si="6">H17-C17</f>
        <v>4.3759772794152441E-3</v>
      </c>
      <c r="I30" s="16">
        <f t="shared" ref="I30:I38" si="7">I17-D17</f>
        <v>3.7603688653510825E-3</v>
      </c>
      <c r="K30" s="23" t="s">
        <v>1</v>
      </c>
      <c r="L30" s="24">
        <f>D17</f>
        <v>0.32174596656316334</v>
      </c>
      <c r="M30" s="24">
        <f t="shared" ref="M30:M38" si="8">I17</f>
        <v>0.32550633542851443</v>
      </c>
      <c r="N30" s="24">
        <f>M30-L30</f>
        <v>3.7603688653510825E-3</v>
      </c>
    </row>
    <row r="31" spans="1:14" x14ac:dyDescent="0.25">
      <c r="F31" s="9" t="s">
        <v>2</v>
      </c>
      <c r="G31" s="16">
        <f t="shared" si="5"/>
        <v>5.5653297096923474E-3</v>
      </c>
      <c r="H31" s="16">
        <f t="shared" si="6"/>
        <v>5.0413425817099844E-2</v>
      </c>
      <c r="I31" s="16">
        <f t="shared" si="7"/>
        <v>5.5978755526792157E-2</v>
      </c>
      <c r="K31" s="30" t="s">
        <v>2</v>
      </c>
      <c r="L31" s="31">
        <f t="shared" ref="L31:L38" si="9">D18</f>
        <v>0.29977301540007606</v>
      </c>
      <c r="M31" s="31">
        <f t="shared" si="8"/>
        <v>0.35575177092686822</v>
      </c>
      <c r="N31" s="31">
        <f t="shared" ref="N31:N38" si="10">M31-L31</f>
        <v>5.5978755526792157E-2</v>
      </c>
    </row>
    <row r="32" spans="1:14" x14ac:dyDescent="0.25">
      <c r="F32" s="9" t="s">
        <v>3</v>
      </c>
      <c r="G32" s="16">
        <f t="shared" si="5"/>
        <v>1.7586795215540798E-3</v>
      </c>
      <c r="H32" s="16">
        <f t="shared" si="6"/>
        <v>-6.4653872937749102E-3</v>
      </c>
      <c r="I32" s="16">
        <f t="shared" si="7"/>
        <v>-4.7067077722208195E-3</v>
      </c>
      <c r="K32" s="23" t="s">
        <v>3</v>
      </c>
      <c r="L32" s="24">
        <f t="shared" si="9"/>
        <v>0.25447723555831281</v>
      </c>
      <c r="M32" s="24">
        <f t="shared" si="8"/>
        <v>0.24977052778609199</v>
      </c>
      <c r="N32" s="24">
        <f t="shared" si="10"/>
        <v>-4.7067077722208195E-3</v>
      </c>
    </row>
    <row r="33" spans="6:14" x14ac:dyDescent="0.25">
      <c r="F33" s="9" t="s">
        <v>4</v>
      </c>
      <c r="G33" s="16">
        <f t="shared" si="5"/>
        <v>0</v>
      </c>
      <c r="H33" s="16">
        <f t="shared" si="6"/>
        <v>-7.2401383642261945E-4</v>
      </c>
      <c r="I33" s="16">
        <f t="shared" si="7"/>
        <v>-7.2401383642261945E-4</v>
      </c>
      <c r="K33" s="30" t="s">
        <v>4</v>
      </c>
      <c r="L33" s="31">
        <f t="shared" si="9"/>
        <v>7.2401383642261945E-4</v>
      </c>
      <c r="M33" s="31">
        <f t="shared" si="8"/>
        <v>0</v>
      </c>
      <c r="N33" s="31">
        <f t="shared" si="10"/>
        <v>-7.2401383642261945E-4</v>
      </c>
    </row>
    <row r="34" spans="6:14" x14ac:dyDescent="0.25">
      <c r="F34" s="9" t="s">
        <v>5</v>
      </c>
      <c r="G34" s="16">
        <f t="shared" si="5"/>
        <v>3.9528339944234943E-3</v>
      </c>
      <c r="H34" s="16">
        <f t="shared" si="6"/>
        <v>-4.7400249853453923E-4</v>
      </c>
      <c r="I34" s="16">
        <f t="shared" si="7"/>
        <v>3.4788314958889544E-3</v>
      </c>
      <c r="K34" s="23" t="s">
        <v>5</v>
      </c>
      <c r="L34" s="24">
        <f t="shared" si="9"/>
        <v>1.9586622684530587E-3</v>
      </c>
      <c r="M34" s="24">
        <f t="shared" si="8"/>
        <v>5.4374937643420131E-3</v>
      </c>
      <c r="N34" s="24">
        <f t="shared" si="10"/>
        <v>3.4788314958889544E-3</v>
      </c>
    </row>
    <row r="35" spans="6:14" x14ac:dyDescent="0.25">
      <c r="F35" s="9" t="s">
        <v>6</v>
      </c>
      <c r="G35" s="16">
        <f t="shared" si="5"/>
        <v>2.3346303501945525E-3</v>
      </c>
      <c r="H35" s="16">
        <f t="shared" si="6"/>
        <v>-6.2959012513634574E-3</v>
      </c>
      <c r="I35" s="16">
        <f t="shared" si="7"/>
        <v>-3.9612709011689045E-3</v>
      </c>
      <c r="K35" s="30" t="s">
        <v>6</v>
      </c>
      <c r="L35" s="31">
        <f t="shared" si="9"/>
        <v>1.3195033247771718E-2</v>
      </c>
      <c r="M35" s="31">
        <f t="shared" si="8"/>
        <v>9.2337623466028137E-3</v>
      </c>
      <c r="N35" s="31">
        <f t="shared" si="10"/>
        <v>-3.9612709011689045E-3</v>
      </c>
    </row>
    <row r="36" spans="6:14" x14ac:dyDescent="0.25">
      <c r="F36" s="9" t="s">
        <v>7</v>
      </c>
      <c r="G36" s="16">
        <f t="shared" si="5"/>
        <v>-2.7470105649140715E-3</v>
      </c>
      <c r="H36" s="16">
        <f t="shared" si="6"/>
        <v>-3.8683360216684191E-2</v>
      </c>
      <c r="I36" s="16">
        <f t="shared" si="7"/>
        <v>-4.1430370781598252E-2</v>
      </c>
      <c r="K36" s="23" t="s">
        <v>7</v>
      </c>
      <c r="L36" s="24">
        <f t="shared" si="9"/>
        <v>9.5730480529178819E-2</v>
      </c>
      <c r="M36" s="24">
        <f t="shared" si="8"/>
        <v>5.4300109747580566E-2</v>
      </c>
      <c r="N36" s="24">
        <f t="shared" si="10"/>
        <v>-4.1430370781598252E-2</v>
      </c>
    </row>
    <row r="37" spans="6:14" x14ac:dyDescent="0.25">
      <c r="F37" s="14" t="s">
        <v>8</v>
      </c>
      <c r="G37" s="17">
        <f t="shared" si="5"/>
        <v>-1.7538230878095927E-4</v>
      </c>
      <c r="H37" s="17">
        <f t="shared" si="6"/>
        <v>-1.2220210287840873E-2</v>
      </c>
      <c r="I37" s="17">
        <f t="shared" si="7"/>
        <v>-1.2395592596621832E-2</v>
      </c>
      <c r="K37" s="32" t="s">
        <v>8</v>
      </c>
      <c r="L37" s="33">
        <f t="shared" si="9"/>
        <v>1.2395592596621832E-2</v>
      </c>
      <c r="M37" s="33">
        <f t="shared" si="8"/>
        <v>0</v>
      </c>
      <c r="N37" s="33">
        <f t="shared" si="10"/>
        <v>-1.2395592596621832E-2</v>
      </c>
    </row>
    <row r="38" spans="6:14" ht="15.75" thickBot="1" x14ac:dyDescent="0.3">
      <c r="F38" s="13" t="s">
        <v>19</v>
      </c>
      <c r="G38" s="18">
        <f t="shared" si="5"/>
        <v>1.0073472288105276E-2</v>
      </c>
      <c r="H38" s="18">
        <f t="shared" si="6"/>
        <v>-1.007347228810529E-2</v>
      </c>
      <c r="I38" s="18">
        <f t="shared" si="7"/>
        <v>0</v>
      </c>
      <c r="K38" s="25" t="s">
        <v>19</v>
      </c>
      <c r="L38" s="26">
        <f t="shared" si="9"/>
        <v>1</v>
      </c>
      <c r="M38" s="26">
        <f t="shared" si="8"/>
        <v>1</v>
      </c>
      <c r="N38" s="26">
        <f t="shared" si="10"/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T38"/>
  <sheetViews>
    <sheetView topLeftCell="H1" workbookViewId="0">
      <selection activeCell="W32" sqref="W32"/>
    </sheetView>
  </sheetViews>
  <sheetFormatPr defaultRowHeight="15" x14ac:dyDescent="0.25"/>
  <cols>
    <col min="1" max="1" customWidth="true" width="16.7109375" collapsed="true"/>
    <col min="2" max="9" customWidth="true" width="12.7109375" collapsed="true"/>
    <col min="10" max="10" customWidth="true" width="3.7109375" collapsed="true"/>
    <col min="11" max="11" customWidth="true" width="16.7109375" collapsed="true"/>
    <col min="12" max="20" customWidth="true" width="12.7109375" collapsed="true"/>
  </cols>
  <sheetData>
    <row r="2" spans="1:19" ht="15.75" thickBot="1" x14ac:dyDescent="0.3">
      <c r="A2" s="1" t="s">
        <v>55</v>
      </c>
      <c r="B2" s="1"/>
      <c r="C2" s="3"/>
      <c r="D2" s="3"/>
      <c r="E2" s="3"/>
      <c r="F2" s="3"/>
      <c r="G2" s="3"/>
      <c r="H2" s="3"/>
      <c r="I2" s="3"/>
      <c r="K2" s="1" t="s">
        <v>56</v>
      </c>
      <c r="L2" s="1"/>
      <c r="M2" s="3"/>
      <c r="N2" s="3"/>
      <c r="O2" s="3"/>
      <c r="P2" s="3"/>
      <c r="Q2" s="3"/>
      <c r="R2" s="3"/>
      <c r="S2" s="3"/>
    </row>
    <row r="3" spans="1:19" x14ac:dyDescent="0.25">
      <c r="A3" s="5"/>
      <c r="B3" s="34" t="s">
        <v>18</v>
      </c>
      <c r="C3" s="34"/>
      <c r="D3" s="34"/>
      <c r="E3" s="34"/>
      <c r="F3" s="34"/>
      <c r="G3" s="34"/>
      <c r="H3" s="34"/>
      <c r="I3" s="11"/>
      <c r="K3" s="5"/>
      <c r="L3" s="35" t="s">
        <v>18</v>
      </c>
      <c r="M3" s="35"/>
      <c r="N3" s="35"/>
      <c r="O3" s="35"/>
      <c r="P3" s="35"/>
      <c r="Q3" s="35"/>
      <c r="R3" s="35"/>
      <c r="S3" s="35"/>
    </row>
    <row r="4" spans="1:19" x14ac:dyDescent="0.25">
      <c r="A4" s="6" t="s">
        <v>0</v>
      </c>
      <c r="B4" s="7" t="s">
        <v>1</v>
      </c>
      <c r="C4" s="7" t="s">
        <v>2</v>
      </c>
      <c r="D4" s="7" t="s">
        <v>3</v>
      </c>
      <c r="E4" s="7" t="s">
        <v>4</v>
      </c>
      <c r="F4" s="7" t="s">
        <v>5</v>
      </c>
      <c r="G4" s="7" t="s">
        <v>6</v>
      </c>
      <c r="H4" s="7" t="s">
        <v>7</v>
      </c>
      <c r="I4" s="7" t="s">
        <v>19</v>
      </c>
      <c r="K4" s="6" t="s">
        <v>0</v>
      </c>
      <c r="L4" s="7" t="s">
        <v>1</v>
      </c>
      <c r="M4" s="7" t="s">
        <v>2</v>
      </c>
      <c r="N4" s="7" t="s">
        <v>3</v>
      </c>
      <c r="O4" s="7" t="s">
        <v>4</v>
      </c>
      <c r="P4" s="7" t="s">
        <v>5</v>
      </c>
      <c r="Q4" s="7" t="s">
        <v>6</v>
      </c>
      <c r="R4" s="7" t="s">
        <v>7</v>
      </c>
      <c r="S4" s="7" t="s">
        <v>19</v>
      </c>
    </row>
    <row r="5" spans="1:19" x14ac:dyDescent="0.25">
      <c r="A5" t="s">
        <v>1</v>
      </c>
      <c r="B5" s="9" t="n">
        <v>34737.42307543845</v>
      </c>
      <c r="C5" s="9" t="n">
        <v>7905.913529401912</v>
      </c>
      <c r="D5" s="9" t="n">
        <v>2465.8908125260814</v>
      </c>
      <c r="E5" s="9" t="n">
        <v>0.0</v>
      </c>
      <c r="F5" s="9" t="n">
        <v>0.0</v>
      </c>
      <c r="G5" s="9" t="n">
        <v>0.0</v>
      </c>
      <c r="H5" s="9" t="n">
        <v>60.7147178992684</v>
      </c>
      <c r="I5" s="9">
        <f>SUM(B5:H5)</f>
        <v>45169.942135265708</v>
      </c>
      <c r="J5" s="9"/>
      <c r="K5" s="9" t="s">
        <v>1</v>
      </c>
      <c r="L5" s="9" t="n">
        <v>40354.0</v>
      </c>
      <c r="M5" s="9" t="n">
        <v>6042.0</v>
      </c>
      <c r="N5" s="9" t="n">
        <v>1038.0</v>
      </c>
      <c r="O5" s="9" t="n">
        <v>43.0</v>
      </c>
      <c r="P5" s="9" t="n">
        <v>15.0</v>
      </c>
      <c r="Q5" s="9" t="n">
        <v>21.0</v>
      </c>
      <c r="R5" s="9" t="n">
        <v>11.0</v>
      </c>
      <c r="S5" s="9">
        <f>SUM(L5:R5)</f>
        <v>44775</v>
      </c>
    </row>
    <row r="6" spans="1:19" x14ac:dyDescent="0.25">
      <c r="A6" t="s">
        <v>2</v>
      </c>
      <c r="B6" s="9" t="n">
        <v>9743.157509094868</v>
      </c>
      <c r="C6" s="9" t="n">
        <v>8423.64949052718</v>
      </c>
      <c r="D6" s="9" t="n">
        <v>1096.2216055080203</v>
      </c>
      <c r="E6" s="9" t="n">
        <v>0.0</v>
      </c>
      <c r="F6" s="9" t="n">
        <v>86.9277547431898</v>
      </c>
      <c r="G6" s="9" t="n">
        <v>73.2386562979627</v>
      </c>
      <c r="H6" s="9" t="n">
        <v>0.0</v>
      </c>
      <c r="I6" s="9">
        <f t="shared" ref="I6:I11" si="0">SUM(B6:H6)</f>
        <v>19423.195016171219</v>
      </c>
      <c r="J6" s="9"/>
      <c r="K6" s="9" t="s">
        <v>2</v>
      </c>
      <c r="L6" s="9" t="n">
        <v>6932.0</v>
      </c>
      <c r="M6" s="9" t="n">
        <v>9048.0</v>
      </c>
      <c r="N6" s="9" t="n">
        <v>3093.0</v>
      </c>
      <c r="O6" s="9" t="n">
        <v>176.0</v>
      </c>
      <c r="P6" s="9" t="n">
        <v>100.0</v>
      </c>
      <c r="Q6" s="9" t="n">
        <v>117.0</v>
      </c>
      <c r="R6" s="9" t="n">
        <v>29.0</v>
      </c>
      <c r="S6" s="9">
        <f t="shared" ref="S6:S11" si="1">SUM(L6:R6)</f>
        <v>20810</v>
      </c>
    </row>
    <row r="7" spans="1:19" x14ac:dyDescent="0.25">
      <c r="A7" t="s">
        <v>3</v>
      </c>
      <c r="B7" s="9" t="n">
        <v>6115.408294316496</v>
      </c>
      <c r="C7" s="9" t="n">
        <v>817.5379891339481</v>
      </c>
      <c r="D7" s="9" t="n">
        <v>985.1200651827855</v>
      </c>
      <c r="E7" s="9" t="n">
        <v>40.7569853132645</v>
      </c>
      <c r="F7" s="9" t="n">
        <v>0.0</v>
      </c>
      <c r="G7" s="9" t="n">
        <v>0.0</v>
      </c>
      <c r="H7" s="9" t="n">
        <v>0.0</v>
      </c>
      <c r="I7" s="9">
        <f t="shared" si="0"/>
        <v>7958.8233339464941</v>
      </c>
      <c r="J7" s="9"/>
      <c r="K7" s="9" t="s">
        <v>3</v>
      </c>
      <c r="L7" s="9" t="n">
        <v>2799.0</v>
      </c>
      <c r="M7" s="9" t="n">
        <v>3621.0</v>
      </c>
      <c r="N7" s="9" t="n">
        <v>1175.0</v>
      </c>
      <c r="O7" s="9" t="n">
        <v>77.0</v>
      </c>
      <c r="P7" s="9" t="n">
        <v>43.0</v>
      </c>
      <c r="Q7" s="9" t="n">
        <v>61.0</v>
      </c>
      <c r="R7" s="9" t="n">
        <v>15.0</v>
      </c>
      <c r="S7" s="9">
        <f t="shared" si="1"/>
        <v>8543</v>
      </c>
    </row>
    <row r="8" spans="1:19" x14ac:dyDescent="0.25">
      <c r="A8" t="s">
        <v>4</v>
      </c>
      <c r="B8" s="9" t="n">
        <v>0.0</v>
      </c>
      <c r="C8" s="9" t="n">
        <v>0.0</v>
      </c>
      <c r="D8" s="9" t="n">
        <v>0.0</v>
      </c>
      <c r="E8" s="9" t="n">
        <v>0.0</v>
      </c>
      <c r="F8" s="9" t="n">
        <v>0.0</v>
      </c>
      <c r="G8" s="9" t="n">
        <v>0.0</v>
      </c>
      <c r="H8" s="9" t="n">
        <v>0.0</v>
      </c>
      <c r="I8" s="9">
        <f t="shared" si="0"/>
        <v>0</v>
      </c>
      <c r="J8" s="9"/>
      <c r="K8" t="s">
        <v>4</v>
      </c>
      <c r="L8" s="9" t="n">
        <v>0.0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>
        <f t="shared" si="1"/>
        <v>0</v>
      </c>
    </row>
    <row r="9" spans="1:19" x14ac:dyDescent="0.25">
      <c r="A9" t="s">
        <v>5</v>
      </c>
      <c r="B9" s="9" t="n">
        <v>36.0897406788146</v>
      </c>
      <c r="C9" s="9" t="n">
        <v>0.0</v>
      </c>
      <c r="D9" s="9" t="n">
        <v>0.0</v>
      </c>
      <c r="E9" s="9" t="n">
        <v>62.3880783888128</v>
      </c>
      <c r="F9" s="9" t="n">
        <v>44.5133036030317</v>
      </c>
      <c r="G9" s="9" t="n">
        <v>0.0</v>
      </c>
      <c r="H9" s="9" t="n">
        <v>0.0</v>
      </c>
      <c r="I9" s="9">
        <f t="shared" si="0"/>
        <v>142.99112267065908</v>
      </c>
      <c r="J9" s="9"/>
      <c r="K9" s="9" t="s">
        <v>5</v>
      </c>
      <c r="L9" s="9" t="n">
        <v>162.0</v>
      </c>
      <c r="M9" s="9" t="n">
        <v>39.0</v>
      </c>
      <c r="N9" s="9" t="n">
        <v>44.0</v>
      </c>
      <c r="O9" s="9" t="n">
        <v>7.0</v>
      </c>
      <c r="P9" s="9" t="n">
        <v>3.0</v>
      </c>
      <c r="Q9" s="9" t="n">
        <v>6.0</v>
      </c>
      <c r="R9" s="9" t="n">
        <v>0.0</v>
      </c>
      <c r="S9" s="9">
        <f t="shared" si="1"/>
        <v>147</v>
      </c>
    </row>
    <row r="10" spans="1:19" x14ac:dyDescent="0.25">
      <c r="A10" t="s">
        <v>6</v>
      </c>
      <c r="B10" s="9" t="n">
        <v>76.5453032292955</v>
      </c>
      <c r="C10" s="9" t="n">
        <v>0.0</v>
      </c>
      <c r="D10" s="9" t="n">
        <v>0.0</v>
      </c>
      <c r="E10" s="9" t="n">
        <v>0.0</v>
      </c>
      <c r="F10" s="9" t="n">
        <v>0.0</v>
      </c>
      <c r="G10" s="9" t="n">
        <v>227.6919638565002</v>
      </c>
      <c r="H10" s="9" t="n">
        <v>0.0</v>
      </c>
      <c r="I10" s="9">
        <f t="shared" si="0"/>
        <v>304.23726708579568</v>
      </c>
      <c r="J10" s="9"/>
      <c r="K10" s="9" t="s">
        <v>6</v>
      </c>
      <c r="L10" s="9" t="n">
        <v>148.0</v>
      </c>
      <c r="M10" s="9" t="n">
        <v>37.0</v>
      </c>
      <c r="N10" s="9" t="n">
        <v>34.0</v>
      </c>
      <c r="O10" s="9" t="n">
        <v>2.0</v>
      </c>
      <c r="P10" s="9" t="n">
        <v>3.0</v>
      </c>
      <c r="Q10" s="9" t="n">
        <v>141.0</v>
      </c>
      <c r="R10" s="9" t="n">
        <v>0.0</v>
      </c>
      <c r="S10" s="9">
        <f t="shared" si="1"/>
        <v>376</v>
      </c>
    </row>
    <row r="11" spans="1:19" x14ac:dyDescent="0.25">
      <c r="A11" s="6" t="s">
        <v>7</v>
      </c>
      <c r="B11" s="14" t="n">
        <v>6994.70881292416</v>
      </c>
      <c r="C11" s="14" t="n">
        <v>2526.401673445271</v>
      </c>
      <c r="D11" s="14" t="n">
        <v>564.9927706318572</v>
      </c>
      <c r="E11" s="14" t="n">
        <v>1487.8663501085798</v>
      </c>
      <c r="F11" s="14" t="n">
        <v>1861.4610706041713</v>
      </c>
      <c r="G11" s="14" t="n">
        <v>222.443348218574</v>
      </c>
      <c r="H11" s="14" t="n">
        <v>66.4470996284488</v>
      </c>
      <c r="I11" s="9">
        <f t="shared" si="0"/>
        <v>13724.321125561062</v>
      </c>
      <c r="J11" s="9"/>
      <c r="K11" s="6" t="s">
        <v>7</v>
      </c>
      <c r="L11" s="12" t="n">
        <v>8135.0</v>
      </c>
      <c r="M11" s="12" t="n">
        <v>2605.0</v>
      </c>
      <c r="N11" s="12" t="n">
        <v>2089.0</v>
      </c>
      <c r="O11" s="12" t="n">
        <v>311.0</v>
      </c>
      <c r="P11" s="12" t="n">
        <v>186.0</v>
      </c>
      <c r="Q11" s="12" t="n">
        <v>159.0</v>
      </c>
      <c r="R11" s="12" t="n">
        <v>613.0</v>
      </c>
      <c r="S11" s="9">
        <f t="shared" si="1"/>
        <v>13060</v>
      </c>
    </row>
    <row r="12" spans="1:19" ht="15.75" thickBot="1" x14ac:dyDescent="0.3">
      <c r="A12" s="15" t="s">
        <v>19</v>
      </c>
      <c r="B12" s="19">
        <f>SUM(B5:B11)</f>
        <v>57703.332735682081</v>
      </c>
      <c r="C12" s="19">
        <f t="shared" ref="C12:I12" si="2">SUM(C5:C11)</f>
        <v>19673.502682508308</v>
      </c>
      <c r="D12" s="19">
        <f t="shared" si="2"/>
        <v>5112.2252538487446</v>
      </c>
      <c r="E12" s="19">
        <f t="shared" si="2"/>
        <v>1591.0114138106571</v>
      </c>
      <c r="F12" s="19">
        <f t="shared" si="2"/>
        <v>1992.9021289503928</v>
      </c>
      <c r="G12" s="19">
        <f t="shared" si="2"/>
        <v>523.37396837303686</v>
      </c>
      <c r="H12" s="19">
        <f t="shared" si="2"/>
        <v>127.1618175277172</v>
      </c>
      <c r="I12" s="19">
        <f t="shared" si="2"/>
        <v>86723.510000700946</v>
      </c>
      <c r="K12" s="13" t="s">
        <v>19</v>
      </c>
      <c r="L12" s="19">
        <f>SUM(L5:L11)</f>
        <v>55015</v>
      </c>
      <c r="M12" s="19">
        <f t="shared" ref="M12:S12" si="3">SUM(M5:M11)</f>
        <v>22826</v>
      </c>
      <c r="N12" s="19">
        <f t="shared" si="3"/>
        <v>8047</v>
      </c>
      <c r="O12" s="19">
        <f t="shared" si="3"/>
        <v>246</v>
      </c>
      <c r="P12" s="19">
        <f t="shared" si="3"/>
        <v>473</v>
      </c>
      <c r="Q12" s="19">
        <f t="shared" si="3"/>
        <v>434</v>
      </c>
      <c r="R12" s="19">
        <f t="shared" si="3"/>
        <v>670</v>
      </c>
      <c r="S12" s="19">
        <f t="shared" si="3"/>
        <v>87711</v>
      </c>
    </row>
    <row r="15" spans="1:19" ht="15.75" thickBot="1" x14ac:dyDescent="0.3">
      <c r="A15" s="1" t="s">
        <v>57</v>
      </c>
      <c r="B15" s="1"/>
      <c r="C15" s="3"/>
      <c r="D15" s="3"/>
      <c r="E15" s="3"/>
      <c r="F15" s="3"/>
      <c r="G15" s="3"/>
      <c r="H15" s="3"/>
      <c r="I15" s="3"/>
      <c r="K15" s="1" t="s">
        <v>58</v>
      </c>
      <c r="L15" s="1"/>
      <c r="M15" s="3"/>
      <c r="N15" s="3"/>
      <c r="O15" s="3"/>
      <c r="P15" s="3"/>
      <c r="Q15" s="3"/>
      <c r="R15" s="3"/>
      <c r="S15" s="3"/>
    </row>
    <row r="16" spans="1:19" x14ac:dyDescent="0.25">
      <c r="A16" s="5"/>
      <c r="B16" s="34" t="s">
        <v>18</v>
      </c>
      <c r="C16" s="34"/>
      <c r="D16" s="34"/>
      <c r="E16" s="34"/>
      <c r="F16" s="34"/>
      <c r="G16" s="34"/>
      <c r="H16" s="34"/>
      <c r="I16" s="11"/>
      <c r="K16" s="5"/>
      <c r="L16" s="35" t="s">
        <v>18</v>
      </c>
      <c r="M16" s="35"/>
      <c r="N16" s="35"/>
      <c r="O16" s="35"/>
      <c r="P16" s="35"/>
      <c r="Q16" s="35"/>
      <c r="R16" s="35"/>
      <c r="S16" s="35"/>
    </row>
    <row r="17" spans="1:19" x14ac:dyDescent="0.25">
      <c r="A17" s="6" t="s">
        <v>0</v>
      </c>
      <c r="B17" s="7" t="s">
        <v>1</v>
      </c>
      <c r="C17" s="7" t="s">
        <v>2</v>
      </c>
      <c r="D17" s="7" t="s">
        <v>3</v>
      </c>
      <c r="E17" s="7" t="s">
        <v>4</v>
      </c>
      <c r="F17" s="7" t="s">
        <v>5</v>
      </c>
      <c r="G17" s="7" t="s">
        <v>6</v>
      </c>
      <c r="H17" s="7" t="s">
        <v>7</v>
      </c>
      <c r="I17" s="7" t="s">
        <v>19</v>
      </c>
      <c r="K17" s="6" t="s">
        <v>0</v>
      </c>
      <c r="L17" s="7" t="s">
        <v>1</v>
      </c>
      <c r="M17" s="7" t="s">
        <v>2</v>
      </c>
      <c r="N17" s="7" t="s">
        <v>3</v>
      </c>
      <c r="O17" s="7" t="s">
        <v>4</v>
      </c>
      <c r="P17" s="7" t="s">
        <v>5</v>
      </c>
      <c r="Q17" s="7" t="s">
        <v>6</v>
      </c>
      <c r="R17" s="7" t="s">
        <v>7</v>
      </c>
      <c r="S17" s="7" t="s">
        <v>19</v>
      </c>
    </row>
    <row r="18" spans="1:19" x14ac:dyDescent="0.25">
      <c r="A18" t="s">
        <v>1</v>
      </c>
      <c r="B18" s="16">
        <f>B5/$I$12</f>
        <v>0.40055370308648347</v>
      </c>
      <c r="C18" s="16">
        <f t="shared" ref="C18:I18" si="4">C5/$I$12</f>
        <v>9.1162287242963436E-2</v>
      </c>
      <c r="D18" s="16">
        <f t="shared" si="4"/>
        <v>2.8433936916369629E-2</v>
      </c>
      <c r="E18" s="16">
        <f t="shared" si="4"/>
        <v>0</v>
      </c>
      <c r="F18" s="16">
        <f t="shared" si="4"/>
        <v>0</v>
      </c>
      <c r="G18" s="16">
        <f t="shared" si="4"/>
        <v>0</v>
      </c>
      <c r="H18" s="16">
        <f t="shared" si="4"/>
        <v>7.0009525558614575E-4</v>
      </c>
      <c r="I18" s="16">
        <f t="shared" si="4"/>
        <v>0.52085002250140267</v>
      </c>
      <c r="J18" s="9"/>
      <c r="K18" s="9" t="s">
        <v>1</v>
      </c>
      <c r="L18" s="16">
        <f t="shared" ref="L18:S25" si="5">L5/$S$12</f>
        <v>0.42897698122242361</v>
      </c>
      <c r="M18" s="16">
        <f t="shared" si="5"/>
        <v>6.9090535964702257E-2</v>
      </c>
      <c r="N18" s="16">
        <f t="shared" si="5"/>
        <v>1.1515089327450377E-2</v>
      </c>
      <c r="O18" s="16">
        <f t="shared" si="5"/>
        <v>2.3942264938263158E-4</v>
      </c>
      <c r="P18" s="16">
        <f t="shared" si="5"/>
        <v>3.3063127771887222E-4</v>
      </c>
      <c r="Q18" s="16">
        <f t="shared" si="5"/>
        <v>2.3942264938263158E-4</v>
      </c>
      <c r="R18" s="16">
        <f t="shared" si="5"/>
        <v>9.1208628336240607E-5</v>
      </c>
      <c r="S18" s="16">
        <f t="shared" si="5"/>
        <v>0.51048329171939666</v>
      </c>
    </row>
    <row r="19" spans="1:19" x14ac:dyDescent="0.25">
      <c r="A19" t="s">
        <v>2</v>
      </c>
      <c r="B19" s="16">
        <f t="shared" ref="B19:I19" si="6">B6/$I$12</f>
        <v>0.11234736127511581</v>
      </c>
      <c r="C19" s="16">
        <f t="shared" si="6"/>
        <v>9.7132248111949052E-2</v>
      </c>
      <c r="D19" s="16">
        <f t="shared" si="6"/>
        <v>1.2640420175557471E-2</v>
      </c>
      <c r="E19" s="16">
        <f t="shared" si="6"/>
        <v>0</v>
      </c>
      <c r="F19" s="16">
        <f t="shared" si="6"/>
        <v>1.0023551254150945E-3</v>
      </c>
      <c r="G19" s="16">
        <f t="shared" si="6"/>
        <v>8.445075193263136E-4</v>
      </c>
      <c r="H19" s="16">
        <f t="shared" si="6"/>
        <v>0</v>
      </c>
      <c r="I19" s="16">
        <f t="shared" si="6"/>
        <v>0.22396689220736374</v>
      </c>
      <c r="J19" s="9"/>
      <c r="K19" s="9" t="s">
        <v>2</v>
      </c>
      <c r="L19" s="16">
        <f t="shared" si="5"/>
        <v>8.0434609114022185E-2</v>
      </c>
      <c r="M19" s="16">
        <f t="shared" si="5"/>
        <v>0.11385117032071233</v>
      </c>
      <c r="N19" s="16">
        <f t="shared" si="5"/>
        <v>3.8319024979763083E-2</v>
      </c>
      <c r="O19" s="16">
        <f t="shared" si="5"/>
        <v>1.0260970687827069E-3</v>
      </c>
      <c r="P19" s="16">
        <f t="shared" si="5"/>
        <v>1.8013704096407519E-3</v>
      </c>
      <c r="Q19" s="16">
        <f t="shared" si="5"/>
        <v>1.4023326606696993E-3</v>
      </c>
      <c r="R19" s="16">
        <f t="shared" si="5"/>
        <v>4.218399060551128E-4</v>
      </c>
      <c r="S19" s="16">
        <f t="shared" si="5"/>
        <v>0.23725644445964589</v>
      </c>
    </row>
    <row r="20" spans="1:19" x14ac:dyDescent="0.25">
      <c r="A20" t="s">
        <v>3</v>
      </c>
      <c r="B20" s="16">
        <f t="shared" ref="B20:I20" si="7">B7/$I$12</f>
        <v>7.0516152935542711E-2</v>
      </c>
      <c r="C20" s="16">
        <f t="shared" si="7"/>
        <v>9.4269476538408146E-3</v>
      </c>
      <c r="D20" s="16">
        <f t="shared" si="7"/>
        <v>1.1359319579832773E-2</v>
      </c>
      <c r="E20" s="16">
        <f t="shared" si="7"/>
        <v>4.6996466486348492E-4</v>
      </c>
      <c r="F20" s="16">
        <f t="shared" si="7"/>
        <v>0</v>
      </c>
      <c r="G20" s="16">
        <f t="shared" si="7"/>
        <v>0</v>
      </c>
      <c r="H20" s="16">
        <f t="shared" si="7"/>
        <v>0</v>
      </c>
      <c r="I20" s="16">
        <f t="shared" si="7"/>
        <v>9.177238483407979E-2</v>
      </c>
      <c r="J20" s="9"/>
      <c r="K20" s="9" t="s">
        <v>3</v>
      </c>
      <c r="L20" s="16">
        <f t="shared" si="5"/>
        <v>3.2926314829382859E-2</v>
      </c>
      <c r="M20" s="16">
        <f t="shared" si="5"/>
        <v>4.7006646828790001E-2</v>
      </c>
      <c r="N20" s="16">
        <f t="shared" si="5"/>
        <v>1.5722087309459475E-2</v>
      </c>
      <c r="O20" s="16">
        <f t="shared" si="5"/>
        <v>3.0782912063481206E-4</v>
      </c>
      <c r="P20" s="16">
        <f t="shared" si="5"/>
        <v>8.2087765502616549E-4</v>
      </c>
      <c r="Q20" s="16">
        <f t="shared" si="5"/>
        <v>4.6744422022323311E-4</v>
      </c>
      <c r="R20" s="16">
        <f t="shared" si="5"/>
        <v>1.4821402104639098E-4</v>
      </c>
      <c r="S20" s="16">
        <f t="shared" si="5"/>
        <v>9.7399413984562935E-2</v>
      </c>
    </row>
    <row r="21" spans="1:19" x14ac:dyDescent="0.25">
      <c r="A21" t="s">
        <v>4</v>
      </c>
      <c r="B21" s="16">
        <f t="shared" ref="B21:I21" si="8">B8/$I$12</f>
        <v>0</v>
      </c>
      <c r="C21" s="16">
        <f t="shared" si="8"/>
        <v>0</v>
      </c>
      <c r="D21" s="16">
        <f t="shared" si="8"/>
        <v>0</v>
      </c>
      <c r="E21" s="16">
        <f t="shared" si="8"/>
        <v>0</v>
      </c>
      <c r="F21" s="16">
        <f t="shared" si="8"/>
        <v>0</v>
      </c>
      <c r="G21" s="16">
        <f t="shared" si="8"/>
        <v>0</v>
      </c>
      <c r="H21" s="16">
        <f t="shared" si="8"/>
        <v>0</v>
      </c>
      <c r="I21" s="16">
        <f t="shared" si="8"/>
        <v>0</v>
      </c>
      <c r="J21" s="9"/>
      <c r="K21" t="s">
        <v>4</v>
      </c>
      <c r="L21" s="16">
        <f t="shared" si="5"/>
        <v>0</v>
      </c>
      <c r="M21" s="16">
        <f t="shared" si="5"/>
        <v>0</v>
      </c>
      <c r="N21" s="16">
        <f t="shared" si="5"/>
        <v>0</v>
      </c>
      <c r="O21" s="16">
        <f t="shared" si="5"/>
        <v>0</v>
      </c>
      <c r="P21" s="16">
        <f t="shared" si="5"/>
        <v>0</v>
      </c>
      <c r="Q21" s="16">
        <f t="shared" si="5"/>
        <v>0</v>
      </c>
      <c r="R21" s="16">
        <f t="shared" si="5"/>
        <v>0</v>
      </c>
      <c r="S21" s="16">
        <f t="shared" si="5"/>
        <v>0</v>
      </c>
    </row>
    <row r="22" spans="1:19" x14ac:dyDescent="0.25">
      <c r="A22" t="s">
        <v>5</v>
      </c>
      <c r="B22" s="16">
        <f t="shared" ref="B22:I22" si="9">B9/$I$12</f>
        <v>4.1614714024516424E-4</v>
      </c>
      <c r="C22" s="16">
        <f t="shared" si="9"/>
        <v>0</v>
      </c>
      <c r="D22" s="16">
        <f t="shared" si="9"/>
        <v>0</v>
      </c>
      <c r="E22" s="16">
        <f t="shared" si="9"/>
        <v>7.1939060571128341E-4</v>
      </c>
      <c r="F22" s="16">
        <f t="shared" si="9"/>
        <v>5.1327839016976969E-4</v>
      </c>
      <c r="G22" s="16">
        <f t="shared" si="9"/>
        <v>0</v>
      </c>
      <c r="H22" s="16">
        <f t="shared" si="9"/>
        <v>0</v>
      </c>
      <c r="I22" s="16">
        <f t="shared" si="9"/>
        <v>1.6488161361262171E-3</v>
      </c>
      <c r="J22" s="9"/>
      <c r="K22" s="9" t="s">
        <v>5</v>
      </c>
      <c r="L22" s="16">
        <f t="shared" si="5"/>
        <v>9.2348736190443618E-4</v>
      </c>
      <c r="M22" s="16">
        <f t="shared" si="5"/>
        <v>3.8763667042902259E-4</v>
      </c>
      <c r="N22" s="16">
        <f t="shared" si="5"/>
        <v>2.3942264938263158E-4</v>
      </c>
      <c r="O22" s="16">
        <f t="shared" si="5"/>
        <v>3.4203235626090231E-5</v>
      </c>
      <c r="P22" s="16">
        <f t="shared" si="5"/>
        <v>5.7005392710150383E-5</v>
      </c>
      <c r="Q22" s="16">
        <f t="shared" si="5"/>
        <v>2.2802157084060152E-5</v>
      </c>
      <c r="R22" s="16">
        <f t="shared" si="5"/>
        <v>1.1401078542030076E-5</v>
      </c>
      <c r="S22" s="16">
        <f t="shared" si="5"/>
        <v>1.6759585456784212E-3</v>
      </c>
    </row>
    <row r="23" spans="1:19" x14ac:dyDescent="0.25">
      <c r="A23" t="s">
        <v>6</v>
      </c>
      <c r="B23" s="16">
        <f t="shared" ref="B23:I23" si="10">B10/$I$12</f>
        <v>8.8263612979544784E-4</v>
      </c>
      <c r="C23" s="16">
        <f t="shared" si="10"/>
        <v>0</v>
      </c>
      <c r="D23" s="16">
        <f t="shared" si="10"/>
        <v>0</v>
      </c>
      <c r="E23" s="16">
        <f t="shared" si="10"/>
        <v>0</v>
      </c>
      <c r="F23" s="16">
        <f t="shared" si="10"/>
        <v>0</v>
      </c>
      <c r="G23" s="16">
        <f t="shared" si="10"/>
        <v>2.6254929471219495E-3</v>
      </c>
      <c r="H23" s="16">
        <f t="shared" si="10"/>
        <v>0</v>
      </c>
      <c r="I23" s="16">
        <f t="shared" si="10"/>
        <v>3.5081290769173974E-3</v>
      </c>
      <c r="J23" s="9"/>
      <c r="K23" s="9" t="s">
        <v>6</v>
      </c>
      <c r="L23" s="16">
        <f t="shared" si="5"/>
        <v>1.4365358962957896E-3</v>
      </c>
      <c r="M23" s="16">
        <f t="shared" si="5"/>
        <v>5.9285608418556391E-4</v>
      </c>
      <c r="N23" s="16">
        <f t="shared" si="5"/>
        <v>5.8145500564353385E-4</v>
      </c>
      <c r="O23" s="16">
        <f t="shared" si="5"/>
        <v>2.2802157084060152E-5</v>
      </c>
      <c r="P23" s="16">
        <f t="shared" si="5"/>
        <v>1.1401078542030076E-5</v>
      </c>
      <c r="Q23" s="16">
        <f t="shared" si="5"/>
        <v>1.641755310052331E-3</v>
      </c>
      <c r="R23" s="16">
        <f t="shared" si="5"/>
        <v>0</v>
      </c>
      <c r="S23" s="16">
        <f t="shared" si="5"/>
        <v>4.2868055318033083E-3</v>
      </c>
    </row>
    <row r="24" spans="1:19" x14ac:dyDescent="0.25">
      <c r="A24" s="6" t="s">
        <v>7</v>
      </c>
      <c r="B24" s="17">
        <f t="shared" ref="B24:I24" si="11">B11/$I$12</f>
        <v>8.0655278053985882E-2</v>
      </c>
      <c r="C24" s="17">
        <f t="shared" si="11"/>
        <v>2.9131681517789713E-2</v>
      </c>
      <c r="D24" s="17">
        <f t="shared" si="11"/>
        <v>6.5148743475361018E-3</v>
      </c>
      <c r="E24" s="17">
        <f t="shared" si="11"/>
        <v>1.7156436012524794E-2</v>
      </c>
      <c r="F24" s="17">
        <f t="shared" si="11"/>
        <v>2.146431885182145E-2</v>
      </c>
      <c r="G24" s="17">
        <f t="shared" si="11"/>
        <v>2.5649716924139266E-3</v>
      </c>
      <c r="H24" s="17">
        <f t="shared" si="11"/>
        <v>7.6619476803823706E-4</v>
      </c>
      <c r="I24" s="16">
        <f t="shared" si="11"/>
        <v>0.15825375524411009</v>
      </c>
      <c r="J24" s="9"/>
      <c r="K24" s="6" t="s">
        <v>7</v>
      </c>
      <c r="L24" s="20">
        <f t="shared" si="5"/>
        <v>8.2532407565755722E-2</v>
      </c>
      <c r="M24" s="20">
        <f t="shared" si="5"/>
        <v>2.9312172931559327E-2</v>
      </c>
      <c r="N24" s="20">
        <f t="shared" si="5"/>
        <v>2.5367399756016918E-2</v>
      </c>
      <c r="O24" s="20">
        <f t="shared" si="5"/>
        <v>1.1743110898290979E-3</v>
      </c>
      <c r="P24" s="20">
        <f t="shared" si="5"/>
        <v>2.3714243367422556E-3</v>
      </c>
      <c r="Q24" s="20">
        <f t="shared" si="5"/>
        <v>1.1743110898290979E-3</v>
      </c>
      <c r="R24" s="20">
        <f t="shared" si="5"/>
        <v>6.9660589891803763E-3</v>
      </c>
      <c r="S24" s="16">
        <f t="shared" si="5"/>
        <v>0.14889808575891278</v>
      </c>
    </row>
    <row r="25" spans="1:19" ht="15.75" thickBot="1" x14ac:dyDescent="0.3">
      <c r="A25" s="15" t="s">
        <v>19</v>
      </c>
      <c r="B25" s="18">
        <f t="shared" ref="B25:I25" si="12">B12/$I$12</f>
        <v>0.66537127862116852</v>
      </c>
      <c r="C25" s="18">
        <f t="shared" si="12"/>
        <v>0.226853164526543</v>
      </c>
      <c r="D25" s="18">
        <f t="shared" si="12"/>
        <v>5.8948551019295976E-2</v>
      </c>
      <c r="E25" s="18">
        <f t="shared" si="12"/>
        <v>1.8345791283099561E-2</v>
      </c>
      <c r="F25" s="18">
        <f t="shared" si="12"/>
        <v>2.2979952367406315E-2</v>
      </c>
      <c r="G25" s="18">
        <f t="shared" si="12"/>
        <v>6.0349721588621895E-3</v>
      </c>
      <c r="H25" s="18">
        <f t="shared" si="12"/>
        <v>1.4662900236243829E-3</v>
      </c>
      <c r="I25" s="18">
        <f t="shared" si="12"/>
        <v>1</v>
      </c>
      <c r="K25" s="13" t="s">
        <v>19</v>
      </c>
      <c r="L25" s="18">
        <f t="shared" si="5"/>
        <v>0.62723033598978462</v>
      </c>
      <c r="M25" s="18">
        <f t="shared" si="5"/>
        <v>0.26024101880037853</v>
      </c>
      <c r="N25" s="18">
        <f t="shared" si="5"/>
        <v>9.1744479027716028E-2</v>
      </c>
      <c r="O25" s="18">
        <f t="shared" si="5"/>
        <v>2.8046653213393987E-3</v>
      </c>
      <c r="P25" s="18">
        <f t="shared" si="5"/>
        <v>5.3927101503802258E-3</v>
      </c>
      <c r="Q25" s="18">
        <f t="shared" si="5"/>
        <v>4.9480680872410528E-3</v>
      </c>
      <c r="R25" s="18">
        <f t="shared" si="5"/>
        <v>7.6387226231601508E-3</v>
      </c>
      <c r="S25" s="18">
        <f t="shared" si="5"/>
        <v>1</v>
      </c>
    </row>
    <row r="28" spans="1:19" ht="15.75" thickBot="1" x14ac:dyDescent="0.3">
      <c r="K28" s="1" t="s">
        <v>21</v>
      </c>
      <c r="L28" s="1"/>
      <c r="M28" s="3"/>
      <c r="N28" s="3"/>
      <c r="O28" s="3"/>
      <c r="P28" s="3"/>
      <c r="Q28" s="3"/>
      <c r="R28" s="3"/>
      <c r="S28" s="3"/>
    </row>
    <row r="29" spans="1:19" x14ac:dyDescent="0.25">
      <c r="K29" s="5"/>
      <c r="L29" s="35" t="s">
        <v>18</v>
      </c>
      <c r="M29" s="35"/>
      <c r="N29" s="35"/>
      <c r="O29" s="35"/>
      <c r="P29" s="35"/>
      <c r="Q29" s="35"/>
      <c r="R29" s="35"/>
      <c r="S29" s="35"/>
    </row>
    <row r="30" spans="1:19" x14ac:dyDescent="0.25">
      <c r="K30" s="6" t="s">
        <v>0</v>
      </c>
      <c r="L30" s="7" t="s">
        <v>1</v>
      </c>
      <c r="M30" s="7" t="s">
        <v>2</v>
      </c>
      <c r="N30" s="7" t="s">
        <v>3</v>
      </c>
      <c r="O30" s="7" t="s">
        <v>4</v>
      </c>
      <c r="P30" s="7" t="s">
        <v>5</v>
      </c>
      <c r="Q30" s="7" t="s">
        <v>6</v>
      </c>
      <c r="R30" s="7" t="s">
        <v>7</v>
      </c>
      <c r="S30" s="7" t="s">
        <v>19</v>
      </c>
    </row>
    <row r="31" spans="1:19" x14ac:dyDescent="0.25">
      <c r="K31" s="9" t="s">
        <v>1</v>
      </c>
      <c r="L31" s="16">
        <f t="shared" ref="L31:S33" si="13">L18-B18</f>
        <v>2.8423278135940144E-2</v>
      </c>
      <c r="M31" s="16">
        <f t="shared" si="13"/>
        <v>-2.2071751278261179E-2</v>
      </c>
      <c r="N31" s="16">
        <f t="shared" si="13"/>
        <v>-1.6918847588919254E-2</v>
      </c>
      <c r="O31" s="16">
        <f t="shared" si="13"/>
        <v>2.3942264938263158E-4</v>
      </c>
      <c r="P31" s="16">
        <f t="shared" si="13"/>
        <v>3.3063127771887222E-4</v>
      </c>
      <c r="Q31" s="16">
        <f t="shared" si="13"/>
        <v>2.3942264938263158E-4</v>
      </c>
      <c r="R31" s="16">
        <f t="shared" si="13"/>
        <v>-6.0888662724990512E-4</v>
      </c>
      <c r="S31" s="16">
        <f t="shared" si="13"/>
        <v>-1.0366730782006006E-2</v>
      </c>
    </row>
    <row r="32" spans="1:19" x14ac:dyDescent="0.25">
      <c r="K32" s="9" t="s">
        <v>2</v>
      </c>
      <c r="L32" s="16">
        <f t="shared" si="13"/>
        <v>-3.1912752161093627E-2</v>
      </c>
      <c r="M32" s="16">
        <f t="shared" si="13"/>
        <v>1.6718922208763282E-2</v>
      </c>
      <c r="N32" s="16">
        <f t="shared" si="13"/>
        <v>2.5678604804205613E-2</v>
      </c>
      <c r="O32" s="16">
        <f t="shared" si="13"/>
        <v>1.0260970687827069E-3</v>
      </c>
      <c r="P32" s="16">
        <f t="shared" si="13"/>
        <v>7.9901528422565747E-4</v>
      </c>
      <c r="Q32" s="16">
        <f t="shared" si="13"/>
        <v>5.5782514134338575E-4</v>
      </c>
      <c r="R32" s="16">
        <f t="shared" si="13"/>
        <v>4.218399060551128E-4</v>
      </c>
      <c r="S32" s="16">
        <f t="shared" si="13"/>
        <v>1.328955225228215E-2</v>
      </c>
    </row>
    <row r="33" spans="11:19" x14ac:dyDescent="0.25">
      <c r="K33" s="9" t="s">
        <v>3</v>
      </c>
      <c r="L33" s="16">
        <f t="shared" si="13"/>
        <v>-3.7589838106159852E-2</v>
      </c>
      <c r="M33" s="16">
        <f t="shared" si="13"/>
        <v>3.7579699174949188E-2</v>
      </c>
      <c r="N33" s="16">
        <f t="shared" si="13"/>
        <v>4.3627677296267011E-3</v>
      </c>
      <c r="O33" s="16">
        <f t="shared" si="13"/>
        <v>-1.6213554422867286E-4</v>
      </c>
      <c r="P33" s="16">
        <f t="shared" si="13"/>
        <v>8.2087765502616549E-4</v>
      </c>
      <c r="Q33" s="16">
        <f t="shared" si="13"/>
        <v>4.6744422022323311E-4</v>
      </c>
      <c r="R33" s="16">
        <f t="shared" si="13"/>
        <v>1.4821402104639098E-4</v>
      </c>
      <c r="S33" s="16">
        <f t="shared" si="13"/>
        <v>5.6270291504831454E-3</v>
      </c>
    </row>
    <row r="34" spans="11:19" x14ac:dyDescent="0.25">
      <c r="K34" t="s">
        <v>4</v>
      </c>
      <c r="L34" s="16">
        <f>L21-B21</f>
        <v>0</v>
      </c>
      <c r="M34" s="16">
        <f t="shared" ref="M34:S34" si="14">M21-C21</f>
        <v>0</v>
      </c>
      <c r="N34" s="16">
        <f t="shared" si="14"/>
        <v>0</v>
      </c>
      <c r="O34" s="16">
        <f t="shared" si="14"/>
        <v>0</v>
      </c>
      <c r="P34" s="16">
        <f t="shared" si="14"/>
        <v>0</v>
      </c>
      <c r="Q34" s="16">
        <f t="shared" si="14"/>
        <v>0</v>
      </c>
      <c r="R34" s="16">
        <f t="shared" si="14"/>
        <v>0</v>
      </c>
      <c r="S34" s="16">
        <f t="shared" si="14"/>
        <v>0</v>
      </c>
    </row>
    <row r="35" spans="11:19" x14ac:dyDescent="0.25">
      <c r="K35" s="9" t="s">
        <v>5</v>
      </c>
      <c r="L35" s="16">
        <f>L22-B22</f>
        <v>5.0734022165927189E-4</v>
      </c>
      <c r="M35" s="16">
        <f t="shared" ref="M35:S38" si="15">M22-C22</f>
        <v>3.8763667042902259E-4</v>
      </c>
      <c r="N35" s="16">
        <f t="shared" si="15"/>
        <v>2.3942264938263158E-4</v>
      </c>
      <c r="O35" s="16">
        <f t="shared" si="15"/>
        <v>-6.8518737008519315E-4</v>
      </c>
      <c r="P35" s="16">
        <f t="shared" si="15"/>
        <v>-4.5627299745961932E-4</v>
      </c>
      <c r="Q35" s="16">
        <f t="shared" si="15"/>
        <v>2.2802157084060152E-5</v>
      </c>
      <c r="R35" s="16">
        <f t="shared" si="15"/>
        <v>1.1401078542030076E-5</v>
      </c>
      <c r="S35" s="16">
        <f t="shared" si="15"/>
        <v>2.7142409552204181E-5</v>
      </c>
    </row>
    <row r="36" spans="11:19" x14ac:dyDescent="0.25">
      <c r="K36" s="9" t="s">
        <v>6</v>
      </c>
      <c r="L36" s="16">
        <f>L23-B23</f>
        <v>5.5389976650034177E-4</v>
      </c>
      <c r="M36" s="16">
        <f t="shared" si="15"/>
        <v>5.9285608418556391E-4</v>
      </c>
      <c r="N36" s="16">
        <f t="shared" si="15"/>
        <v>5.8145500564353385E-4</v>
      </c>
      <c r="O36" s="16">
        <f t="shared" si="15"/>
        <v>2.2802157084060152E-5</v>
      </c>
      <c r="P36" s="16">
        <f t="shared" si="15"/>
        <v>1.1401078542030076E-5</v>
      </c>
      <c r="Q36" s="16">
        <f t="shared" si="15"/>
        <v>-9.8373763706961857E-4</v>
      </c>
      <c r="R36" s="16">
        <f t="shared" si="15"/>
        <v>0</v>
      </c>
      <c r="S36" s="16">
        <f t="shared" si="15"/>
        <v>7.786764548859109E-4</v>
      </c>
    </row>
    <row r="37" spans="11:19" x14ac:dyDescent="0.25">
      <c r="K37" s="6" t="s">
        <v>7</v>
      </c>
      <c r="L37" s="20">
        <f>L24-B24</f>
        <v>1.87712951176984E-3</v>
      </c>
      <c r="M37" s="20">
        <f t="shared" si="15"/>
        <v>1.804914137696137E-4</v>
      </c>
      <c r="N37" s="20">
        <f t="shared" si="15"/>
        <v>1.8852525408480817E-2</v>
      </c>
      <c r="O37" s="20">
        <f t="shared" si="15"/>
        <v>-1.5982124922695698E-2</v>
      </c>
      <c r="P37" s="20">
        <f t="shared" si="15"/>
        <v>-1.9092894515079194E-2</v>
      </c>
      <c r="Q37" s="20">
        <f t="shared" si="15"/>
        <v>-1.3906606025848288E-3</v>
      </c>
      <c r="R37" s="20">
        <f t="shared" si="15"/>
        <v>6.1998642211421396E-3</v>
      </c>
      <c r="S37" s="16">
        <f t="shared" si="15"/>
        <v>-9.3556694851973099E-3</v>
      </c>
    </row>
    <row r="38" spans="11:19" ht="15.75" thickBot="1" x14ac:dyDescent="0.3">
      <c r="K38" s="13" t="s">
        <v>19</v>
      </c>
      <c r="L38" s="18">
        <f>L25-B25</f>
        <v>-3.8140942631383901E-2</v>
      </c>
      <c r="M38" s="18">
        <f t="shared" si="15"/>
        <v>3.3387854273835532E-2</v>
      </c>
      <c r="N38" s="18">
        <f t="shared" si="15"/>
        <v>3.2795928008420051E-2</v>
      </c>
      <c r="O38" s="18">
        <f t="shared" si="15"/>
        <v>-1.5541125961760162E-2</v>
      </c>
      <c r="P38" s="18">
        <f t="shared" si="15"/>
        <v>-1.7587242217026088E-2</v>
      </c>
      <c r="Q38" s="18">
        <f t="shared" si="15"/>
        <v>-1.0869040716211366E-3</v>
      </c>
      <c r="R38" s="18">
        <f t="shared" si="15"/>
        <v>6.1724325995357677E-3</v>
      </c>
      <c r="S38" s="18">
        <f t="shared" si="15"/>
        <v>0</v>
      </c>
    </row>
  </sheetData>
  <mergeCells count="5">
    <mergeCell ref="B3:H3"/>
    <mergeCell ref="L3:S3"/>
    <mergeCell ref="B16:H16"/>
    <mergeCell ref="L16:S16"/>
    <mergeCell ref="L29:S2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B3"/>
  <sheetViews>
    <sheetView workbookViewId="0"/>
  </sheetViews>
  <sheetFormatPr defaultRowHeight="15" x14ac:dyDescent="0.25"/>
  <sheetData>
    <row r="2" spans="2:2" x14ac:dyDescent="0.25">
      <c r="B2" t="s">
        <v>42</v>
      </c>
    </row>
    <row r="3" spans="2:2" x14ac:dyDescent="0.25">
      <c r="B3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AllPurposes</vt:lpstr>
      <vt:lpstr>Work</vt:lpstr>
      <vt:lpstr>School</vt:lpstr>
      <vt:lpstr>Escort</vt:lpstr>
      <vt:lpstr>Personal_Business</vt:lpstr>
      <vt:lpstr>Shop</vt:lpstr>
      <vt:lpstr>Meal</vt:lpstr>
      <vt:lpstr>SocRec</vt:lpstr>
      <vt:lpstr>Workbased</vt:lpstr>
      <vt:lpstr>Documentation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purp1</vt:lpstr>
      <vt:lpstr>purp2</vt:lpstr>
      <vt:lpstr>purp3</vt:lpstr>
      <vt:lpstr>purp4</vt:lpstr>
      <vt:lpstr>purp5</vt:lpstr>
      <vt:lpstr>purp6</vt:lpstr>
      <vt:lpstr>purp7</vt:lpstr>
      <vt:lpstr>wb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2011-03-29T15:31:17Z</dcterms:created>
  <dc:creator>Bhargava Sana</dc:creator>
  <cp:lastModifiedBy>Nagendra Dhakar</cp:lastModifiedBy>
  <dcterms:modified xsi:type="dcterms:W3CDTF">2015-06-19T16:34:04Z</dcterms:modified>
</cp:coreProperties>
</file>