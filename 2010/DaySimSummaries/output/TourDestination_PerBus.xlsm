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County_Flow!$M$7:$P$14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r="H15" i="1" l="1"/>
  <c r="J13" i="1"/>
  <c r="S15" i="1" l="1"/>
  <c r="U13" i="1"/>
  <c r="S28" i="1" l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H26" i="1"/>
  <c r="C26" i="1"/>
  <c r="D26" i="1"/>
  <c r="E26" i="1"/>
  <c r="F26" i="1"/>
  <c r="G26" i="1"/>
  <c r="B26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5" i="1" l="1"/>
  <c r="H23" i="1"/>
  <c r="H24" i="1"/>
  <c r="O21" i="1"/>
  <c r="P21" i="1"/>
  <c r="Q21" i="1"/>
  <c r="R21" i="1"/>
  <c r="O22" i="1"/>
  <c r="P22" i="1"/>
  <c r="Q22" i="1"/>
  <c r="R22" i="1"/>
  <c r="O23" i="1"/>
  <c r="P23" i="1"/>
  <c r="Q23" i="1"/>
  <c r="R23" i="1"/>
  <c r="O24" i="1"/>
  <c r="P24" i="1"/>
  <c r="Q24" i="1"/>
  <c r="R24" i="1"/>
  <c r="O25" i="1"/>
  <c r="P25" i="1"/>
  <c r="Q25" i="1"/>
  <c r="R25" i="1"/>
  <c r="Q20" i="1"/>
  <c r="R20" i="1"/>
  <c r="E23" i="1"/>
  <c r="F23" i="1"/>
  <c r="G23" i="1"/>
  <c r="E24" i="1"/>
  <c r="F24" i="1"/>
  <c r="G24" i="1"/>
  <c r="E25" i="1"/>
  <c r="F25" i="1"/>
  <c r="G25" i="1"/>
  <c r="U23" i="1" l="1"/>
  <c r="U24" i="1"/>
  <c r="U25" i="1"/>
  <c r="M23" i="1"/>
  <c r="N23" i="1"/>
  <c r="M24" i="1"/>
  <c r="N24" i="1"/>
  <c r="M25" i="1"/>
  <c r="N25" i="1"/>
  <c r="B23" i="1"/>
  <c r="C23" i="1"/>
  <c r="D23" i="1"/>
  <c r="B24" i="1"/>
  <c r="C24" i="1"/>
  <c r="D24" i="1"/>
  <c r="B25" i="1"/>
  <c r="C25" i="1"/>
  <c r="D25" i="1"/>
  <c r="U7" i="1"/>
  <c r="M15" i="1"/>
  <c r="C15" i="1"/>
  <c r="D15" i="1"/>
  <c r="E15" i="1"/>
  <c r="I15" i="1"/>
  <c r="B15" i="1"/>
  <c r="J8" i="1"/>
  <c r="J9" i="1"/>
  <c r="J14" i="1"/>
  <c r="J7" i="1"/>
  <c r="J23" i="1" l="1"/>
  <c r="J24" i="1"/>
  <c r="H20" i="1"/>
  <c r="J25" i="1"/>
  <c r="F20" i="1"/>
  <c r="G20" i="1"/>
  <c r="J15" i="1"/>
  <c r="N15" i="1"/>
  <c r="N28" i="1" s="1"/>
  <c r="O15" i="1"/>
  <c r="O28" i="1" s="1"/>
  <c r="P15" i="1"/>
  <c r="T15" i="1"/>
  <c r="M28" i="1"/>
  <c r="U8" i="1"/>
  <c r="H21" i="1" s="1"/>
  <c r="U9" i="1"/>
  <c r="H22" i="1" s="1"/>
  <c r="U14" i="1"/>
  <c r="D20" i="1"/>
  <c r="P28" i="1"/>
  <c r="N22" i="1"/>
  <c r="M22" i="1"/>
  <c r="N21" i="1"/>
  <c r="M21" i="1"/>
  <c r="P20" i="1"/>
  <c r="O20" i="1"/>
  <c r="N20" i="1"/>
  <c r="M20" i="1"/>
  <c r="I28" i="1"/>
  <c r="J27" i="1"/>
  <c r="F102" i="4"/>
  <c r="G101" i="4" s="1"/>
  <c r="B102" i="4"/>
  <c r="C102" i="4" s="1"/>
  <c r="F102" i="3"/>
  <c r="G101" i="3" s="1"/>
  <c r="B102" i="3"/>
  <c r="C13" i="3" s="1"/>
  <c r="H28" i="1" l="1"/>
  <c r="U22" i="1"/>
  <c r="F22" i="1"/>
  <c r="G22" i="1"/>
  <c r="E22" i="1"/>
  <c r="C21" i="1"/>
  <c r="E21" i="1"/>
  <c r="F21" i="1"/>
  <c r="F28" i="1" s="1"/>
  <c r="G21" i="1"/>
  <c r="G28" i="1" s="1"/>
  <c r="C11" i="4"/>
  <c r="C25" i="4"/>
  <c r="C49" i="4"/>
  <c r="C81" i="4"/>
  <c r="C41" i="4"/>
  <c r="C17" i="4"/>
  <c r="C97" i="4"/>
  <c r="C19" i="4"/>
  <c r="C73" i="4"/>
  <c r="C33" i="4"/>
  <c r="C65" i="4"/>
  <c r="C15" i="4"/>
  <c r="C27" i="4"/>
  <c r="C57" i="4"/>
  <c r="C89" i="4"/>
  <c r="B22" i="1"/>
  <c r="B21" i="1"/>
  <c r="U21" i="1"/>
  <c r="G30" i="4"/>
  <c r="C20" i="1"/>
  <c r="G46" i="4"/>
  <c r="G62" i="4"/>
  <c r="C35" i="4"/>
  <c r="C43" i="4"/>
  <c r="C51" i="4"/>
  <c r="C59" i="4"/>
  <c r="C67" i="4"/>
  <c r="C75" i="4"/>
  <c r="C83" i="4"/>
  <c r="C91" i="4"/>
  <c r="C101" i="4"/>
  <c r="U15" i="1"/>
  <c r="U28" i="1" s="1"/>
  <c r="C31" i="4"/>
  <c r="C47" i="4"/>
  <c r="C63" i="4"/>
  <c r="C79" i="4"/>
  <c r="C87" i="4"/>
  <c r="C95" i="4"/>
  <c r="G94" i="4"/>
  <c r="C23" i="4"/>
  <c r="C39" i="4"/>
  <c r="C55" i="4"/>
  <c r="C71" i="4"/>
  <c r="C13" i="4"/>
  <c r="C21" i="4"/>
  <c r="C29" i="4"/>
  <c r="C37" i="4"/>
  <c r="C45" i="4"/>
  <c r="C53" i="4"/>
  <c r="C61" i="4"/>
  <c r="C69" i="4"/>
  <c r="C77" i="4"/>
  <c r="C85" i="4"/>
  <c r="C93" i="4"/>
  <c r="G14" i="4"/>
  <c r="G78" i="4"/>
  <c r="D21" i="1"/>
  <c r="D22" i="1"/>
  <c r="C22" i="1"/>
  <c r="B20" i="1"/>
  <c r="U20" i="1"/>
  <c r="E20" i="1"/>
  <c r="C99" i="4"/>
  <c r="G22" i="4"/>
  <c r="G38" i="4"/>
  <c r="G54" i="4"/>
  <c r="G70" i="4"/>
  <c r="G86" i="4"/>
  <c r="G102" i="4"/>
  <c r="G18" i="4"/>
  <c r="G34" i="4"/>
  <c r="G50" i="4"/>
  <c r="G66" i="4"/>
  <c r="G82" i="4"/>
  <c r="G98" i="4"/>
  <c r="G26" i="4"/>
  <c r="G42" i="4"/>
  <c r="G58" i="4"/>
  <c r="G74" i="4"/>
  <c r="G90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02" i="3"/>
  <c r="C98" i="3"/>
  <c r="C92" i="3"/>
  <c r="C82" i="3"/>
  <c r="C28" i="3"/>
  <c r="C11" i="3"/>
  <c r="C100" i="3"/>
  <c r="C96" i="3"/>
  <c r="C94" i="3"/>
  <c r="C90" i="3"/>
  <c r="C88" i="3"/>
  <c r="C86" i="3"/>
  <c r="C84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P41" i="1" l="1"/>
  <c r="O39" i="1"/>
  <c r="S37" i="1"/>
  <c r="N39" i="1"/>
  <c r="S34" i="1"/>
  <c r="S33" i="1"/>
  <c r="P39" i="1"/>
  <c r="S35" i="1"/>
  <c r="M39" i="1"/>
  <c r="R39" i="1"/>
  <c r="S39" i="1"/>
  <c r="S38" i="1"/>
  <c r="Q39" i="1"/>
  <c r="S36" i="1"/>
  <c r="U39" i="1"/>
  <c r="S41" i="1"/>
  <c r="R41" i="1"/>
  <c r="Q41" i="1"/>
  <c r="R38" i="1"/>
  <c r="Q38" i="1"/>
  <c r="Q33" i="1"/>
  <c r="R33" i="1"/>
  <c r="P36" i="1"/>
  <c r="O34" i="1"/>
  <c r="O37" i="1"/>
  <c r="R34" i="1"/>
  <c r="Q36" i="1"/>
  <c r="O36" i="1"/>
  <c r="P37" i="1"/>
  <c r="R35" i="1"/>
  <c r="Q37" i="1"/>
  <c r="Q34" i="1"/>
  <c r="P35" i="1"/>
  <c r="O35" i="1"/>
  <c r="Q35" i="1"/>
  <c r="P38" i="1"/>
  <c r="R37" i="1"/>
  <c r="O38" i="1"/>
  <c r="P34" i="1"/>
  <c r="R36" i="1"/>
  <c r="P33" i="1"/>
  <c r="U41" i="1"/>
  <c r="U36" i="1"/>
  <c r="U37" i="1"/>
  <c r="U38" i="1"/>
  <c r="M36" i="1"/>
  <c r="N36" i="1"/>
  <c r="M37" i="1"/>
  <c r="N37" i="1"/>
  <c r="M38" i="1"/>
  <c r="N38" i="1"/>
  <c r="U35" i="1"/>
  <c r="M41" i="1"/>
  <c r="O41" i="1"/>
  <c r="U33" i="1"/>
  <c r="J22" i="1"/>
  <c r="B28" i="1"/>
  <c r="T41" i="1"/>
  <c r="N34" i="1"/>
  <c r="N41" i="1"/>
  <c r="M34" i="1"/>
  <c r="C28" i="1"/>
  <c r="J21" i="1"/>
  <c r="E28" i="1"/>
  <c r="U34" i="1"/>
  <c r="N33" i="1"/>
  <c r="M33" i="1"/>
  <c r="N35" i="1"/>
  <c r="M35" i="1"/>
  <c r="O33" i="1"/>
  <c r="D28" i="1"/>
  <c r="J20" i="1"/>
  <c r="J28" i="1" l="1"/>
  <c r="J39" i="1" l="1"/>
  <c r="AF39" i="1" s="1"/>
  <c r="H41" i="1"/>
  <c r="AD41" i="1" s="1"/>
  <c r="B39" i="1"/>
  <c r="X39" i="1" s="1"/>
  <c r="H34" i="1"/>
  <c r="AD34" i="1" s="1"/>
  <c r="H35" i="1"/>
  <c r="AD35" i="1" s="1"/>
  <c r="H33" i="1"/>
  <c r="AD33" i="1" s="1"/>
  <c r="F39" i="1"/>
  <c r="AB39" i="1" s="1"/>
  <c r="H36" i="1"/>
  <c r="AD36" i="1" s="1"/>
  <c r="H37" i="1"/>
  <c r="AD37" i="1" s="1"/>
  <c r="H38" i="1"/>
  <c r="AD38" i="1" s="1"/>
  <c r="C39" i="1"/>
  <c r="Y39" i="1" s="1"/>
  <c r="D39" i="1"/>
  <c r="Z39" i="1" s="1"/>
  <c r="E39" i="1"/>
  <c r="AA39" i="1" s="1"/>
  <c r="H39" i="1"/>
  <c r="AD39" i="1" s="1"/>
  <c r="G39" i="1"/>
  <c r="AC39" i="1" s="1"/>
  <c r="F41" i="1"/>
  <c r="AB41" i="1" s="1"/>
  <c r="G41" i="1"/>
  <c r="AC41" i="1" s="1"/>
  <c r="E37" i="1"/>
  <c r="AA37" i="1" s="1"/>
  <c r="G36" i="1"/>
  <c r="AC36" i="1" s="1"/>
  <c r="F36" i="1"/>
  <c r="AB36" i="1" s="1"/>
  <c r="G37" i="1"/>
  <c r="AC37" i="1" s="1"/>
  <c r="F38" i="1"/>
  <c r="AB38" i="1" s="1"/>
  <c r="F37" i="1"/>
  <c r="AB37" i="1" s="1"/>
  <c r="E36" i="1"/>
  <c r="AA36" i="1" s="1"/>
  <c r="E38" i="1"/>
  <c r="AA38" i="1" s="1"/>
  <c r="G38" i="1"/>
  <c r="AC38" i="1" s="1"/>
  <c r="G33" i="1"/>
  <c r="AC33" i="1" s="1"/>
  <c r="F33" i="1"/>
  <c r="AB33" i="1" s="1"/>
  <c r="F34" i="1"/>
  <c r="AB34" i="1" s="1"/>
  <c r="E35" i="1"/>
  <c r="AA35" i="1" s="1"/>
  <c r="E34" i="1"/>
  <c r="AA34" i="1" s="1"/>
  <c r="F35" i="1"/>
  <c r="AB35" i="1" s="1"/>
  <c r="G35" i="1"/>
  <c r="AC35" i="1" s="1"/>
  <c r="G34" i="1"/>
  <c r="AC34" i="1" s="1"/>
  <c r="J33" i="1"/>
  <c r="AF33" i="1" s="1"/>
  <c r="J37" i="1"/>
  <c r="AF37" i="1" s="1"/>
  <c r="C37" i="1"/>
  <c r="Y37" i="1" s="1"/>
  <c r="D38" i="1"/>
  <c r="Z38" i="1" s="1"/>
  <c r="C36" i="1"/>
  <c r="Y36" i="1" s="1"/>
  <c r="D37" i="1"/>
  <c r="Z37" i="1" s="1"/>
  <c r="C38" i="1"/>
  <c r="Y38" i="1" s="1"/>
  <c r="B38" i="1"/>
  <c r="X38" i="1" s="1"/>
  <c r="B36" i="1"/>
  <c r="X36" i="1" s="1"/>
  <c r="D36" i="1"/>
  <c r="Z36" i="1" s="1"/>
  <c r="B37" i="1"/>
  <c r="X37" i="1" s="1"/>
  <c r="J38" i="1"/>
  <c r="AF38" i="1" s="1"/>
  <c r="J36" i="1"/>
  <c r="AF36" i="1" s="1"/>
  <c r="J41" i="1"/>
  <c r="AF41" i="1" s="1"/>
  <c r="C33" i="1"/>
  <c r="Y33" i="1" s="1"/>
  <c r="C41" i="1"/>
  <c r="Y41" i="1" s="1"/>
  <c r="B34" i="1"/>
  <c r="X34" i="1" s="1"/>
  <c r="E41" i="1"/>
  <c r="AA41" i="1" s="1"/>
  <c r="E33" i="1"/>
  <c r="AA33" i="1" s="1"/>
  <c r="D41" i="1"/>
  <c r="Z41" i="1" s="1"/>
  <c r="D34" i="1"/>
  <c r="Z34" i="1" s="1"/>
  <c r="I41" i="1"/>
  <c r="J35" i="1"/>
  <c r="AF35" i="1" s="1"/>
  <c r="D33" i="1"/>
  <c r="Z33" i="1" s="1"/>
  <c r="J34" i="1"/>
  <c r="AF34" i="1" s="1"/>
  <c r="B35" i="1"/>
  <c r="X35" i="1" s="1"/>
  <c r="D35" i="1"/>
  <c r="Z35" i="1" s="1"/>
  <c r="B33" i="1"/>
  <c r="X33" i="1" s="1"/>
  <c r="C34" i="1"/>
  <c r="Y34" i="1" s="1"/>
  <c r="C35" i="1"/>
  <c r="Y35" i="1" s="1"/>
  <c r="B41" i="1"/>
  <c r="X41" i="1" s="1"/>
</calcChain>
</file>

<file path=xl/sharedStrings.xml><?xml version="1.0" encoding="utf-8"?>
<sst xmlns="http://schemas.openxmlformats.org/spreadsheetml/2006/main" count="103" uniqueCount="55">
  <si>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</si>
  <si>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</si>
  <si>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</si>
  <si>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</si>
  <si>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</si>
  <si>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</si>
  <si>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</si>
  <si>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</si>
  <si>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</si>
  <si>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</si>
  <si>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</si>
  <si>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</si>
  <si>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</si>
  <si>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</si>
  <si>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</si>
  <si>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</si>
  <si>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</si>
  <si>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</si>
  <si>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</si>
  <si>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</si>
  <si>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</si>
  <si>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</si>
  <si>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</si>
  <si>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</si>
  <si>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</si>
  <si>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</si>
  <si>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</si>
  <si>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</si>
  <si>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</si>
  <si>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</si>
  <si>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</si>
  <si>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</si>
  <si>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</si>
  <si>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</si>
  <si>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</si>
  <si>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</si>
  <si>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</si>
  <si>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</si>
  <si>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</si>
  <si>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</si>
  <si>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</si>
  <si>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</si>
  <si>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</si>
  <si>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</si>
  <si>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</si>
  <si>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</si>
  <si>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</si>
  <si>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</si>
  <si>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</si>
  <si>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</si>
  <si>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</si>
  <si>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</si>
  <si>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</si>
  <si>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</si>
  <si>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Table X. Personal Business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</si>
</sst>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9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9.0066997110488531E-2</c:v>
                </c:pt>
                <c:pt idx="1">
                  <c:v>0.14477751247514595</c:v>
                </c:pt>
                <c:pt idx="2">
                  <c:v>0.12311634478019864</c:v>
                </c:pt>
                <c:pt idx="3">
                  <c:v>0.11599121048657041</c:v>
                </c:pt>
                <c:pt idx="4">
                  <c:v>0.10407364547070003</c:v>
                </c:pt>
                <c:pt idx="5">
                  <c:v>6.4277163440001284E-2</c:v>
                </c:pt>
                <c:pt idx="6">
                  <c:v>6.4745915661869824E-2</c:v>
                </c:pt>
                <c:pt idx="7">
                  <c:v>2.6298283227779672E-2</c:v>
                </c:pt>
                <c:pt idx="8">
                  <c:v>4.2019738398241718E-2</c:v>
                </c:pt>
                <c:pt idx="9">
                  <c:v>2.7348007466003108E-2</c:v>
                </c:pt>
                <c:pt idx="10">
                  <c:v>2.007434302977975E-2</c:v>
                </c:pt>
                <c:pt idx="11">
                  <c:v>1.7704242238772185E-2</c:v>
                </c:pt>
                <c:pt idx="12">
                  <c:v>2.1319101308709804E-2</c:v>
                </c:pt>
                <c:pt idx="13">
                  <c:v>1.3389706173846034E-2</c:v>
                </c:pt>
                <c:pt idx="14">
                  <c:v>5.9603881654732693E-3</c:v>
                </c:pt>
                <c:pt idx="15">
                  <c:v>1.854827983046186E-2</c:v>
                </c:pt>
                <c:pt idx="16">
                  <c:v>1.4509717300698569E-2</c:v>
                </c:pt>
                <c:pt idx="17">
                  <c:v>6.3258568357652941E-3</c:v>
                </c:pt>
                <c:pt idx="18">
                  <c:v>8.2501811145080494E-3</c:v>
                </c:pt>
                <c:pt idx="19">
                  <c:v>9.0097485430791855E-3</c:v>
                </c:pt>
                <c:pt idx="20">
                  <c:v>7.1185898812274311E-3</c:v>
                </c:pt>
                <c:pt idx="21">
                  <c:v>6.7153202176171729E-3</c:v>
                </c:pt>
                <c:pt idx="22">
                  <c:v>1.1304113811877331E-3</c:v>
                </c:pt>
                <c:pt idx="23">
                  <c:v>8.8695474323123417E-4</c:v>
                </c:pt>
                <c:pt idx="24">
                  <c:v>1.6019079997785619E-3</c:v>
                </c:pt>
                <c:pt idx="25">
                  <c:v>2.9189199931598884E-3</c:v>
                </c:pt>
                <c:pt idx="26">
                  <c:v>5.0883853117018422E-3</c:v>
                </c:pt>
                <c:pt idx="27">
                  <c:v>8.7070019659223827E-3</c:v>
                </c:pt>
                <c:pt idx="28">
                  <c:v>5.4553484052897658E-4</c:v>
                </c:pt>
                <c:pt idx="29">
                  <c:v>1.8179912552460113E-3</c:v>
                </c:pt>
                <c:pt idx="30">
                  <c:v>2.5300678360793728E-3</c:v>
                </c:pt>
                <c:pt idx="31">
                  <c:v>4.9423444664117733E-3</c:v>
                </c:pt>
                <c:pt idx="32">
                  <c:v>0</c:v>
                </c:pt>
                <c:pt idx="33">
                  <c:v>3.1164552000254205E-3</c:v>
                </c:pt>
                <c:pt idx="34">
                  <c:v>5.7520397348983553E-3</c:v>
                </c:pt>
                <c:pt idx="35">
                  <c:v>9.8735119578127143E-4</c:v>
                </c:pt>
                <c:pt idx="36">
                  <c:v>1.3232292571205085E-3</c:v>
                </c:pt>
                <c:pt idx="37">
                  <c:v>2.68513732040256E-4</c:v>
                </c:pt>
                <c:pt idx="38">
                  <c:v>2.7519939558437586E-4</c:v>
                </c:pt>
                <c:pt idx="39">
                  <c:v>0</c:v>
                </c:pt>
                <c:pt idx="40">
                  <c:v>1.3032949826641742E-3</c:v>
                </c:pt>
                <c:pt idx="41">
                  <c:v>0</c:v>
                </c:pt>
                <c:pt idx="42">
                  <c:v>2.8345304343612202E-4</c:v>
                </c:pt>
                <c:pt idx="43">
                  <c:v>1.9597685039834719E-3</c:v>
                </c:pt>
                <c:pt idx="44">
                  <c:v>1.0154468164265252E-4</c:v>
                </c:pt>
                <c:pt idx="45">
                  <c:v>1.8683202567946213E-3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6.6784892884338574E-4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2.8316813699995206E-4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8.4444946868641194E-2</c:v>
                </c:pt>
                <c:pt idx="1">
                  <c:v>0.13874116525277944</c:v>
                </c:pt>
                <c:pt idx="2">
                  <c:v>0.13376716570496122</c:v>
                </c:pt>
                <c:pt idx="3">
                  <c:v>0.11730185099627441</c:v>
                </c:pt>
                <c:pt idx="4">
                  <c:v>9.6206588091891199E-2</c:v>
                </c:pt>
                <c:pt idx="5">
                  <c:v>7.8065251796439555E-2</c:v>
                </c:pt>
                <c:pt idx="6">
                  <c:v>5.8066038199530122E-2</c:v>
                </c:pt>
                <c:pt idx="7">
                  <c:v>4.1969349939545264E-2</c:v>
                </c:pt>
                <c:pt idx="8">
                  <c:v>3.1367653274877373E-2</c:v>
                </c:pt>
                <c:pt idx="9">
                  <c:v>2.3832928663409646E-2</c:v>
                </c:pt>
                <c:pt idx="10">
                  <c:v>2.072663645568127E-2</c:v>
                </c:pt>
                <c:pt idx="11">
                  <c:v>1.9409411278986325E-2</c:v>
                </c:pt>
                <c:pt idx="12">
                  <c:v>1.8185571469295874E-2</c:v>
                </c:pt>
                <c:pt idx="13">
                  <c:v>1.5860767332815617E-2</c:v>
                </c:pt>
                <c:pt idx="14">
                  <c:v>1.4828613276450176E-2</c:v>
                </c:pt>
                <c:pt idx="15">
                  <c:v>1.3039546245416745E-2</c:v>
                </c:pt>
                <c:pt idx="16">
                  <c:v>1.148148512223653E-2</c:v>
                </c:pt>
                <c:pt idx="17">
                  <c:v>9.9086789411082388E-3</c:v>
                </c:pt>
                <c:pt idx="18">
                  <c:v>8.5865387450972681E-3</c:v>
                </c:pt>
                <c:pt idx="19">
                  <c:v>7.8148807124812005E-3</c:v>
                </c:pt>
                <c:pt idx="20">
                  <c:v>7.0677977764452612E-3</c:v>
                </c:pt>
                <c:pt idx="21">
                  <c:v>6.2764796665650893E-3</c:v>
                </c:pt>
                <c:pt idx="22">
                  <c:v>5.3524560351522182E-3</c:v>
                </c:pt>
                <c:pt idx="23">
                  <c:v>4.8658691228656526E-3</c:v>
                </c:pt>
                <c:pt idx="24">
                  <c:v>4.3841972298951136E-3</c:v>
                </c:pt>
                <c:pt idx="25">
                  <c:v>3.4700036371142938E-3</c:v>
                </c:pt>
                <c:pt idx="26">
                  <c:v>3.1652724395206874E-3</c:v>
                </c:pt>
                <c:pt idx="27">
                  <c:v>2.781900932870666E-3</c:v>
                </c:pt>
                <c:pt idx="28">
                  <c:v>2.6885155658661741E-3</c:v>
                </c:pt>
                <c:pt idx="29">
                  <c:v>2.0348179968347276E-3</c:v>
                </c:pt>
                <c:pt idx="30">
                  <c:v>2.1822685763155051E-3</c:v>
                </c:pt>
                <c:pt idx="31">
                  <c:v>1.7104267219770174E-3</c:v>
                </c:pt>
                <c:pt idx="32">
                  <c:v>1.4941658720718772E-3</c:v>
                </c:pt>
                <c:pt idx="33">
                  <c:v>1.4892508527558513E-3</c:v>
                </c:pt>
                <c:pt idx="34">
                  <c:v>1.1157093847378821E-3</c:v>
                </c:pt>
                <c:pt idx="35">
                  <c:v>9.8791888252120841E-4</c:v>
                </c:pt>
                <c:pt idx="36">
                  <c:v>9.2402363141287148E-4</c:v>
                </c:pt>
                <c:pt idx="37">
                  <c:v>6.9301772355965358E-4</c:v>
                </c:pt>
                <c:pt idx="38">
                  <c:v>6.094623951872131E-4</c:v>
                </c:pt>
                <c:pt idx="39">
                  <c:v>6.3895251108336858E-4</c:v>
                </c:pt>
                <c:pt idx="40">
                  <c:v>3.7354146801796929E-4</c:v>
                </c:pt>
                <c:pt idx="41">
                  <c:v>3.2930629417373612E-4</c:v>
                </c:pt>
                <c:pt idx="42">
                  <c:v>3.2930629417373612E-4</c:v>
                </c:pt>
                <c:pt idx="43">
                  <c:v>2.064308112730883E-4</c:v>
                </c:pt>
                <c:pt idx="44">
                  <c:v>2.064308112730883E-4</c:v>
                </c:pt>
                <c:pt idx="45">
                  <c:v>1.4745057948077736E-4</c:v>
                </c:pt>
                <c:pt idx="46">
                  <c:v>1.5236559879680327E-4</c:v>
                </c:pt>
                <c:pt idx="47">
                  <c:v>1.0813042495257006E-4</c:v>
                </c:pt>
                <c:pt idx="48">
                  <c:v>1.2779050221667371E-4</c:v>
                </c:pt>
                <c:pt idx="49">
                  <c:v>7.8640309056414594E-5</c:v>
                </c:pt>
                <c:pt idx="50">
                  <c:v>6.8810270424362767E-5</c:v>
                </c:pt>
                <c:pt idx="51">
                  <c:v>5.4065212476285032E-5</c:v>
                </c:pt>
                <c:pt idx="52">
                  <c:v>4.9150193160259118E-5</c:v>
                </c:pt>
                <c:pt idx="53">
                  <c:v>2.4575096580129559E-5</c:v>
                </c:pt>
                <c:pt idx="54">
                  <c:v>3.4405135212181383E-5</c:v>
                </c:pt>
                <c:pt idx="55">
                  <c:v>1.4745057948077736E-5</c:v>
                </c:pt>
                <c:pt idx="56">
                  <c:v>2.9490115896155473E-5</c:v>
                </c:pt>
                <c:pt idx="57">
                  <c:v>1.9660077264103649E-5</c:v>
                </c:pt>
                <c:pt idx="58">
                  <c:v>1.4745057948077736E-5</c:v>
                </c:pt>
                <c:pt idx="59">
                  <c:v>9.8300386320518243E-6</c:v>
                </c:pt>
                <c:pt idx="60">
                  <c:v>2.4575096580129559E-5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3.1619919469851945E-3</c:v>
                </c:pt>
                <c:pt idx="3">
                  <c:v>6.2440281652916999E-2</c:v>
                </c:pt>
                <c:pt idx="4">
                  <c:v>6.2304438670068858E-2</c:v>
                </c:pt>
                <c:pt idx="5">
                  <c:v>9.2261218039298085E-2</c:v>
                </c:pt>
                <c:pt idx="6">
                  <c:v>7.4277939642766425E-2</c:v>
                </c:pt>
                <c:pt idx="7">
                  <c:v>6.9737715721755841E-2</c:v>
                </c:pt>
                <c:pt idx="8">
                  <c:v>7.0955867683743193E-2</c:v>
                </c:pt>
                <c:pt idx="9">
                  <c:v>5.1458732391801792E-2</c:v>
                </c:pt>
                <c:pt idx="10">
                  <c:v>7.4256727566888656E-2</c:v>
                </c:pt>
                <c:pt idx="11">
                  <c:v>5.0733571183895099E-2</c:v>
                </c:pt>
                <c:pt idx="12">
                  <c:v>4.2870293259258445E-2</c:v>
                </c:pt>
                <c:pt idx="13">
                  <c:v>2.6871115534105788E-2</c:v>
                </c:pt>
                <c:pt idx="14">
                  <c:v>4.363193394906037E-2</c:v>
                </c:pt>
                <c:pt idx="15">
                  <c:v>2.4612162699053482E-2</c:v>
                </c:pt>
                <c:pt idx="16">
                  <c:v>2.3624257495760633E-2</c:v>
                </c:pt>
                <c:pt idx="17">
                  <c:v>1.8273262629639866E-2</c:v>
                </c:pt>
                <c:pt idx="18">
                  <c:v>1.9876352270062729E-2</c:v>
                </c:pt>
                <c:pt idx="19">
                  <c:v>1.1539270555483457E-2</c:v>
                </c:pt>
                <c:pt idx="20">
                  <c:v>9.1858315369213565E-3</c:v>
                </c:pt>
                <c:pt idx="21">
                  <c:v>6.7758713455892032E-3</c:v>
                </c:pt>
                <c:pt idx="22">
                  <c:v>1.2492487665110236E-2</c:v>
                </c:pt>
                <c:pt idx="23">
                  <c:v>1.6950928542180992E-2</c:v>
                </c:pt>
                <c:pt idx="24">
                  <c:v>1.4939570322658064E-2</c:v>
                </c:pt>
                <c:pt idx="25">
                  <c:v>4.5244294449180494E-3</c:v>
                </c:pt>
                <c:pt idx="26">
                  <c:v>1.4875175745956402E-3</c:v>
                </c:pt>
                <c:pt idx="27">
                  <c:v>1.1220426414089105E-2</c:v>
                </c:pt>
                <c:pt idx="28">
                  <c:v>1.2112441332994625E-2</c:v>
                </c:pt>
                <c:pt idx="29">
                  <c:v>8.4354810317051835E-3</c:v>
                </c:pt>
                <c:pt idx="30">
                  <c:v>6.1247639513099632E-3</c:v>
                </c:pt>
                <c:pt idx="31">
                  <c:v>5.6187947430335044E-3</c:v>
                </c:pt>
                <c:pt idx="32">
                  <c:v>1.3067834129127478E-3</c:v>
                </c:pt>
                <c:pt idx="33">
                  <c:v>2.7721518380018966E-3</c:v>
                </c:pt>
                <c:pt idx="34">
                  <c:v>9.6034856275249349E-3</c:v>
                </c:pt>
                <c:pt idx="35">
                  <c:v>5.57393093703716E-3</c:v>
                </c:pt>
                <c:pt idx="36">
                  <c:v>3.9243880572319293E-3</c:v>
                </c:pt>
                <c:pt idx="37">
                  <c:v>4.9851428542219654E-3</c:v>
                </c:pt>
                <c:pt idx="38">
                  <c:v>7.4009352647955639E-4</c:v>
                </c:pt>
                <c:pt idx="39">
                  <c:v>1.7683842172208991E-3</c:v>
                </c:pt>
                <c:pt idx="40">
                  <c:v>8.9869191911213912E-4</c:v>
                </c:pt>
                <c:pt idx="41">
                  <c:v>3.4829923594987522E-3</c:v>
                </c:pt>
                <c:pt idx="42">
                  <c:v>1.2667628116281838E-3</c:v>
                </c:pt>
                <c:pt idx="43">
                  <c:v>2.4670880749268821E-3</c:v>
                </c:pt>
                <c:pt idx="44">
                  <c:v>1.3023541459360323E-3</c:v>
                </c:pt>
                <c:pt idx="45">
                  <c:v>1.4962624125262143E-3</c:v>
                </c:pt>
                <c:pt idx="46">
                  <c:v>7.7248838955096125E-4</c:v>
                </c:pt>
                <c:pt idx="47">
                  <c:v>1.5891592063292073E-3</c:v>
                </c:pt>
                <c:pt idx="48">
                  <c:v>1.8522841569988545E-3</c:v>
                </c:pt>
                <c:pt idx="49">
                  <c:v>1.8216234132441965E-3</c:v>
                </c:pt>
                <c:pt idx="50">
                  <c:v>1.7844518540642952E-3</c:v>
                </c:pt>
                <c:pt idx="51">
                  <c:v>2.8426906990408033E-3</c:v>
                </c:pt>
                <c:pt idx="52">
                  <c:v>0</c:v>
                </c:pt>
                <c:pt idx="53">
                  <c:v>1.4516641873187856E-3</c:v>
                </c:pt>
                <c:pt idx="54">
                  <c:v>0</c:v>
                </c:pt>
                <c:pt idx="55">
                  <c:v>5.1142837128306893E-4</c:v>
                </c:pt>
                <c:pt idx="56">
                  <c:v>5.2565649885405611E-3</c:v>
                </c:pt>
                <c:pt idx="57">
                  <c:v>0</c:v>
                </c:pt>
                <c:pt idx="58">
                  <c:v>2.6241664517555595E-4</c:v>
                </c:pt>
                <c:pt idx="59">
                  <c:v>7.4058618205482879E-4</c:v>
                </c:pt>
                <c:pt idx="60">
                  <c:v>5.8264307506567968E-4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3.2242526713129982E-3</c:v>
                </c:pt>
                <c:pt idx="1">
                  <c:v>1.3649008640603958E-2</c:v>
                </c:pt>
                <c:pt idx="2">
                  <c:v>1.6809366060808618E-2</c:v>
                </c:pt>
                <c:pt idx="3">
                  <c:v>2.9932467634597806E-2</c:v>
                </c:pt>
                <c:pt idx="4">
                  <c:v>4.9867785980398906E-2</c:v>
                </c:pt>
                <c:pt idx="5">
                  <c:v>6.8613669651721734E-2</c:v>
                </c:pt>
                <c:pt idx="6">
                  <c:v>7.9574162726459521E-2</c:v>
                </c:pt>
                <c:pt idx="7">
                  <c:v>7.9426712146978731E-2</c:v>
                </c:pt>
                <c:pt idx="8">
                  <c:v>7.5175220438616325E-2</c:v>
                </c:pt>
                <c:pt idx="9">
                  <c:v>6.6151244974392745E-2</c:v>
                </c:pt>
                <c:pt idx="10">
                  <c:v>5.8783631019669907E-2</c:v>
                </c:pt>
                <c:pt idx="11">
                  <c:v>5.1224331311622052E-2</c:v>
                </c:pt>
                <c:pt idx="12">
                  <c:v>4.6299481956964088E-2</c:v>
                </c:pt>
                <c:pt idx="13">
                  <c:v>3.8528836418327127E-2</c:v>
                </c:pt>
                <c:pt idx="14">
                  <c:v>3.3412301310344152E-2</c:v>
                </c:pt>
                <c:pt idx="15">
                  <c:v>2.7951714850239361E-2</c:v>
                </c:pt>
                <c:pt idx="16">
                  <c:v>2.371988321914105E-2</c:v>
                </c:pt>
                <c:pt idx="17">
                  <c:v>2.0205644408182524E-2</c:v>
                </c:pt>
                <c:pt idx="18">
                  <c:v>1.7605599190004817E-2</c:v>
                </c:pt>
                <c:pt idx="19">
                  <c:v>1.5467565787533544E-2</c:v>
                </c:pt>
                <c:pt idx="20">
                  <c:v>1.4514052040224518E-2</c:v>
                </c:pt>
                <c:pt idx="21">
                  <c:v>1.2887180646619941E-2</c:v>
                </c:pt>
                <c:pt idx="22">
                  <c:v>1.1579785508557049E-2</c:v>
                </c:pt>
                <c:pt idx="23">
                  <c:v>1.1260309253015365E-2</c:v>
                </c:pt>
                <c:pt idx="24">
                  <c:v>1.0577121568087763E-2</c:v>
                </c:pt>
                <c:pt idx="25">
                  <c:v>9.9234239990563158E-3</c:v>
                </c:pt>
                <c:pt idx="26">
                  <c:v>8.9109300199549778E-3</c:v>
                </c:pt>
                <c:pt idx="27">
                  <c:v>8.1835071611831428E-3</c:v>
                </c:pt>
                <c:pt idx="28">
                  <c:v>7.4659143410433599E-3</c:v>
                </c:pt>
                <c:pt idx="29">
                  <c:v>7.1169479696055202E-3</c:v>
                </c:pt>
                <c:pt idx="30">
                  <c:v>6.6549361538990846E-3</c:v>
                </c:pt>
                <c:pt idx="31">
                  <c:v>6.3895251108336852E-3</c:v>
                </c:pt>
                <c:pt idx="32">
                  <c:v>5.5638018657413321E-3</c:v>
                </c:pt>
                <c:pt idx="33">
                  <c:v>5.1509402431951555E-3</c:v>
                </c:pt>
                <c:pt idx="34">
                  <c:v>4.934679393290016E-3</c:v>
                </c:pt>
                <c:pt idx="35">
                  <c:v>4.860954103549627E-3</c:v>
                </c:pt>
                <c:pt idx="36">
                  <c:v>4.2809818242585691E-3</c:v>
                </c:pt>
                <c:pt idx="37">
                  <c:v>4.0794660323015073E-3</c:v>
                </c:pt>
                <c:pt idx="38">
                  <c:v>3.8189700085521335E-3</c:v>
                </c:pt>
                <c:pt idx="39">
                  <c:v>3.3569581928456979E-3</c:v>
                </c:pt>
                <c:pt idx="40">
                  <c:v>3.1996775747328687E-3</c:v>
                </c:pt>
                <c:pt idx="41">
                  <c:v>2.9834167248277287E-3</c:v>
                </c:pt>
                <c:pt idx="42">
                  <c:v>2.6000452181777073E-3</c:v>
                </c:pt>
                <c:pt idx="43">
                  <c:v>2.3100590785321787E-3</c:v>
                </c:pt>
                <c:pt idx="44">
                  <c:v>2.3297191557962822E-3</c:v>
                </c:pt>
                <c:pt idx="45">
                  <c:v>2.0593930934148571E-3</c:v>
                </c:pt>
                <c:pt idx="46">
                  <c:v>1.8431322435097171E-3</c:v>
                </c:pt>
                <c:pt idx="47">
                  <c:v>1.680936606080862E-3</c:v>
                </c:pt>
                <c:pt idx="48">
                  <c:v>1.4745057948077735E-3</c:v>
                </c:pt>
                <c:pt idx="49">
                  <c:v>1.3958654857513591E-3</c:v>
                </c:pt>
                <c:pt idx="50">
                  <c:v>1.2140097710584003E-3</c:v>
                </c:pt>
                <c:pt idx="51">
                  <c:v>8.9453351551671599E-4</c:v>
                </c:pt>
                <c:pt idx="52">
                  <c:v>1.0468991143135192E-3</c:v>
                </c:pt>
                <c:pt idx="53">
                  <c:v>8.4538332235645686E-4</c:v>
                </c:pt>
                <c:pt idx="54">
                  <c:v>8.1097818714427551E-4</c:v>
                </c:pt>
                <c:pt idx="55">
                  <c:v>6.9301772355965358E-4</c:v>
                </c:pt>
                <c:pt idx="56">
                  <c:v>6.094623951872131E-4</c:v>
                </c:pt>
                <c:pt idx="57">
                  <c:v>5.8980231792310944E-4</c:v>
                </c:pt>
                <c:pt idx="58">
                  <c:v>5.3082208613079848E-4</c:v>
                </c:pt>
                <c:pt idx="59">
                  <c:v>4.47266757758358E-4</c:v>
                </c:pt>
                <c:pt idx="60">
                  <c:v>4.7184185433848757E-4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M33" sqref="M3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18132.684980737264</v>
      </c>
      <c r="C11" s="11">
        <f>B11/B$102</f>
        <v>9.0066997110488531E-2</v>
      </c>
      <c r="E11" s="20">
        <v>0</v>
      </c>
      <c r="F11" s="110" t="n">
        <v>13940.0</v>
      </c>
      <c r="G11" s="11">
        <f>F11/F$102</f>
        <v>8.4444946868641194E-2</v>
      </c>
      <c r="K11" s="8" t="n">
        <v>6.755846494087181</v>
      </c>
      <c r="L11" s="8" t="n">
        <v>6.031538926908148</v>
      </c>
    </row>
    <row r="12" spans="1:12" x14ac:dyDescent="0.25">
      <c r="A12">
        <v>1</v>
      </c>
      <c r="B12" s="8" t="n">
        <v>29147.2471629774</v>
      </c>
      <c r="C12" s="11">
        <f>B12/B$102</f>
        <v>0.14477751247514595</v>
      </c>
      <c r="E12" s="21">
        <v>1</v>
      </c>
      <c r="F12" s="111" t="n">
        <v>30505.0</v>
      </c>
      <c r="G12" s="11">
        <f>F12/F$102</f>
        <v>0.13874116525277944</v>
      </c>
      <c r="K12" s="8"/>
      <c r="L12" s="380"/>
    </row>
    <row r="13" spans="1:12" x14ac:dyDescent="0.25">
      <c r="A13">
        <v>2</v>
      </c>
      <c r="B13" s="8" t="n">
        <v>24786.325374438475</v>
      </c>
      <c r="C13" s="11">
        <f t="shared" ref="C13:C76" si="0">B13/B$102</f>
        <v>0.12311634478019864</v>
      </c>
      <c r="E13" s="22">
        <v>2</v>
      </c>
      <c r="F13" s="112" t="n">
        <v>33994.0</v>
      </c>
      <c r="G13" s="11">
        <f t="shared" ref="G13:G76" si="1">F13/F$102</f>
        <v>0.13376716570496122</v>
      </c>
    </row>
    <row r="14" spans="1:12" x14ac:dyDescent="0.25">
      <c r="A14">
        <v>3</v>
      </c>
      <c r="B14" s="8" t="n">
        <v>23351.86192237826</v>
      </c>
      <c r="C14" s="11">
        <f t="shared" si="0"/>
        <v>0.11599121048657041</v>
      </c>
      <c r="E14" s="23">
        <v>3</v>
      </c>
      <c r="F14" s="113" t="n">
        <v>25784.0</v>
      </c>
      <c r="G14" s="11">
        <f t="shared" si="1"/>
        <v>0.11730185099627441</v>
      </c>
    </row>
    <row r="15" spans="1:12" x14ac:dyDescent="0.25">
      <c r="A15">
        <v>4</v>
      </c>
      <c r="B15" s="8" t="n">
        <v>20952.56518658126</v>
      </c>
      <c r="C15" s="11">
        <f t="shared" si="0"/>
        <v>0.10407364547070003</v>
      </c>
      <c r="E15" s="24">
        <v>4</v>
      </c>
      <c r="F15" s="114" t="n">
        <v>20956.0</v>
      </c>
      <c r="G15" s="11">
        <f t="shared" si="1"/>
        <v>9.6206588091891199E-2</v>
      </c>
    </row>
    <row r="16" spans="1:12" x14ac:dyDescent="0.25">
      <c r="A16">
        <v>5</v>
      </c>
      <c r="B16" s="8" t="n">
        <v>12940.56195393216</v>
      </c>
      <c r="C16" s="11">
        <f t="shared" si="0"/>
        <v>6.4277163440001284E-2</v>
      </c>
      <c r="E16" s="25">
        <v>5</v>
      </c>
      <c r="F16" s="115" t="n">
        <v>16269.0</v>
      </c>
      <c r="G16" s="11">
        <f t="shared" si="1"/>
        <v>7.8065251796439555E-2</v>
      </c>
    </row>
    <row r="17" spans="1:7" x14ac:dyDescent="0.25">
      <c r="A17">
        <v>6</v>
      </c>
      <c r="B17" s="8" t="n">
        <v>13034.933218056087</v>
      </c>
      <c r="C17" s="11">
        <f t="shared" si="0"/>
        <v>6.4745915661869824E-2</v>
      </c>
      <c r="E17" s="26">
        <v>6</v>
      </c>
      <c r="F17" s="116" t="n">
        <v>12035.0</v>
      </c>
      <c r="G17" s="11">
        <f t="shared" si="1"/>
        <v>5.8066038199530122E-2</v>
      </c>
    </row>
    <row r="18" spans="1:7" x14ac:dyDescent="0.25">
      <c r="A18">
        <v>7</v>
      </c>
      <c r="B18" s="8" t="n">
        <v>5294.48633352964</v>
      </c>
      <c r="C18" s="11">
        <f t="shared" si="0"/>
        <v>2.6298283227779672E-2</v>
      </c>
      <c r="E18" s="27">
        <v>7</v>
      </c>
      <c r="F18" s="117" t="n">
        <v>8661.0</v>
      </c>
      <c r="G18" s="11">
        <f t="shared" si="1"/>
        <v>4.1969349939545264E-2</v>
      </c>
    </row>
    <row r="19" spans="1:7" x14ac:dyDescent="0.25">
      <c r="A19">
        <v>8</v>
      </c>
      <c r="B19" s="8" t="n">
        <v>8459.599007321382</v>
      </c>
      <c r="C19" s="11">
        <f t="shared" si="0"/>
        <v>4.2019738398241718E-2</v>
      </c>
      <c r="E19" s="28">
        <v>8</v>
      </c>
      <c r="F19" s="118" t="n">
        <v>6358.0</v>
      </c>
      <c r="G19" s="11">
        <f t="shared" si="1"/>
        <v>3.1367653274877373E-2</v>
      </c>
    </row>
    <row r="20" spans="1:7" x14ac:dyDescent="0.25">
      <c r="A20">
        <v>9</v>
      </c>
      <c r="B20" s="8" t="n">
        <v>5505.821445601822</v>
      </c>
      <c r="C20" s="11">
        <f t="shared" si="0"/>
        <v>2.7348007466003108E-2</v>
      </c>
      <c r="E20" s="29">
        <v>9</v>
      </c>
      <c r="F20" s="119" t="n">
        <v>4690.0</v>
      </c>
      <c r="G20" s="11">
        <f t="shared" si="1"/>
        <v>2.3832928663409646E-2</v>
      </c>
    </row>
    <row r="21" spans="1:7" x14ac:dyDescent="0.25">
      <c r="A21">
        <v>10</v>
      </c>
      <c r="B21" s="8" t="n">
        <v>4041.45525033682</v>
      </c>
      <c r="C21" s="11">
        <f t="shared" si="0"/>
        <v>2.007434302977975E-2</v>
      </c>
      <c r="E21" s="30">
        <v>10</v>
      </c>
      <c r="F21" s="120" t="n">
        <v>4024.0</v>
      </c>
      <c r="G21" s="11">
        <f t="shared" si="1"/>
        <v>2.072663645568127E-2</v>
      </c>
    </row>
    <row r="22" spans="1:7" x14ac:dyDescent="0.25">
      <c r="A22">
        <v>11</v>
      </c>
      <c r="B22" s="8" t="n">
        <v>3564.2961088677666</v>
      </c>
      <c r="C22" s="11">
        <f t="shared" si="0"/>
        <v>1.7704242238772185E-2</v>
      </c>
      <c r="E22" s="31">
        <v>11</v>
      </c>
      <c r="F22" s="121" t="n">
        <v>3731.0</v>
      </c>
      <c r="G22" s="11">
        <f t="shared" si="1"/>
        <v>1.9409411278986325E-2</v>
      </c>
    </row>
    <row r="23" spans="1:7" x14ac:dyDescent="0.25">
      <c r="A23">
        <v>12</v>
      </c>
      <c r="B23" s="8" t="n">
        <v>4292.055475426093</v>
      </c>
      <c r="C23" s="11">
        <f t="shared" si="0"/>
        <v>2.1319101308709804E-2</v>
      </c>
      <c r="E23" s="32">
        <v>12</v>
      </c>
      <c r="F23" s="122" t="n">
        <v>3507.0</v>
      </c>
      <c r="G23" s="11">
        <f t="shared" si="1"/>
        <v>1.8185571469295874E-2</v>
      </c>
    </row>
    <row r="24" spans="1:7" x14ac:dyDescent="0.25">
      <c r="A24">
        <v>13</v>
      </c>
      <c r="B24" s="8" t="n">
        <v>2695.6746846699225</v>
      </c>
      <c r="C24" s="11">
        <f t="shared" si="0"/>
        <v>1.3389706173846034E-2</v>
      </c>
      <c r="E24" s="33">
        <v>13</v>
      </c>
      <c r="F24" s="123" t="n">
        <v>3015.0</v>
      </c>
      <c r="G24" s="11">
        <f t="shared" si="1"/>
        <v>1.5860767332815617E-2</v>
      </c>
    </row>
    <row r="25" spans="1:7" x14ac:dyDescent="0.25">
      <c r="A25">
        <v>14</v>
      </c>
      <c r="B25" s="8" t="n">
        <v>1199.9716259537129</v>
      </c>
      <c r="C25" s="11">
        <f t="shared" si="0"/>
        <v>5.9603881654732693E-3</v>
      </c>
      <c r="E25" s="34">
        <v>14</v>
      </c>
      <c r="F25" s="124" t="n">
        <v>2774.0</v>
      </c>
      <c r="G25" s="11">
        <f t="shared" si="1"/>
        <v>1.4828613276450176E-2</v>
      </c>
    </row>
    <row r="26" spans="1:7" x14ac:dyDescent="0.25">
      <c r="A26">
        <v>15</v>
      </c>
      <c r="B26" s="8" t="n">
        <v>3734.221478348379</v>
      </c>
      <c r="C26" s="11">
        <f t="shared" si="0"/>
        <v>1.854827983046186E-2</v>
      </c>
      <c r="E26" s="35">
        <v>15</v>
      </c>
      <c r="F26" s="125" t="n">
        <v>2514.0</v>
      </c>
      <c r="G26" s="11">
        <f t="shared" si="1"/>
        <v>1.3039546245416745E-2</v>
      </c>
    </row>
    <row r="27" spans="1:7" x14ac:dyDescent="0.25">
      <c r="A27">
        <v>16</v>
      </c>
      <c r="B27" s="8" t="n">
        <v>2921.1602630691223</v>
      </c>
      <c r="C27" s="11">
        <f t="shared" si="0"/>
        <v>1.4509717300698569E-2</v>
      </c>
      <c r="E27" s="36">
        <v>16</v>
      </c>
      <c r="F27" s="126" t="n">
        <v>2080.0</v>
      </c>
      <c r="G27" s="11">
        <f t="shared" si="1"/>
        <v>1.148148512223653E-2</v>
      </c>
    </row>
    <row r="28" spans="1:7" x14ac:dyDescent="0.25">
      <c r="A28">
        <v>17</v>
      </c>
      <c r="B28" s="8" t="n">
        <v>1273.5493900775098</v>
      </c>
      <c r="C28" s="11">
        <f t="shared" si="0"/>
        <v>6.3258568357652941E-3</v>
      </c>
      <c r="E28" s="37">
        <v>17</v>
      </c>
      <c r="F28" s="127" t="n">
        <v>1792.0</v>
      </c>
      <c r="G28" s="11">
        <f t="shared" si="1"/>
        <v>9.9086789411082388E-3</v>
      </c>
    </row>
    <row r="29" spans="1:7" x14ac:dyDescent="0.25">
      <c r="A29">
        <v>18</v>
      </c>
      <c r="B29" s="8" t="n">
        <v>1660.962838584315</v>
      </c>
      <c r="C29" s="11">
        <f t="shared" si="0"/>
        <v>8.2501811145080494E-3</v>
      </c>
      <c r="E29" s="38">
        <v>18</v>
      </c>
      <c r="F29" s="128" t="n">
        <v>1496.0</v>
      </c>
      <c r="G29" s="11">
        <f t="shared" si="1"/>
        <v>8.5865387450972681E-3</v>
      </c>
    </row>
    <row r="30" spans="1:7" x14ac:dyDescent="0.25">
      <c r="A30">
        <v>19</v>
      </c>
      <c r="B30" s="8" t="n">
        <v>1813.882302380951</v>
      </c>
      <c r="C30" s="11">
        <f t="shared" si="0"/>
        <v>9.0097485430791855E-3</v>
      </c>
      <c r="E30" s="39">
        <v>19</v>
      </c>
      <c r="F30" s="129" t="n">
        <v>1313.0</v>
      </c>
      <c r="G30" s="11">
        <f t="shared" si="1"/>
        <v>7.8148807124812005E-3</v>
      </c>
    </row>
    <row r="31" spans="1:7" x14ac:dyDescent="0.25">
      <c r="A31">
        <v>20</v>
      </c>
      <c r="B31" s="8" t="n">
        <v>1433.1459021001301</v>
      </c>
      <c r="C31" s="11">
        <f t="shared" si="0"/>
        <v>7.1185898812274311E-3</v>
      </c>
      <c r="E31" s="40">
        <v>20</v>
      </c>
      <c r="F31" s="130" t="n">
        <v>1199.0</v>
      </c>
      <c r="G31" s="11">
        <f t="shared" si="1"/>
        <v>7.0677977764452612E-3</v>
      </c>
    </row>
    <row r="32" spans="1:7" x14ac:dyDescent="0.25">
      <c r="A32">
        <v>21</v>
      </c>
      <c r="B32" s="8" t="n">
        <v>1351.9578753297656</v>
      </c>
      <c r="C32" s="11">
        <f t="shared" si="0"/>
        <v>6.7153202176171729E-3</v>
      </c>
      <c r="E32" s="41">
        <v>21</v>
      </c>
      <c r="F32" s="131" t="n">
        <v>1033.0</v>
      </c>
      <c r="G32" s="11">
        <f t="shared" si="1"/>
        <v>6.2764796665650893E-3</v>
      </c>
    </row>
    <row r="33" spans="1:7" x14ac:dyDescent="0.25">
      <c r="A33">
        <v>22</v>
      </c>
      <c r="B33" s="8" t="n">
        <v>227.5794034586538</v>
      </c>
      <c r="C33" s="11">
        <f t="shared" si="0"/>
        <v>1.1304113811877331E-3</v>
      </c>
      <c r="E33" s="42">
        <v>22</v>
      </c>
      <c r="F33" s="132" t="n">
        <v>933.0</v>
      </c>
      <c r="G33" s="11">
        <f t="shared" si="1"/>
        <v>5.3524560351522182E-3</v>
      </c>
    </row>
    <row r="34" spans="1:7" x14ac:dyDescent="0.25">
      <c r="A34">
        <v>23</v>
      </c>
      <c r="B34" s="8" t="n">
        <v>178.5656396588111</v>
      </c>
      <c r="C34" s="11">
        <f t="shared" si="0"/>
        <v>8.8695474323123417E-4</v>
      </c>
      <c r="E34" s="43">
        <v>23</v>
      </c>
      <c r="F34" s="133" t="n">
        <v>763.0</v>
      </c>
      <c r="G34" s="11">
        <f t="shared" si="1"/>
        <v>4.8658691228656526E-3</v>
      </c>
    </row>
    <row r="35" spans="1:7" x14ac:dyDescent="0.25">
      <c r="A35">
        <v>24</v>
      </c>
      <c r="B35" s="8" t="n">
        <v>322.5031816312772</v>
      </c>
      <c r="C35" s="11">
        <f t="shared" si="0"/>
        <v>1.6019079997785619E-3</v>
      </c>
      <c r="E35" s="44">
        <v>24</v>
      </c>
      <c r="F35" s="134" t="n">
        <v>756.0</v>
      </c>
      <c r="G35" s="11">
        <f t="shared" si="1"/>
        <v>4.3841972298951136E-3</v>
      </c>
    </row>
    <row r="36" spans="1:7" x14ac:dyDescent="0.25">
      <c r="A36">
        <v>25</v>
      </c>
      <c r="B36" s="8" t="n">
        <v>587.6498430941964</v>
      </c>
      <c r="C36" s="11">
        <f t="shared" si="0"/>
        <v>2.9189199931598884E-3</v>
      </c>
      <c r="E36" s="45">
        <v>25</v>
      </c>
      <c r="F36" s="135" t="n">
        <v>589.0</v>
      </c>
      <c r="G36" s="11">
        <f t="shared" si="1"/>
        <v>3.4700036371142938E-3</v>
      </c>
    </row>
    <row r="37" spans="1:7" x14ac:dyDescent="0.25">
      <c r="A37">
        <v>26</v>
      </c>
      <c r="B37" s="8" t="n">
        <v>1024.4161666066634</v>
      </c>
      <c r="C37" s="11">
        <f t="shared" si="0"/>
        <v>5.0883853117018422E-3</v>
      </c>
      <c r="E37" s="46">
        <v>26</v>
      </c>
      <c r="F37" s="136" t="n">
        <v>495.0</v>
      </c>
      <c r="G37" s="11">
        <f t="shared" si="1"/>
        <v>3.1652724395206874E-3</v>
      </c>
    </row>
    <row r="38" spans="1:7" x14ac:dyDescent="0.25">
      <c r="A38">
        <v>27</v>
      </c>
      <c r="B38" s="8" t="n">
        <v>1752.9320266007285</v>
      </c>
      <c r="C38" s="11">
        <f t="shared" si="0"/>
        <v>8.7070019659223827E-3</v>
      </c>
      <c r="E38" s="47">
        <v>27</v>
      </c>
      <c r="F38" s="137" t="n">
        <v>476.0</v>
      </c>
      <c r="G38" s="11">
        <f t="shared" si="1"/>
        <v>2.781900932870666E-3</v>
      </c>
    </row>
    <row r="39" spans="1:7" x14ac:dyDescent="0.25">
      <c r="A39">
        <v>28</v>
      </c>
      <c r="B39" s="8" t="n">
        <v>109.82947946175861</v>
      </c>
      <c r="C39" s="11">
        <f t="shared" si="0"/>
        <v>5.4553484052897658E-4</v>
      </c>
      <c r="E39" s="48">
        <v>28</v>
      </c>
      <c r="F39" s="138" t="n">
        <v>392.0</v>
      </c>
      <c r="G39" s="11">
        <f t="shared" si="1"/>
        <v>2.6885155658661741E-3</v>
      </c>
    </row>
    <row r="40" spans="1:7" x14ac:dyDescent="0.25">
      <c r="A40">
        <v>29</v>
      </c>
      <c r="B40" s="8" t="n">
        <v>366.00601537399507</v>
      </c>
      <c r="C40" s="11">
        <f t="shared" si="0"/>
        <v>1.8179912552460113E-3</v>
      </c>
      <c r="E40" s="49">
        <v>29</v>
      </c>
      <c r="F40" s="139" t="n">
        <v>339.0</v>
      </c>
      <c r="G40" s="11">
        <f t="shared" si="1"/>
        <v>2.0348179968347276E-3</v>
      </c>
    </row>
    <row r="41" spans="1:7" x14ac:dyDescent="0.25">
      <c r="A41">
        <v>30</v>
      </c>
      <c r="B41" s="8" t="n">
        <v>509.3644123079173</v>
      </c>
      <c r="C41" s="11">
        <f t="shared" si="0"/>
        <v>2.5300678360793728E-3</v>
      </c>
      <c r="E41" s="50">
        <v>30</v>
      </c>
      <c r="F41" s="140" t="n">
        <v>287.0</v>
      </c>
      <c r="G41" s="11">
        <f t="shared" si="1"/>
        <v>2.1822685763155051E-3</v>
      </c>
    </row>
    <row r="42" spans="1:7" x14ac:dyDescent="0.25">
      <c r="A42">
        <v>31</v>
      </c>
      <c r="B42" s="8" t="n">
        <v>995.0145797111121</v>
      </c>
      <c r="C42" s="11">
        <f t="shared" si="0"/>
        <v>4.9423444664117733E-3</v>
      </c>
      <c r="E42" s="51">
        <v>31</v>
      </c>
      <c r="F42" s="141" t="n">
        <v>239.0</v>
      </c>
      <c r="G42" s="11">
        <f t="shared" si="1"/>
        <v>1.7104267219770174E-3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2">
        <v>32</v>
      </c>
      <c r="F43" s="142" t="n">
        <v>213.0</v>
      </c>
      <c r="G43" s="11">
        <f t="shared" si="1"/>
        <v>1.4941658720718772E-3</v>
      </c>
    </row>
    <row r="44" spans="1:7" x14ac:dyDescent="0.25">
      <c r="A44">
        <v>33</v>
      </c>
      <c r="B44" s="8" t="n">
        <v>627.4185019105159</v>
      </c>
      <c r="C44" s="11">
        <f t="shared" si="0"/>
        <v>3.1164552000254205E-3</v>
      </c>
      <c r="E44" s="53">
        <v>33</v>
      </c>
      <c r="F44" s="143" t="n">
        <v>175.0</v>
      </c>
      <c r="G44" s="11">
        <f t="shared" si="1"/>
        <v>1.4892508527558513E-3</v>
      </c>
    </row>
    <row r="45" spans="1:7" x14ac:dyDescent="0.25">
      <c r="A45">
        <v>34</v>
      </c>
      <c r="B45" s="8" t="n">
        <v>1158.0260012626686</v>
      </c>
      <c r="C45" s="11">
        <f t="shared" si="0"/>
        <v>5.7520397348983553E-3</v>
      </c>
      <c r="E45" s="54">
        <v>34</v>
      </c>
      <c r="F45" s="144" t="n">
        <v>176.0</v>
      </c>
      <c r="G45" s="11">
        <f t="shared" si="1"/>
        <v>1.1157093847378821E-3</v>
      </c>
    </row>
    <row r="46" spans="1:7" x14ac:dyDescent="0.25">
      <c r="A46">
        <v>35</v>
      </c>
      <c r="B46" s="8" t="n">
        <v>198.77789615316428</v>
      </c>
      <c r="C46" s="11">
        <f t="shared" si="0"/>
        <v>9.8735119578127143E-4</v>
      </c>
      <c r="E46" s="55">
        <v>35</v>
      </c>
      <c r="F46" s="145" t="n">
        <v>131.0</v>
      </c>
      <c r="G46" s="11">
        <f t="shared" si="1"/>
        <v>9.8791888252120841E-4</v>
      </c>
    </row>
    <row r="47" spans="1:7" x14ac:dyDescent="0.25">
      <c r="A47">
        <v>36</v>
      </c>
      <c r="B47" s="8" t="n">
        <v>266.398348411985</v>
      </c>
      <c r="C47" s="11">
        <f t="shared" si="0"/>
        <v>1.3232292571205085E-3</v>
      </c>
      <c r="E47" s="56">
        <v>36</v>
      </c>
      <c r="F47" s="146" t="n">
        <v>110.0</v>
      </c>
      <c r="G47" s="11">
        <f t="shared" si="1"/>
        <v>9.2402363141287148E-4</v>
      </c>
    </row>
    <row r="48" spans="1:7" x14ac:dyDescent="0.25">
      <c r="A48">
        <v>37</v>
      </c>
      <c r="B48" s="8" t="n">
        <v>54.0583684622596</v>
      </c>
      <c r="C48" s="11">
        <f t="shared" si="0"/>
        <v>2.68513732040256E-4</v>
      </c>
      <c r="E48" s="57">
        <v>37</v>
      </c>
      <c r="F48" s="147" t="n">
        <v>99.0</v>
      </c>
      <c r="G48" s="11">
        <f t="shared" si="1"/>
        <v>6.9301772355965358E-4</v>
      </c>
    </row>
    <row r="49" spans="1:7" x14ac:dyDescent="0.25">
      <c r="A49">
        <v>38</v>
      </c>
      <c r="B49" s="8" t="n">
        <v>55.404355725319</v>
      </c>
      <c r="C49" s="11">
        <f t="shared" si="0"/>
        <v>2.7519939558437586E-4</v>
      </c>
      <c r="E49" s="58">
        <v>38</v>
      </c>
      <c r="F49" s="148" t="n">
        <v>107.0</v>
      </c>
      <c r="G49" s="11">
        <f t="shared" si="1"/>
        <v>6.094623951872131E-4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9">
        <v>39</v>
      </c>
      <c r="F50" s="149" t="n">
        <v>85.0</v>
      </c>
      <c r="G50" s="11">
        <f t="shared" si="1"/>
        <v>6.3895251108336858E-4</v>
      </c>
    </row>
    <row r="51" spans="1:7" x14ac:dyDescent="0.25">
      <c r="A51">
        <v>40</v>
      </c>
      <c r="B51" s="8" t="n">
        <v>262.3850923844431</v>
      </c>
      <c r="C51" s="11">
        <f t="shared" si="0"/>
        <v>1.3032949826641742E-3</v>
      </c>
      <c r="E51" s="60">
        <v>40</v>
      </c>
      <c r="F51" s="150" t="n">
        <v>60.0</v>
      </c>
      <c r="G51" s="11">
        <f t="shared" si="1"/>
        <v>3.7354146801796929E-4</v>
      </c>
    </row>
    <row r="52" spans="1:7" x14ac:dyDescent="0.25">
      <c r="A52">
        <v>41</v>
      </c>
      <c r="B52" s="8" t="n">
        <v>0.0</v>
      </c>
      <c r="C52" s="11">
        <f t="shared" si="0"/>
        <v>0</v>
      </c>
      <c r="E52" s="61">
        <v>41</v>
      </c>
      <c r="F52" s="151" t="n">
        <v>50.0</v>
      </c>
      <c r="G52" s="11">
        <f t="shared" si="1"/>
        <v>3.2930629417373612E-4</v>
      </c>
    </row>
    <row r="53" spans="1:7" x14ac:dyDescent="0.25">
      <c r="A53">
        <v>42</v>
      </c>
      <c r="B53" s="8" t="n">
        <v>57.066016502729596</v>
      </c>
      <c r="C53" s="11">
        <f t="shared" si="0"/>
        <v>2.8345304343612202E-4</v>
      </c>
      <c r="E53" s="62">
        <v>42</v>
      </c>
      <c r="F53" s="152" t="n">
        <v>40.0</v>
      </c>
      <c r="G53" s="11">
        <f t="shared" si="1"/>
        <v>3.2930629417373612E-4</v>
      </c>
    </row>
    <row r="54" spans="1:7" x14ac:dyDescent="0.25">
      <c r="A54">
        <v>43</v>
      </c>
      <c r="B54" s="8" t="n">
        <v>394.5492362125704</v>
      </c>
      <c r="C54" s="11">
        <f t="shared" si="0"/>
        <v>1.9597685039834719E-3</v>
      </c>
      <c r="E54" s="63">
        <v>43</v>
      </c>
      <c r="F54" s="153" t="n">
        <v>32.0</v>
      </c>
      <c r="G54" s="11">
        <f t="shared" si="1"/>
        <v>2.064308112730883E-4</v>
      </c>
    </row>
    <row r="55" spans="1:7" x14ac:dyDescent="0.25">
      <c r="A55">
        <v>44</v>
      </c>
      <c r="B55" s="8" t="n">
        <v>20.4434230380381</v>
      </c>
      <c r="C55" s="11">
        <f t="shared" si="0"/>
        <v>1.0154468164265252E-4</v>
      </c>
      <c r="E55" s="64">
        <v>44</v>
      </c>
      <c r="F55" s="154" t="n">
        <v>33.0</v>
      </c>
      <c r="G55" s="11">
        <f t="shared" si="1"/>
        <v>2.064308112730883E-4</v>
      </c>
    </row>
    <row r="56" spans="1:7" x14ac:dyDescent="0.25">
      <c r="A56">
        <v>45</v>
      </c>
      <c r="B56" s="8" t="n">
        <v>376.138471875864</v>
      </c>
      <c r="C56" s="11">
        <f t="shared" si="0"/>
        <v>1.8683202567946213E-3</v>
      </c>
      <c r="E56" s="65">
        <v>45</v>
      </c>
      <c r="F56" s="155" t="n">
        <v>24.0</v>
      </c>
      <c r="G56" s="11">
        <f t="shared" si="1"/>
        <v>1.4745057948077736E-4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66">
        <v>46</v>
      </c>
      <c r="F57" s="156" t="n">
        <v>15.0</v>
      </c>
      <c r="G57" s="11">
        <f t="shared" si="1"/>
        <v>1.5236559879680327E-4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7">
        <v>47</v>
      </c>
      <c r="F58" s="157" t="n">
        <v>13.0</v>
      </c>
      <c r="G58" s="11">
        <f t="shared" si="1"/>
        <v>1.0813042495257006E-4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8">
        <v>48</v>
      </c>
      <c r="F59" s="158" t="n">
        <v>5.0</v>
      </c>
      <c r="G59" s="11">
        <f t="shared" si="1"/>
        <v>1.2779050221667371E-4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9">
        <v>49</v>
      </c>
      <c r="F60" s="159" t="n">
        <v>6.0</v>
      </c>
      <c r="G60" s="11">
        <f t="shared" si="1"/>
        <v>7.8640309056414594E-5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70">
        <v>50</v>
      </c>
      <c r="F61" s="160" t="n">
        <v>10.0</v>
      </c>
      <c r="G61" s="11">
        <f t="shared" si="1"/>
        <v>6.8810270424362767E-5</v>
      </c>
    </row>
    <row r="62" spans="1:7" x14ac:dyDescent="0.25">
      <c r="A62">
        <v>51</v>
      </c>
      <c r="B62" s="8" t="n">
        <v>134.4542910272036</v>
      </c>
      <c r="C62" s="11">
        <f t="shared" si="0"/>
        <v>6.6784892884338574E-4</v>
      </c>
      <c r="E62" s="71">
        <v>51</v>
      </c>
      <c r="F62" s="161" t="n">
        <v>5.0</v>
      </c>
      <c r="G62" s="11">
        <f t="shared" si="1"/>
        <v>5.4065212476285032E-5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2">
        <v>52</v>
      </c>
      <c r="F63" s="162" t="n">
        <v>5.0</v>
      </c>
      <c r="G63" s="11">
        <f t="shared" si="1"/>
        <v>4.9150193160259118E-5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3">
        <v>53</v>
      </c>
      <c r="F64" s="163" t="n">
        <v>3.0</v>
      </c>
      <c r="G64" s="11">
        <f t="shared" si="1"/>
        <v>2.4575096580129559E-5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4">
        <v>54</v>
      </c>
      <c r="F65" s="164" t="n">
        <v>7.0</v>
      </c>
      <c r="G65" s="11">
        <f t="shared" si="1"/>
        <v>3.4405135212181383E-5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5">
        <v>55</v>
      </c>
      <c r="F66" s="165" t="n">
        <v>3.0</v>
      </c>
      <c r="G66" s="11">
        <f t="shared" si="1"/>
        <v>1.4745057948077736E-5</v>
      </c>
    </row>
    <row r="67" spans="1:7" x14ac:dyDescent="0.25">
      <c r="A67">
        <v>56</v>
      </c>
      <c r="B67" s="8" t="n">
        <v>57.0086578827934</v>
      </c>
      <c r="C67" s="11">
        <f t="shared" si="0"/>
        <v>2.8316813699995206E-4</v>
      </c>
      <c r="E67" s="76">
        <v>56</v>
      </c>
      <c r="F67" s="166" t="n">
        <v>3.0</v>
      </c>
      <c r="G67" s="11">
        <f t="shared" si="1"/>
        <v>2.9490115896155473E-5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7">
        <v>57</v>
      </c>
      <c r="F68" s="167" t="n">
        <v>1.0</v>
      </c>
      <c r="G68" s="11">
        <f t="shared" si="1"/>
        <v>1.9660077264103649E-5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8">
        <v>58</v>
      </c>
      <c r="F69" s="168" t="n">
        <v>1.0</v>
      </c>
      <c r="G69" s="11">
        <f t="shared" si="1"/>
        <v>1.4745057948077736E-5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9">
        <v>59</v>
      </c>
      <c r="F70" s="169" t="n">
        <v>1.0</v>
      </c>
      <c r="G70" s="11">
        <f t="shared" si="1"/>
        <v>9.8300386320518243E-6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80">
        <v>60</v>
      </c>
      <c r="F71" s="170" t="n">
        <v>2.0</v>
      </c>
      <c r="G71" s="11">
        <f t="shared" si="1"/>
        <v>2.4575096580129559E-5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1">
        <v>61</v>
      </c>
      <c r="F72" s="171" t="n">
        <v>0.0</v>
      </c>
      <c r="G72" s="11">
        <f t="shared" si="1"/>
        <v>1.9660077264103649E-5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2">
        <v>62</v>
      </c>
      <c r="F73" s="172" t="n">
        <v>0.0</v>
      </c>
      <c r="G73" s="11">
        <f t="shared" si="1"/>
        <v>1.4745057948077736E-5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3">
        <v>63</v>
      </c>
      <c r="F74" s="173" t="n">
        <v>0.0</v>
      </c>
      <c r="G74" s="11">
        <f t="shared" si="1"/>
        <v>4.9150193160259121E-6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4">
        <v>64</v>
      </c>
      <c r="F75" s="174" t="n">
        <v>0.0</v>
      </c>
      <c r="G75" s="11">
        <f t="shared" si="1"/>
        <v>4.9150193160259121E-6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5">
        <v>65</v>
      </c>
      <c r="F76" s="175" t="n">
        <v>0.0</v>
      </c>
      <c r="G76" s="11">
        <f t="shared" si="1"/>
        <v>4.9150193160259121E-6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6">
        <v>66</v>
      </c>
      <c r="F77" s="176" t="n">
        <v>0.0</v>
      </c>
      <c r="G77" s="11">
        <f t="shared" ref="G77:G102" si="3">F77/F$102</f>
        <v>4.9150193160259121E-6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7">
        <v>67</v>
      </c>
      <c r="F78" s="177" t="n">
        <v>0.0</v>
      </c>
      <c r="G78" s="11">
        <f t="shared" si="3"/>
        <v>4.9150193160259121E-6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8">
        <v>68</v>
      </c>
      <c r="F79" s="178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9">
        <v>69</v>
      </c>
      <c r="F80" s="179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90">
        <v>70</v>
      </c>
      <c r="F81" s="180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1">
        <v>71</v>
      </c>
      <c r="F82" s="181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2">
        <v>72</v>
      </c>
      <c r="F83" s="182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3">
        <v>73</v>
      </c>
      <c r="F84" s="183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4">
        <v>74</v>
      </c>
      <c r="F85" s="184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5">
        <v>75</v>
      </c>
      <c r="F86" s="185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6">
        <v>76</v>
      </c>
      <c r="F87" s="186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7">
        <v>77</v>
      </c>
      <c r="F88" s="187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8">
        <v>78</v>
      </c>
      <c r="F89" s="188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9">
        <v>79</v>
      </c>
      <c r="F90" s="189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100">
        <v>80</v>
      </c>
      <c r="F91" s="190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1">
        <v>81</v>
      </c>
      <c r="F92" s="191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2">
        <v>82</v>
      </c>
      <c r="F93" s="192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3">
        <v>83</v>
      </c>
      <c r="F94" s="193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4">
        <v>84</v>
      </c>
      <c r="F95" s="194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5">
        <v>85</v>
      </c>
      <c r="F96" s="195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6">
        <v>86</v>
      </c>
      <c r="F97" s="196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7">
        <v>87</v>
      </c>
      <c r="F98" s="197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8">
        <v>88</v>
      </c>
      <c r="F99" s="198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9">
        <v>89</v>
      </c>
      <c r="F100" s="199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97">
        <v>90</v>
      </c>
      <c r="F101" s="397" t="n">
        <v>0.0</v>
      </c>
      <c r="G101" s="11">
        <f t="shared" si="3"/>
        <v>0</v>
      </c>
    </row>
    <row r="102" spans="1:7" x14ac:dyDescent="0.25">
      <c r="B102" s="8">
        <f>SUM(B11:B101)</f>
        <v>201324.40918945288</v>
      </c>
      <c r="C102" s="11">
        <f t="shared" si="2"/>
        <v>1</v>
      </c>
      <c r="F102" s="8">
        <f>SUM(F11:F101)</f>
        <v>203458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633.0</v>
      </c>
      <c r="G11" s="11">
        <f>F11/F$102</f>
        <v>3.2242526713129982E-3</v>
      </c>
      <c r="K11" s="8" t="n">
        <v>13.507009509387238</v>
      </c>
      <c r="L11" s="8" t="n">
        <v>14.431281174030667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1">
        <v>1</v>
      </c>
      <c r="F12" s="291" t="n">
        <v>1882.0</v>
      </c>
      <c r="G12" s="11">
        <f>F12/F$102</f>
        <v>1.3649008640603958E-2</v>
      </c>
      <c r="K12" s="8"/>
      <c r="L12" s="381"/>
    </row>
    <row r="13" spans="1:12" x14ac:dyDescent="0.25">
      <c r="A13">
        <v>2</v>
      </c>
      <c r="B13" s="8" t="n">
        <v>636.5861605886021</v>
      </c>
      <c r="C13" s="11">
        <f t="shared" ref="C13:C76" si="0">B13/B$102</f>
        <v>3.1619919469851945E-3</v>
      </c>
      <c r="E13" s="202">
        <v>2</v>
      </c>
      <c r="F13" s="292" t="n">
        <v>2601.0</v>
      </c>
      <c r="G13" s="11">
        <f t="shared" ref="G13:G76" si="1">F13/F$102</f>
        <v>1.6809366060808618E-2</v>
      </c>
    </row>
    <row r="14" spans="1:12" x14ac:dyDescent="0.25">
      <c r="A14">
        <v>3</v>
      </c>
      <c r="B14" s="8" t="n">
        <v>12570.75281339655</v>
      </c>
      <c r="C14" s="11">
        <f t="shared" si="0"/>
        <v>6.2440281652916999E-2</v>
      </c>
      <c r="E14" s="203">
        <v>3</v>
      </c>
      <c r="F14" s="293" t="n">
        <v>4026.0</v>
      </c>
      <c r="G14" s="11">
        <f t="shared" si="1"/>
        <v>2.9932467634597806E-2</v>
      </c>
    </row>
    <row r="15" spans="1:12" x14ac:dyDescent="0.25">
      <c r="A15">
        <v>4</v>
      </c>
      <c r="B15" s="8" t="n">
        <v>12543.404305132115</v>
      </c>
      <c r="C15" s="11">
        <f t="shared" si="0"/>
        <v>6.2304438670068858E-2</v>
      </c>
      <c r="E15" s="204">
        <v>4</v>
      </c>
      <c r="F15" s="294" t="n">
        <v>6958.0</v>
      </c>
      <c r="G15" s="11">
        <f t="shared" si="1"/>
        <v>4.9867785980398906E-2</v>
      </c>
    </row>
    <row r="16" spans="1:12" x14ac:dyDescent="0.25">
      <c r="A16">
        <v>5</v>
      </c>
      <c r="B16" s="8" t="n">
        <v>18574.43521286098</v>
      </c>
      <c r="C16" s="11">
        <f t="shared" si="0"/>
        <v>9.2261218039298085E-2</v>
      </c>
      <c r="E16" s="205">
        <v>5</v>
      </c>
      <c r="F16" s="295" t="n">
        <v>11336.0</v>
      </c>
      <c r="G16" s="11">
        <f t="shared" si="1"/>
        <v>6.8613669651721734E-2</v>
      </c>
    </row>
    <row r="17" spans="1:7" x14ac:dyDescent="0.25">
      <c r="A17">
        <v>6</v>
      </c>
      <c r="B17" s="8" t="n">
        <v>14953.962314389792</v>
      </c>
      <c r="C17" s="11">
        <f t="shared" si="0"/>
        <v>7.4277939642766425E-2</v>
      </c>
      <c r="E17" s="206">
        <v>6</v>
      </c>
      <c r="F17" s="296" t="n">
        <v>16020.0</v>
      </c>
      <c r="G17" s="11">
        <f t="shared" si="1"/>
        <v>7.9574162726459521E-2</v>
      </c>
    </row>
    <row r="18" spans="1:7" x14ac:dyDescent="0.25">
      <c r="A18">
        <v>7</v>
      </c>
      <c r="B18" s="8" t="n">
        <v>14039.904415904513</v>
      </c>
      <c r="C18" s="11">
        <f t="shared" si="0"/>
        <v>6.9737715721755841E-2</v>
      </c>
      <c r="E18" s="207">
        <v>7</v>
      </c>
      <c r="F18" s="297" t="n">
        <v>18399.0</v>
      </c>
      <c r="G18" s="11">
        <f t="shared" si="1"/>
        <v>7.9426712146978731E-2</v>
      </c>
    </row>
    <row r="19" spans="1:7" x14ac:dyDescent="0.25">
      <c r="A19">
        <v>8</v>
      </c>
      <c r="B19" s="8" t="n">
        <v>14285.14813995459</v>
      </c>
      <c r="C19" s="11">
        <f t="shared" si="0"/>
        <v>7.0955867683743193E-2</v>
      </c>
      <c r="E19" s="208">
        <v>8</v>
      </c>
      <c r="F19" s="298" t="n">
        <v>16740.0</v>
      </c>
      <c r="G19" s="11">
        <f t="shared" si="1"/>
        <v>7.5175220438616325E-2</v>
      </c>
    </row>
    <row r="20" spans="1:7" x14ac:dyDescent="0.25">
      <c r="A20">
        <v>9</v>
      </c>
      <c r="B20" s="8" t="n">
        <v>10359.898896417657</v>
      </c>
      <c r="C20" s="11">
        <f t="shared" si="0"/>
        <v>5.1458732391801792E-2</v>
      </c>
      <c r="E20" s="209">
        <v>9</v>
      </c>
      <c r="F20" s="299" t="n">
        <v>14344.0</v>
      </c>
      <c r="G20" s="11">
        <f t="shared" si="1"/>
        <v>6.6151244974392745E-2</v>
      </c>
    </row>
    <row r="21" spans="1:7" x14ac:dyDescent="0.25">
      <c r="A21">
        <v>10</v>
      </c>
      <c r="B21" s="8" t="n">
        <v>14949.691805746017</v>
      </c>
      <c r="C21" s="11">
        <f t="shared" si="0"/>
        <v>7.4256727566888656E-2</v>
      </c>
      <c r="E21" s="210">
        <v>10</v>
      </c>
      <c r="F21" s="300" t="n">
        <v>12642.0</v>
      </c>
      <c r="G21" s="11">
        <f t="shared" si="1"/>
        <v>5.8783631019669907E-2</v>
      </c>
    </row>
    <row r="22" spans="1:7" x14ac:dyDescent="0.25">
      <c r="A22">
        <v>11</v>
      </c>
      <c r="B22" s="8" t="n">
        <v>10213.906244668733</v>
      </c>
      <c r="C22" s="11">
        <f t="shared" si="0"/>
        <v>5.0733571183895099E-2</v>
      </c>
      <c r="E22" s="211">
        <v>11</v>
      </c>
      <c r="F22" s="301" t="n">
        <v>11060.0</v>
      </c>
      <c r="G22" s="11">
        <f t="shared" si="1"/>
        <v>5.1224331311622052E-2</v>
      </c>
    </row>
    <row r="23" spans="1:7" x14ac:dyDescent="0.25">
      <c r="A23">
        <v>12</v>
      </c>
      <c r="B23" s="8" t="n">
        <v>8630.836462198791</v>
      </c>
      <c r="C23" s="11">
        <f t="shared" si="0"/>
        <v>4.2870293259258445E-2</v>
      </c>
      <c r="E23" s="212">
        <v>12</v>
      </c>
      <c r="F23" s="302" t="n">
        <v>9659.0</v>
      </c>
      <c r="G23" s="11">
        <f t="shared" si="1"/>
        <v>4.6299481956964088E-2</v>
      </c>
    </row>
    <row r="24" spans="1:7" x14ac:dyDescent="0.25">
      <c r="A24">
        <v>13</v>
      </c>
      <c r="B24" s="8" t="n">
        <v>5409.8114591653775</v>
      </c>
      <c r="C24" s="11">
        <f t="shared" si="0"/>
        <v>2.6871115534105788E-2</v>
      </c>
      <c r="E24" s="213">
        <v>13</v>
      </c>
      <c r="F24" s="303" t="n">
        <v>8539.0</v>
      </c>
      <c r="G24" s="11">
        <f t="shared" si="1"/>
        <v>3.8528836418327127E-2</v>
      </c>
    </row>
    <row r="25" spans="1:7" x14ac:dyDescent="0.25">
      <c r="A25">
        <v>14</v>
      </c>
      <c r="B25" s="8" t="n">
        <v>8784.173324087811</v>
      </c>
      <c r="C25" s="11">
        <f t="shared" si="0"/>
        <v>4.363193394906037E-2</v>
      </c>
      <c r="E25" s="214">
        <v>14</v>
      </c>
      <c r="F25" s="304" t="n">
        <v>7369.0</v>
      </c>
      <c r="G25" s="11">
        <f t="shared" si="1"/>
        <v>3.3412301310344152E-2</v>
      </c>
    </row>
    <row r="26" spans="1:7" x14ac:dyDescent="0.25">
      <c r="A26">
        <v>15</v>
      </c>
      <c r="B26" s="8" t="n">
        <v>4955.0291142616325</v>
      </c>
      <c r="C26" s="11">
        <f t="shared" si="0"/>
        <v>2.4612162699053482E-2</v>
      </c>
      <c r="E26" s="215">
        <v>15</v>
      </c>
      <c r="F26" s="305" t="n">
        <v>6494.0</v>
      </c>
      <c r="G26" s="11">
        <f t="shared" si="1"/>
        <v>2.7951714850239361E-2</v>
      </c>
    </row>
    <row r="27" spans="1:7" x14ac:dyDescent="0.25">
      <c r="A27">
        <v>16</v>
      </c>
      <c r="B27" s="8" t="n">
        <v>4756.139682873513</v>
      </c>
      <c r="C27" s="11">
        <f t="shared" si="0"/>
        <v>2.3624257495760633E-2</v>
      </c>
      <c r="E27" s="216">
        <v>16</v>
      </c>
      <c r="F27" s="306" t="n">
        <v>5598.0</v>
      </c>
      <c r="G27" s="11">
        <f t="shared" si="1"/>
        <v>2.371988321914105E-2</v>
      </c>
    </row>
    <row r="28" spans="1:7" x14ac:dyDescent="0.25">
      <c r="A28">
        <v>17</v>
      </c>
      <c r="B28" s="8" t="n">
        <v>3678.8538028759544</v>
      </c>
      <c r="C28" s="11">
        <f t="shared" si="0"/>
        <v>1.8273262629639866E-2</v>
      </c>
      <c r="E28" s="217">
        <v>17</v>
      </c>
      <c r="F28" s="307" t="n">
        <v>4844.0</v>
      </c>
      <c r="G28" s="11">
        <f t="shared" si="1"/>
        <v>2.0205644408182524E-2</v>
      </c>
    </row>
    <row r="29" spans="1:7" x14ac:dyDescent="0.25">
      <c r="A29">
        <v>18</v>
      </c>
      <c r="B29" s="8" t="n">
        <v>4001.5948776118194</v>
      </c>
      <c r="C29" s="11">
        <f t="shared" si="0"/>
        <v>1.9876352270062729E-2</v>
      </c>
      <c r="E29" s="218">
        <v>18</v>
      </c>
      <c r="F29" s="308" t="n">
        <v>4203.0</v>
      </c>
      <c r="G29" s="11">
        <f t="shared" si="1"/>
        <v>1.7605599190004817E-2</v>
      </c>
    </row>
    <row r="30" spans="1:7" x14ac:dyDescent="0.25">
      <c r="A30">
        <v>19</v>
      </c>
      <c r="B30" s="8" t="n">
        <v>2323.136827059957</v>
      </c>
      <c r="C30" s="11">
        <f t="shared" si="0"/>
        <v>1.1539270555483457E-2</v>
      </c>
      <c r="E30" s="219">
        <v>19</v>
      </c>
      <c r="F30" s="309" t="n">
        <v>3733.0</v>
      </c>
      <c r="G30" s="11">
        <f t="shared" si="1"/>
        <v>1.5467565787533544E-2</v>
      </c>
    </row>
    <row r="31" spans="1:7" x14ac:dyDescent="0.25">
      <c r="A31">
        <v>20</v>
      </c>
      <c r="B31" s="8" t="n">
        <v>1849.332107084536</v>
      </c>
      <c r="C31" s="11">
        <f t="shared" si="0"/>
        <v>9.1858315369213565E-3</v>
      </c>
      <c r="E31" s="220">
        <v>20</v>
      </c>
      <c r="F31" s="310" t="n">
        <v>3384.0</v>
      </c>
      <c r="G31" s="11">
        <f t="shared" si="1"/>
        <v>1.4514052040224518E-2</v>
      </c>
    </row>
    <row r="32" spans="1:7" x14ac:dyDescent="0.25">
      <c r="A32">
        <v>21</v>
      </c>
      <c r="B32" s="8" t="n">
        <v>1364.1482953944894</v>
      </c>
      <c r="C32" s="11">
        <f t="shared" si="0"/>
        <v>6.7758713455892032E-3</v>
      </c>
      <c r="E32" s="221">
        <v>21</v>
      </c>
      <c r="F32" s="311" t="n">
        <v>3126.0</v>
      </c>
      <c r="G32" s="11">
        <f t="shared" si="1"/>
        <v>1.2887180646619941E-2</v>
      </c>
    </row>
    <row r="33" spans="1:7" x14ac:dyDescent="0.25">
      <c r="A33">
        <v>22</v>
      </c>
      <c r="B33" s="8" t="n">
        <v>2515.042698484846</v>
      </c>
      <c r="C33" s="11">
        <f t="shared" si="0"/>
        <v>1.2492487665110236E-2</v>
      </c>
      <c r="E33" s="222">
        <v>22</v>
      </c>
      <c r="F33" s="312" t="n">
        <v>2683.0</v>
      </c>
      <c r="G33" s="11">
        <f t="shared" si="1"/>
        <v>1.1579785508557049E-2</v>
      </c>
    </row>
    <row r="34" spans="1:7" x14ac:dyDescent="0.25">
      <c r="A34">
        <v>23</v>
      </c>
      <c r="B34" s="8" t="n">
        <v>3412.635673967222</v>
      </c>
      <c r="C34" s="11">
        <f t="shared" si="0"/>
        <v>1.6950928542180992E-2</v>
      </c>
      <c r="E34" s="223">
        <v>23</v>
      </c>
      <c r="F34" s="313" t="n">
        <v>2443.0</v>
      </c>
      <c r="G34" s="11">
        <f t="shared" si="1"/>
        <v>1.1260309253015365E-2</v>
      </c>
    </row>
    <row r="35" spans="1:7" x14ac:dyDescent="0.25">
      <c r="A35">
        <v>24</v>
      </c>
      <c r="B35" s="8" t="n">
        <v>3007.700168753419</v>
      </c>
      <c r="C35" s="11">
        <f t="shared" si="0"/>
        <v>1.4939570322658064E-2</v>
      </c>
      <c r="E35" s="224">
        <v>24</v>
      </c>
      <c r="F35" s="314" t="n">
        <v>2201.0</v>
      </c>
      <c r="G35" s="11">
        <f t="shared" si="1"/>
        <v>1.0577121568087763E-2</v>
      </c>
    </row>
    <row r="36" spans="1:7" x14ac:dyDescent="0.25">
      <c r="A36">
        <v>25</v>
      </c>
      <c r="B36" s="8" t="n">
        <v>910.8780849174906</v>
      </c>
      <c r="C36" s="11">
        <f t="shared" si="0"/>
        <v>4.5244294449180494E-3</v>
      </c>
      <c r="E36" s="225">
        <v>25</v>
      </c>
      <c r="F36" s="315" t="n">
        <v>2019.0</v>
      </c>
      <c r="G36" s="11">
        <f t="shared" si="1"/>
        <v>9.9234239990563158E-3</v>
      </c>
    </row>
    <row r="37" spans="1:7" x14ac:dyDescent="0.25">
      <c r="A37">
        <v>26</v>
      </c>
      <c r="B37" s="8" t="n">
        <v>299.4735968643952</v>
      </c>
      <c r="C37" s="11">
        <f t="shared" si="0"/>
        <v>1.4875175745956402E-3</v>
      </c>
      <c r="E37" s="226">
        <v>26</v>
      </c>
      <c r="F37" s="316" t="n">
        <v>1858.0</v>
      </c>
      <c r="G37" s="11">
        <f t="shared" si="1"/>
        <v>8.9109300199549778E-3</v>
      </c>
    </row>
    <row r="38" spans="1:7" x14ac:dyDescent="0.25">
      <c r="A38">
        <v>27</v>
      </c>
      <c r="B38" s="8" t="n">
        <v>2258.9457186702207</v>
      </c>
      <c r="C38" s="11">
        <f t="shared" si="0"/>
        <v>1.1220426414089105E-2</v>
      </c>
      <c r="E38" s="227">
        <v>27</v>
      </c>
      <c r="F38" s="317" t="n">
        <v>1726.0</v>
      </c>
      <c r="G38" s="11">
        <f t="shared" si="1"/>
        <v>8.1835071611831428E-3</v>
      </c>
    </row>
    <row r="39" spans="1:7" x14ac:dyDescent="0.25">
      <c r="A39">
        <v>28</v>
      </c>
      <c r="B39" s="8" t="n">
        <v>2438.530095207052</v>
      </c>
      <c r="C39" s="11">
        <f t="shared" si="0"/>
        <v>1.2112441332994625E-2</v>
      </c>
      <c r="E39" s="228">
        <v>28</v>
      </c>
      <c r="F39" s="318" t="n">
        <v>1527.0</v>
      </c>
      <c r="G39" s="11">
        <f t="shared" si="1"/>
        <v>7.4659143410433599E-3</v>
      </c>
    </row>
    <row r="40" spans="1:7" x14ac:dyDescent="0.25">
      <c r="A40">
        <v>29</v>
      </c>
      <c r="B40" s="8" t="n">
        <v>1698.2682349368824</v>
      </c>
      <c r="C40" s="11">
        <f t="shared" si="0"/>
        <v>8.4354810317051835E-3</v>
      </c>
      <c r="E40" s="229">
        <v>29</v>
      </c>
      <c r="F40" s="319" t="n">
        <v>1429.0</v>
      </c>
      <c r="G40" s="11">
        <f t="shared" si="1"/>
        <v>7.1169479696055202E-3</v>
      </c>
    </row>
    <row r="41" spans="1:7" x14ac:dyDescent="0.25">
      <c r="A41">
        <v>30</v>
      </c>
      <c r="B41" s="8" t="n">
        <v>1233.0644839223373</v>
      </c>
      <c r="C41" s="11">
        <f t="shared" si="0"/>
        <v>6.1247639513099632E-3</v>
      </c>
      <c r="E41" s="230">
        <v>30</v>
      </c>
      <c r="F41" s="320" t="n">
        <v>1339.0</v>
      </c>
      <c r="G41" s="11">
        <f t="shared" si="1"/>
        <v>6.6549361538990846E-3</v>
      </c>
    </row>
    <row r="42" spans="1:7" x14ac:dyDescent="0.25">
      <c r="A42">
        <v>31</v>
      </c>
      <c r="B42" s="8" t="n">
        <v>1131.200531998024</v>
      </c>
      <c r="C42" s="11">
        <f t="shared" si="0"/>
        <v>5.6187947430335044E-3</v>
      </c>
      <c r="E42" s="231">
        <v>31</v>
      </c>
      <c r="F42" s="321" t="n">
        <v>1222.0</v>
      </c>
      <c r="G42" s="11">
        <f t="shared" si="1"/>
        <v>6.3895251108336852E-3</v>
      </c>
    </row>
    <row r="43" spans="1:7" x14ac:dyDescent="0.25">
      <c r="A43">
        <v>32</v>
      </c>
      <c r="B43" s="8" t="n">
        <v>263.0873985432358</v>
      </c>
      <c r="C43" s="11">
        <f t="shared" si="0"/>
        <v>1.3067834129127478E-3</v>
      </c>
      <c r="E43" s="232">
        <v>32</v>
      </c>
      <c r="F43" s="322" t="n">
        <v>1184.0</v>
      </c>
      <c r="G43" s="11">
        <f t="shared" si="1"/>
        <v>5.5638018657413321E-3</v>
      </c>
    </row>
    <row r="44" spans="1:7" x14ac:dyDescent="0.25">
      <c r="A44">
        <v>33</v>
      </c>
      <c r="B44" s="8" t="n">
        <v>558.1018309691877</v>
      </c>
      <c r="C44" s="11">
        <f t="shared" si="0"/>
        <v>2.7721518380018966E-3</v>
      </c>
      <c r="E44" s="233">
        <v>33</v>
      </c>
      <c r="F44" s="323" t="n">
        <v>1062.0</v>
      </c>
      <c r="G44" s="11">
        <f t="shared" si="1"/>
        <v>5.1509402431951555E-3</v>
      </c>
    </row>
    <row r="45" spans="1:7" x14ac:dyDescent="0.25">
      <c r="A45">
        <v>34</v>
      </c>
      <c r="B45" s="8" t="n">
        <v>1933.4160701208598</v>
      </c>
      <c r="C45" s="11">
        <f t="shared" si="0"/>
        <v>9.6034856275249349E-3</v>
      </c>
      <c r="E45" s="234">
        <v>34</v>
      </c>
      <c r="F45" s="324" t="n">
        <v>1030.0</v>
      </c>
      <c r="G45" s="11">
        <f t="shared" si="1"/>
        <v>4.934679393290016E-3</v>
      </c>
    </row>
    <row r="46" spans="1:7" x14ac:dyDescent="0.25">
      <c r="A46">
        <v>35</v>
      </c>
      <c r="B46" s="8" t="n">
        <v>1122.1683527618197</v>
      </c>
      <c r="C46" s="11">
        <f t="shared" si="0"/>
        <v>5.57393093703716E-3</v>
      </c>
      <c r="E46" s="235">
        <v>35</v>
      </c>
      <c r="F46" s="325" t="n">
        <v>958.0</v>
      </c>
      <c r="G46" s="11">
        <f t="shared" si="1"/>
        <v>4.860954103549627E-3</v>
      </c>
    </row>
    <row r="47" spans="1:7" x14ac:dyDescent="0.25">
      <c r="A47">
        <v>36</v>
      </c>
      <c r="B47" s="8" t="n">
        <v>790.075107052363</v>
      </c>
      <c r="C47" s="11">
        <f t="shared" si="0"/>
        <v>3.9243880572319293E-3</v>
      </c>
      <c r="E47" s="236">
        <v>36</v>
      </c>
      <c r="F47" s="326" t="n">
        <v>909.0</v>
      </c>
      <c r="G47" s="11">
        <f t="shared" si="1"/>
        <v>4.2809818242585691E-3</v>
      </c>
    </row>
    <row r="48" spans="1:7" x14ac:dyDescent="0.25">
      <c r="A48">
        <v>37</v>
      </c>
      <c r="B48" s="8" t="n">
        <v>1003.63093985126</v>
      </c>
      <c r="C48" s="11">
        <f t="shared" si="0"/>
        <v>4.9851428542219654E-3</v>
      </c>
      <c r="E48" s="237">
        <v>37</v>
      </c>
      <c r="F48" s="327" t="n">
        <v>817.0</v>
      </c>
      <c r="G48" s="11">
        <f t="shared" si="1"/>
        <v>4.0794660323015073E-3</v>
      </c>
    </row>
    <row r="49" spans="1:7" x14ac:dyDescent="0.25">
      <c r="A49">
        <v>38</v>
      </c>
      <c r="B49" s="8" t="n">
        <v>148.9988919634354</v>
      </c>
      <c r="C49" s="11">
        <f t="shared" si="0"/>
        <v>7.4009352647955639E-4</v>
      </c>
      <c r="E49" s="238">
        <v>38</v>
      </c>
      <c r="F49" s="328" t="n">
        <v>790.0</v>
      </c>
      <c r="G49" s="11">
        <f t="shared" si="1"/>
        <v>3.8189700085521335E-3</v>
      </c>
    </row>
    <row r="50" spans="1:7" x14ac:dyDescent="0.25">
      <c r="A50">
        <v>39</v>
      </c>
      <c r="B50" s="8" t="n">
        <v>356.0189077519506</v>
      </c>
      <c r="C50" s="11">
        <f t="shared" si="0"/>
        <v>1.7683842172208991E-3</v>
      </c>
      <c r="E50" s="239">
        <v>39</v>
      </c>
      <c r="F50" s="329" t="n">
        <v>719.0</v>
      </c>
      <c r="G50" s="11">
        <f t="shared" si="1"/>
        <v>3.3569581928456979E-3</v>
      </c>
    </row>
    <row r="51" spans="1:7" x14ac:dyDescent="0.25">
      <c r="A51">
        <v>40</v>
      </c>
      <c r="B51" s="8" t="n">
        <v>180.928619658587</v>
      </c>
      <c r="C51" s="11">
        <f t="shared" si="0"/>
        <v>8.9869191911213912E-4</v>
      </c>
      <c r="E51" s="240">
        <v>40</v>
      </c>
      <c r="F51" s="330" t="n">
        <v>673.0</v>
      </c>
      <c r="G51" s="11">
        <f t="shared" si="1"/>
        <v>3.1996775747328687E-3</v>
      </c>
    </row>
    <row r="52" spans="1:7" x14ac:dyDescent="0.25">
      <c r="A52">
        <v>41</v>
      </c>
      <c r="B52" s="8" t="n">
        <v>701.2113789874647</v>
      </c>
      <c r="C52" s="11">
        <f t="shared" si="0"/>
        <v>3.4829923594987522E-3</v>
      </c>
      <c r="E52" s="241">
        <v>41</v>
      </c>
      <c r="F52" s="331" t="n">
        <v>633.0</v>
      </c>
      <c r="G52" s="11">
        <f t="shared" si="1"/>
        <v>2.9834167248277287E-3</v>
      </c>
    </row>
    <row r="53" spans="1:7" x14ac:dyDescent="0.25">
      <c r="A53">
        <v>42</v>
      </c>
      <c r="B53" s="8" t="n">
        <v>255.0302746342143</v>
      </c>
      <c r="C53" s="11">
        <f t="shared" si="0"/>
        <v>1.2667628116281838E-3</v>
      </c>
      <c r="E53" s="242">
        <v>42</v>
      </c>
      <c r="F53" s="332" t="n">
        <v>608.0</v>
      </c>
      <c r="G53" s="11">
        <f t="shared" si="1"/>
        <v>2.6000452181777073E-3</v>
      </c>
    </row>
    <row r="54" spans="1:7" x14ac:dyDescent="0.25">
      <c r="A54">
        <v>43</v>
      </c>
      <c r="B54" s="8" t="n">
        <v>496.6850491029992</v>
      </c>
      <c r="C54" s="11">
        <f t="shared" si="0"/>
        <v>2.4670880749268821E-3</v>
      </c>
      <c r="E54" s="243">
        <v>43</v>
      </c>
      <c r="F54" s="333" t="n">
        <v>528.0</v>
      </c>
      <c r="G54" s="11">
        <f t="shared" si="1"/>
        <v>2.3100590785321787E-3</v>
      </c>
    </row>
    <row r="55" spans="1:7" x14ac:dyDescent="0.25">
      <c r="A55">
        <v>44</v>
      </c>
      <c r="B55" s="8" t="n">
        <v>262.1956789860062</v>
      </c>
      <c r="C55" s="11">
        <f t="shared" si="0"/>
        <v>1.3023541459360323E-3</v>
      </c>
      <c r="E55" s="244">
        <v>44</v>
      </c>
      <c r="F55" s="334" t="n">
        <v>522.0</v>
      </c>
      <c r="G55" s="11">
        <f t="shared" si="1"/>
        <v>2.3297191557962822E-3</v>
      </c>
    </row>
    <row r="56" spans="1:7" x14ac:dyDescent="0.25">
      <c r="A56">
        <v>45</v>
      </c>
      <c r="B56" s="8" t="n">
        <v>301.2341461942255</v>
      </c>
      <c r="C56" s="11">
        <f t="shared" si="0"/>
        <v>1.4962624125262143E-3</v>
      </c>
      <c r="E56" s="245">
        <v>45</v>
      </c>
      <c r="F56" s="335" t="n">
        <v>459.0</v>
      </c>
      <c r="G56" s="11">
        <f t="shared" si="1"/>
        <v>2.0593930934148571E-3</v>
      </c>
    </row>
    <row r="57" spans="1:7" x14ac:dyDescent="0.25">
      <c r="A57">
        <v>46</v>
      </c>
      <c r="B57" s="8" t="n">
        <v>155.5207686320592</v>
      </c>
      <c r="C57" s="11">
        <f t="shared" si="0"/>
        <v>7.7248838955096125E-4</v>
      </c>
      <c r="E57" s="246">
        <v>46</v>
      </c>
      <c r="F57" s="336" t="n">
        <v>453.0</v>
      </c>
      <c r="G57" s="11">
        <f t="shared" si="1"/>
        <v>1.8431322435097171E-3</v>
      </c>
    </row>
    <row r="58" spans="1:7" x14ac:dyDescent="0.25">
      <c r="A58">
        <v>47</v>
      </c>
      <c r="B58" s="8" t="n">
        <v>319.9365383222075</v>
      </c>
      <c r="C58" s="11">
        <f t="shared" si="0"/>
        <v>1.5891592063292073E-3</v>
      </c>
      <c r="E58" s="247">
        <v>47</v>
      </c>
      <c r="F58" s="337" t="n">
        <v>411.0</v>
      </c>
      <c r="G58" s="11">
        <f t="shared" si="1"/>
        <v>1.680936606080862E-3</v>
      </c>
    </row>
    <row r="59" spans="1:7" x14ac:dyDescent="0.25">
      <c r="A59">
        <v>48</v>
      </c>
      <c r="B59" s="8" t="n">
        <v>372.9100135587782</v>
      </c>
      <c r="C59" s="11">
        <f t="shared" si="0"/>
        <v>1.8522841569988545E-3</v>
      </c>
      <c r="E59" s="248">
        <v>48</v>
      </c>
      <c r="F59" s="338" t="n">
        <v>372.0</v>
      </c>
      <c r="G59" s="11">
        <f t="shared" si="1"/>
        <v>1.4745057948077735E-3</v>
      </c>
    </row>
    <row r="60" spans="1:7" x14ac:dyDescent="0.25">
      <c r="A60">
        <v>49</v>
      </c>
      <c r="B60" s="8" t="n">
        <v>366.73725743706245</v>
      </c>
      <c r="C60" s="11">
        <f t="shared" si="0"/>
        <v>1.8216234132441965E-3</v>
      </c>
      <c r="E60" s="249">
        <v>49</v>
      </c>
      <c r="F60" s="339" t="n">
        <v>368.0</v>
      </c>
      <c r="G60" s="11">
        <f t="shared" si="1"/>
        <v>1.3958654857513591E-3</v>
      </c>
    </row>
    <row r="61" spans="1:7" x14ac:dyDescent="0.25">
      <c r="A61">
        <v>50</v>
      </c>
      <c r="B61" s="8" t="n">
        <v>359.253715246518</v>
      </c>
      <c r="C61" s="11">
        <f t="shared" si="0"/>
        <v>1.7844518540642952E-3</v>
      </c>
      <c r="E61" s="250">
        <v>50</v>
      </c>
      <c r="F61" s="340" t="n">
        <v>327.0</v>
      </c>
      <c r="G61" s="11">
        <f t="shared" si="1"/>
        <v>1.2140097710584003E-3</v>
      </c>
    </row>
    <row r="62" spans="1:7" x14ac:dyDescent="0.25">
      <c r="A62">
        <v>51</v>
      </c>
      <c r="B62" s="8" t="n">
        <v>572.3030254927426</v>
      </c>
      <c r="C62" s="11">
        <f t="shared" si="0"/>
        <v>2.8426906990408033E-3</v>
      </c>
      <c r="E62" s="251">
        <v>51</v>
      </c>
      <c r="F62" s="341" t="n">
        <v>315.0</v>
      </c>
      <c r="G62" s="11">
        <f t="shared" si="1"/>
        <v>8.9453351551671599E-4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2">
        <v>52</v>
      </c>
      <c r="F63" s="342" t="n">
        <v>289.0</v>
      </c>
      <c r="G63" s="11">
        <f t="shared" si="1"/>
        <v>1.0468991143135192E-3</v>
      </c>
    </row>
    <row r="64" spans="1:7" x14ac:dyDescent="0.25">
      <c r="A64">
        <v>53</v>
      </c>
      <c r="B64" s="8" t="n">
        <v>292.2554348534418</v>
      </c>
      <c r="C64" s="11">
        <f t="shared" si="0"/>
        <v>1.4516641873187856E-3</v>
      </c>
      <c r="E64" s="253">
        <v>53</v>
      </c>
      <c r="F64" s="343" t="n">
        <v>258.0</v>
      </c>
      <c r="G64" s="11">
        <f t="shared" si="1"/>
        <v>8.4538332235645686E-4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254">
        <v>54</v>
      </c>
      <c r="F65" s="344" t="n">
        <v>245.0</v>
      </c>
      <c r="G65" s="11">
        <f t="shared" si="1"/>
        <v>8.1097818714427551E-4</v>
      </c>
    </row>
    <row r="66" spans="1:7" x14ac:dyDescent="0.25">
      <c r="A66">
        <v>55</v>
      </c>
      <c r="B66" s="8" t="n">
        <v>102.963014691288</v>
      </c>
      <c r="C66" s="11">
        <f t="shared" si="0"/>
        <v>5.1142837128306893E-4</v>
      </c>
      <c r="E66" s="255">
        <v>55</v>
      </c>
      <c r="F66" s="345" t="n">
        <v>216.0</v>
      </c>
      <c r="G66" s="11">
        <f t="shared" si="1"/>
        <v>6.9301772355965358E-4</v>
      </c>
    </row>
    <row r="67" spans="1:7" x14ac:dyDescent="0.25">
      <c r="A67">
        <v>56</v>
      </c>
      <c r="B67" s="8" t="n">
        <v>1058.2748406838916</v>
      </c>
      <c r="C67" s="11">
        <f t="shared" si="0"/>
        <v>5.2565649885405611E-3</v>
      </c>
      <c r="E67" s="256">
        <v>56</v>
      </c>
      <c r="F67" s="346" t="n">
        <v>220.0</v>
      </c>
      <c r="G67" s="11">
        <f t="shared" si="1"/>
        <v>6.094623951872131E-4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257">
        <v>57</v>
      </c>
      <c r="F68" s="347" t="n">
        <v>233.0</v>
      </c>
      <c r="G68" s="11">
        <f t="shared" si="1"/>
        <v>5.8980231792310944E-4</v>
      </c>
    </row>
    <row r="69" spans="1:7" x14ac:dyDescent="0.25">
      <c r="A69">
        <v>58</v>
      </c>
      <c r="B69" s="8" t="n">
        <v>52.8308760514471</v>
      </c>
      <c r="C69" s="11">
        <f t="shared" si="0"/>
        <v>2.6241664517555595E-4</v>
      </c>
      <c r="E69" s="258">
        <v>58</v>
      </c>
      <c r="F69" s="348" t="n">
        <v>208.0</v>
      </c>
      <c r="G69" s="11">
        <f t="shared" si="1"/>
        <v>5.3082208613079848E-4</v>
      </c>
    </row>
    <row r="70" spans="1:7" x14ac:dyDescent="0.25">
      <c r="A70">
        <v>59</v>
      </c>
      <c r="B70" s="8" t="n">
        <v>149.098075556061</v>
      </c>
      <c r="C70" s="11">
        <f t="shared" si="0"/>
        <v>7.4058618205482879E-4</v>
      </c>
      <c r="E70" s="259">
        <v>59</v>
      </c>
      <c r="F70" s="349" t="n">
        <v>127.0</v>
      </c>
      <c r="G70" s="11">
        <f t="shared" si="1"/>
        <v>4.47266757758358E-4</v>
      </c>
    </row>
    <row r="71" spans="1:7" x14ac:dyDescent="0.25">
      <c r="A71">
        <v>60</v>
      </c>
      <c r="B71" s="8" t="n">
        <v>117.300272855924</v>
      </c>
      <c r="C71" s="11">
        <f t="shared" si="0"/>
        <v>5.8264307506567968E-4</v>
      </c>
      <c r="E71" s="260">
        <v>60</v>
      </c>
      <c r="F71" s="350" t="n">
        <v>138.0</v>
      </c>
      <c r="G71" s="11">
        <f t="shared" si="1"/>
        <v>4.7184185433848757E-4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261">
        <v>61</v>
      </c>
      <c r="F72" s="351" t="n">
        <v>138.0</v>
      </c>
      <c r="G72" s="11">
        <f t="shared" si="1"/>
        <v>3.3422131348976203E-4</v>
      </c>
    </row>
    <row r="73" spans="1:7" x14ac:dyDescent="0.25">
      <c r="A73">
        <v>62</v>
      </c>
      <c r="B73" s="8" t="n">
        <v>142.6854074867414</v>
      </c>
      <c r="C73" s="11">
        <f t="shared" si="0"/>
        <v>7.0873376984541281E-4</v>
      </c>
      <c r="E73" s="262">
        <v>62</v>
      </c>
      <c r="F73" s="352" t="n">
        <v>101.0</v>
      </c>
      <c r="G73" s="11">
        <f t="shared" si="1"/>
        <v>3.9320154528207294E-4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263">
        <v>63</v>
      </c>
      <c r="F74" s="353" t="n">
        <v>114.0</v>
      </c>
      <c r="G74" s="11">
        <f t="shared" si="1"/>
        <v>2.3592092716924378E-4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264">
        <v>64</v>
      </c>
      <c r="F75" s="354" t="n">
        <v>93.0</v>
      </c>
      <c r="G75" s="11">
        <f t="shared" si="1"/>
        <v>2.8998613964552881E-4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5">
        <v>65</v>
      </c>
      <c r="F76" s="355" t="n">
        <v>87.0</v>
      </c>
      <c r="G76" s="11">
        <f t="shared" si="1"/>
        <v>1.5728061811282919E-4</v>
      </c>
    </row>
    <row r="77" spans="1:7" x14ac:dyDescent="0.25">
      <c r="A77">
        <v>66</v>
      </c>
      <c r="B77" s="8" t="n">
        <v>23.8693956888111</v>
      </c>
      <c r="C77" s="11">
        <f t="shared" ref="C77:C102" si="2">B77/B$102</f>
        <v>1.1856185638349105E-4</v>
      </c>
      <c r="E77" s="266">
        <v>66</v>
      </c>
      <c r="F77" s="356" t="n">
        <v>94.0</v>
      </c>
      <c r="G77" s="11">
        <f t="shared" ref="G77:G102" si="3">F77/F$102</f>
        <v>1.7202567606090693E-4</v>
      </c>
    </row>
    <row r="78" spans="1:7" x14ac:dyDescent="0.25">
      <c r="A78">
        <v>67</v>
      </c>
      <c r="B78" s="8" t="n">
        <v>164.22493919034912</v>
      </c>
      <c r="C78" s="11">
        <f t="shared" si="2"/>
        <v>8.1572294115517838E-4</v>
      </c>
      <c r="E78" s="267">
        <v>67</v>
      </c>
      <c r="F78" s="357" t="n">
        <v>69.0</v>
      </c>
      <c r="G78" s="11">
        <f t="shared" si="3"/>
        <v>1.8185571469295873E-4</v>
      </c>
    </row>
    <row r="79" spans="1:7" x14ac:dyDescent="0.25">
      <c r="A79">
        <v>68</v>
      </c>
      <c r="B79" s="8" t="n">
        <v>307.268184451148</v>
      </c>
      <c r="C79" s="11">
        <f t="shared" si="2"/>
        <v>1.5262341297224348E-3</v>
      </c>
      <c r="E79" s="268">
        <v>68</v>
      </c>
      <c r="F79" s="358" t="n">
        <v>64.0</v>
      </c>
      <c r="G79" s="11">
        <f t="shared" si="3"/>
        <v>1.7694069537693284E-4</v>
      </c>
    </row>
    <row r="80" spans="1:7" x14ac:dyDescent="0.25">
      <c r="A80">
        <v>69</v>
      </c>
      <c r="B80" s="8" t="n">
        <v>550.7005753987088</v>
      </c>
      <c r="C80" s="11">
        <f t="shared" si="2"/>
        <v>2.735389005316695E-3</v>
      </c>
      <c r="E80" s="269">
        <v>69</v>
      </c>
      <c r="F80" s="359" t="n">
        <v>58.0</v>
      </c>
      <c r="G80" s="11">
        <f t="shared" si="3"/>
        <v>9.3385367004492322E-5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70">
        <v>70</v>
      </c>
      <c r="F81" s="360" t="n">
        <v>48.0</v>
      </c>
      <c r="G81" s="11">
        <f t="shared" si="3"/>
        <v>1.0321540563654415E-4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1">
        <v>71</v>
      </c>
      <c r="F82" s="361" t="n">
        <v>41.0</v>
      </c>
      <c r="G82" s="11">
        <f t="shared" si="3"/>
        <v>6.8810270424362767E-5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2">
        <v>72</v>
      </c>
      <c r="F83" s="362" t="n">
        <v>31.0</v>
      </c>
      <c r="G83" s="11">
        <f t="shared" si="3"/>
        <v>6.3895251108336853E-5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3">
        <v>73</v>
      </c>
      <c r="F84" s="363" t="n">
        <v>48.0</v>
      </c>
      <c r="G84" s="11">
        <f t="shared" si="3"/>
        <v>5.8980231792310946E-5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4">
        <v>74</v>
      </c>
      <c r="F85" s="364" t="n">
        <v>28.0</v>
      </c>
      <c r="G85" s="11">
        <f t="shared" si="3"/>
        <v>5.8980231792310946E-5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5">
        <v>75</v>
      </c>
      <c r="F86" s="365" t="n">
        <v>22.0</v>
      </c>
      <c r="G86" s="11">
        <f t="shared" si="3"/>
        <v>8.3555328372440508E-5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6">
        <v>76</v>
      </c>
      <c r="F87" s="366" t="n">
        <v>25.0</v>
      </c>
      <c r="G87" s="11">
        <f t="shared" si="3"/>
        <v>5.8980231792310946E-5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7">
        <v>77</v>
      </c>
      <c r="F88" s="367" t="n">
        <v>22.0</v>
      </c>
      <c r="G88" s="11">
        <f t="shared" si="3"/>
        <v>7.8640309056414594E-5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8">
        <v>78</v>
      </c>
      <c r="F89" s="368" t="n">
        <v>28.0</v>
      </c>
      <c r="G89" s="11">
        <f t="shared" si="3"/>
        <v>2.4575096580129559E-5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9">
        <v>79</v>
      </c>
      <c r="F90" s="369" t="n">
        <v>17.0</v>
      </c>
      <c r="G90" s="11">
        <f t="shared" si="3"/>
        <v>1.9660077264103649E-5</v>
      </c>
    </row>
    <row r="91" spans="1:7" x14ac:dyDescent="0.25">
      <c r="A91">
        <v>80</v>
      </c>
      <c r="B91" s="8" t="n">
        <v>57.0086578827934</v>
      </c>
      <c r="C91" s="11">
        <f t="shared" si="2"/>
        <v>2.8316813699995206E-4</v>
      </c>
      <c r="E91" s="280">
        <v>80</v>
      </c>
      <c r="F91" s="370" t="n">
        <v>15.0</v>
      </c>
      <c r="G91" s="11">
        <f t="shared" si="3"/>
        <v>3.4405135212181383E-5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1">
        <v>81</v>
      </c>
      <c r="F92" s="371" t="n">
        <v>18.0</v>
      </c>
      <c r="G92" s="11">
        <f t="shared" si="3"/>
        <v>2.9490115896155473E-5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2">
        <v>82</v>
      </c>
      <c r="F93" s="372" t="n">
        <v>11.0</v>
      </c>
      <c r="G93" s="11">
        <f t="shared" si="3"/>
        <v>1.9660077264103649E-5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3">
        <v>83</v>
      </c>
      <c r="F94" s="373" t="n">
        <v>8.0</v>
      </c>
      <c r="G94" s="11">
        <f t="shared" si="3"/>
        <v>4.9150193160259121E-6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4">
        <v>84</v>
      </c>
      <c r="F95" s="374" t="n">
        <v>10.0</v>
      </c>
      <c r="G95" s="11">
        <f t="shared" si="3"/>
        <v>1.4745057948077736E-5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5">
        <v>85</v>
      </c>
      <c r="F96" s="375" t="n">
        <v>6.0</v>
      </c>
      <c r="G96" s="11">
        <f t="shared" si="3"/>
        <v>1.4745057948077736E-5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6">
        <v>86</v>
      </c>
      <c r="F97" s="376" t="n">
        <v>9.0</v>
      </c>
      <c r="G97" s="11">
        <f t="shared" si="3"/>
        <v>9.8300386320518243E-6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7">
        <v>87</v>
      </c>
      <c r="F98" s="377" t="n">
        <v>7.0</v>
      </c>
      <c r="G98" s="11">
        <f t="shared" si="3"/>
        <v>4.9150193160259121E-6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8">
        <v>88</v>
      </c>
      <c r="F99" s="378" t="n">
        <v>6.0</v>
      </c>
      <c r="G99" s="11">
        <f t="shared" si="3"/>
        <v>4.9150193160259121E-6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9">
        <v>89</v>
      </c>
      <c r="F100" s="379" t="n">
        <v>2.0</v>
      </c>
      <c r="G100" s="11">
        <f t="shared" si="3"/>
        <v>4.9150193160259121E-6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97">
        <v>90</v>
      </c>
      <c r="F101" s="397" t="n">
        <v>25.0</v>
      </c>
      <c r="G101" s="11">
        <f t="shared" si="3"/>
        <v>3.9320154528207297E-5</v>
      </c>
    </row>
    <row r="102" spans="1:7" x14ac:dyDescent="0.25">
      <c r="B102" s="8">
        <f>SUM(B11:B101)</f>
        <v>201324.40918945288</v>
      </c>
      <c r="C102" s="11">
        <f t="shared" si="2"/>
        <v>1</v>
      </c>
      <c r="F102" s="8">
        <f>SUM(F11:F101)</f>
        <v>203458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I4" workbookViewId="0">
      <selection activeCell="AA21" sqref="AA21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r="5" spans="1:21" ht="15.75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23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98" t="s">
        <v>39</v>
      </c>
      <c r="B7" s="12" t="n">
        <v>14280.545575518972</v>
      </c>
      <c r="C7" s="12" t="n">
        <v>631.6836280762498</v>
      </c>
      <c r="D7" s="12" t="n">
        <v>0.0</v>
      </c>
      <c r="E7" s="12" t="n">
        <v>0.0</v>
      </c>
      <c r="F7" s="12" t="n">
        <v>4777.180970364424</v>
      </c>
      <c r="G7" s="12" t="n">
        <v>209.1344746232155</v>
      </c>
      <c r="H7" s="12" t="n">
        <v>0.0</v>
      </c>
      <c r="I7" s="12"/>
      <c r="J7" s="12">
        <f>SUM(B7:I7)</f>
        <v>19898.544648582862</v>
      </c>
      <c r="K7" s="12"/>
      <c r="L7" t="str">
        <f>$A$7</f>
        <v>Williamson</v>
      </c>
      <c r="M7" s="382" t="n">
        <v>19094.0</v>
      </c>
      <c r="N7" s="385" t="n">
        <v>639.0</v>
      </c>
      <c r="O7" s="388" t="n">
        <v>10.0</v>
      </c>
      <c r="P7" s="391" t="n">
        <v>0.0</v>
      </c>
      <c r="Q7" s="396" t="n">
        <v>5136.0</v>
      </c>
      <c r="R7" s="396" t="n">
        <v>803.0</v>
      </c>
      <c r="S7" s="396" t="n">
        <v>22.0</v>
      </c>
      <c r="T7" s="394"/>
      <c r="U7" s="12">
        <f>SUM(M7:T7)</f>
        <v>25070</v>
      </c>
    </row>
    <row r="8" spans="1:21" x14ac:dyDescent="0.25">
      <c r="A8" t="s">
        <v>40</v>
      </c>
      <c r="B8" s="12" t="n">
        <v>410.30753334277676</v>
      </c>
      <c r="C8" s="12" t="n">
        <v>29504.58982797194</v>
      </c>
      <c r="D8" s="12" t="n">
        <v>364.2768423339414</v>
      </c>
      <c r="E8" s="12" t="n">
        <v>0.0</v>
      </c>
      <c r="F8" s="12" t="n">
        <v>2481.6954004082654</v>
      </c>
      <c r="G8" s="12" t="n">
        <v>0.0</v>
      </c>
      <c r="H8" s="12" t="n">
        <v>1603.1993627770037</v>
      </c>
      <c r="I8" s="12"/>
      <c r="J8" s="12">
        <f t="shared" ref="J8:J14" si="0">SUM(B8:I8)</f>
        <v>34364.068966833926</v>
      </c>
      <c r="K8" s="12"/>
      <c r="L8" t="str">
        <f>$A$8</f>
        <v>Rutherford</v>
      </c>
      <c r="M8" s="383" t="n">
        <v>647.0</v>
      </c>
      <c r="N8" s="386" t="n">
        <v>30285.0</v>
      </c>
      <c r="O8" s="389" t="n">
        <v>12.0</v>
      </c>
      <c r="P8" s="392" t="n">
        <v>2.0</v>
      </c>
      <c r="Q8" s="396" t="n">
        <v>2347.0</v>
      </c>
      <c r="R8" s="396" t="n">
        <v>20.0</v>
      </c>
      <c r="S8" s="396" t="n">
        <v>326.0</v>
      </c>
      <c r="T8" s="395"/>
      <c r="U8" s="12">
        <f t="shared" ref="U8:U14" si="1">SUM(M8:T8)</f>
        <v>32812</v>
      </c>
    </row>
    <row r="9" spans="1:21" x14ac:dyDescent="0.25">
      <c r="A9" t="s">
        <v>41</v>
      </c>
      <c r="B9" s="12" t="n">
        <v>16.3743963315185</v>
      </c>
      <c r="C9" s="12" t="n">
        <v>0.0</v>
      </c>
      <c r="D9" s="12" t="n">
        <v>17232.988003893028</v>
      </c>
      <c r="E9" s="12" t="n">
        <v>492.8159199840653</v>
      </c>
      <c r="F9" s="12" t="n">
        <v>3363.555760966514</v>
      </c>
      <c r="G9" s="12" t="n">
        <v>0.0</v>
      </c>
      <c r="H9" s="12" t="n">
        <v>0.0</v>
      </c>
      <c r="I9" s="12"/>
      <c r="J9" s="12">
        <f t="shared" si="0"/>
        <v>21105.734081175127</v>
      </c>
      <c r="K9" s="13"/>
      <c r="L9" t="str">
        <f>$A$9</f>
        <v>Sumner</v>
      </c>
      <c r="M9" s="384" t="n">
        <v>34.0</v>
      </c>
      <c r="N9" s="387" t="n">
        <v>17.0</v>
      </c>
      <c r="O9" s="390" t="n">
        <v>17958.0</v>
      </c>
      <c r="P9" s="393" t="n">
        <v>919.0</v>
      </c>
      <c r="Q9" s="396" t="n">
        <v>3608.0</v>
      </c>
      <c r="R9" s="396" t="n">
        <v>0.0</v>
      </c>
      <c r="S9" s="396" t="n">
        <v>287.0</v>
      </c>
      <c r="T9" s="396"/>
      <c r="U9" s="12">
        <f t="shared" si="1"/>
        <v>22273</v>
      </c>
    </row>
    <row r="10" spans="1:21" x14ac:dyDescent="0.25">
      <c r="A10" t="s">
        <v>42</v>
      </c>
      <c r="B10" s="12" t="n">
        <v>0.0</v>
      </c>
      <c r="C10" s="12" t="n">
        <v>0.0</v>
      </c>
      <c r="D10" s="12" t="n">
        <v>1424.326639005336</v>
      </c>
      <c r="E10" s="12" t="n">
        <v>8902.299434438186</v>
      </c>
      <c r="F10" s="12" t="n">
        <v>694.0184663872761</v>
      </c>
      <c r="G10" s="12" t="n">
        <v>0.0</v>
      </c>
      <c r="H10" s="12" t="n">
        <v>0.0</v>
      </c>
      <c r="I10" s="12"/>
      <c r="J10" s="12">
        <f t="shared" si="0"/>
        <v>11020.644539830799</v>
      </c>
      <c r="K10" s="13"/>
      <c r="L10" t="str">
        <f>$A$10</f>
        <v>Roberston</v>
      </c>
      <c r="M10" s="396" t="n">
        <v>18.0</v>
      </c>
      <c r="N10" s="396" t="n">
        <v>6.0</v>
      </c>
      <c r="O10" s="396" t="n">
        <v>904.0</v>
      </c>
      <c r="P10" s="396" t="n">
        <v>6759.0</v>
      </c>
      <c r="Q10" s="396" t="n">
        <v>1600.0</v>
      </c>
      <c r="R10" s="396" t="n">
        <v>0.0</v>
      </c>
      <c r="S10" s="396" t="n">
        <v>24.0</v>
      </c>
      <c r="T10" s="396"/>
      <c r="U10" s="12">
        <f t="shared" si="1"/>
        <v>9161</v>
      </c>
    </row>
    <row r="11" spans="1:21" x14ac:dyDescent="0.25">
      <c r="A11" t="s">
        <v>43</v>
      </c>
      <c r="B11" s="12" t="n">
        <v>3582.0189612759436</v>
      </c>
      <c r="C11" s="12" t="n">
        <v>1029.7646245911371</v>
      </c>
      <c r="D11" s="12" t="n">
        <v>1093.6521102447289</v>
      </c>
      <c r="E11" s="12" t="n">
        <v>662.32623323956</v>
      </c>
      <c r="F11" s="12" t="n">
        <v>76531.14529059338</v>
      </c>
      <c r="G11" s="12" t="n">
        <v>0.0</v>
      </c>
      <c r="H11" s="12" t="n">
        <v>466.8062292467325</v>
      </c>
      <c r="I11" s="12"/>
      <c r="J11" s="12">
        <f t="shared" si="0"/>
        <v>83365.713449191491</v>
      </c>
      <c r="K11" s="13"/>
      <c r="L11" t="str">
        <f>$A$11</f>
        <v>Davidson</v>
      </c>
      <c r="M11" s="396" t="n">
        <v>2854.0</v>
      </c>
      <c r="N11" s="396" t="n">
        <v>1018.0</v>
      </c>
      <c r="O11" s="396" t="n">
        <v>663.0</v>
      </c>
      <c r="P11" s="396" t="n">
        <v>188.0</v>
      </c>
      <c r="Q11" s="396" t="n">
        <v>82948.0</v>
      </c>
      <c r="R11" s="396" t="n">
        <v>23.0</v>
      </c>
      <c r="S11" s="396" t="n">
        <v>813.0</v>
      </c>
      <c r="T11" s="396"/>
      <c r="U11" s="12">
        <f t="shared" si="1"/>
        <v>86459</v>
      </c>
    </row>
    <row r="12" spans="1:21" x14ac:dyDescent="0.25">
      <c r="A12" t="s">
        <v>44</v>
      </c>
      <c r="B12" s="12" t="n">
        <v>1061.389696843479</v>
      </c>
      <c r="C12" s="12" t="n">
        <v>134.4542910272036</v>
      </c>
      <c r="D12" s="12" t="n">
        <v>0.0</v>
      </c>
      <c r="E12" s="12" t="n">
        <v>0.0</v>
      </c>
      <c r="F12" s="12" t="n">
        <v>1254.7746835203395</v>
      </c>
      <c r="G12" s="12" t="n">
        <v>8744.151183218642</v>
      </c>
      <c r="H12" s="12" t="n">
        <v>0.0</v>
      </c>
      <c r="I12" s="12"/>
      <c r="J12" s="12">
        <f t="shared" si="0"/>
        <v>11194.769854609665</v>
      </c>
      <c r="K12" s="13"/>
      <c r="L12" t="str">
        <f>$A$12</f>
        <v>Maury</v>
      </c>
      <c r="M12" s="396" t="n">
        <v>925.0</v>
      </c>
      <c r="N12" s="396" t="n">
        <v>49.0</v>
      </c>
      <c r="O12" s="396" t="n">
        <v>0.0</v>
      </c>
      <c r="P12" s="396" t="n">
        <v>0.0</v>
      </c>
      <c r="Q12" s="396" t="n">
        <v>160.0</v>
      </c>
      <c r="R12" s="396" t="n">
        <v>10814.0</v>
      </c>
      <c r="S12" s="396" t="n">
        <v>3.0</v>
      </c>
      <c r="T12" s="396"/>
      <c r="U12" s="12">
        <f t="shared" si="1"/>
        <v>11800</v>
      </c>
    </row>
    <row r="13" spans="1:21" x14ac:dyDescent="0.25">
      <c r="A13" t="s">
        <v>45</v>
      </c>
      <c r="B13" s="12" t="n">
        <v>117.300272855924</v>
      </c>
      <c r="C13" s="12" t="n">
        <v>1116.066659609843</v>
      </c>
      <c r="D13" s="12" t="n">
        <v>0.0</v>
      </c>
      <c r="E13" s="12" t="n">
        <v>0.0</v>
      </c>
      <c r="F13" s="12" t="n">
        <v>3109.9233093923704</v>
      </c>
      <c r="G13" s="12" t="n">
        <v>0.0</v>
      </c>
      <c r="H13" s="12" t="n">
        <v>16031.643407370899</v>
      </c>
      <c r="I13" s="12"/>
      <c r="J13" s="12">
        <f t="shared" si="0"/>
        <v>20374.933649229039</v>
      </c>
      <c r="K13" s="13"/>
      <c r="L13" t="str">
        <f>$A$13</f>
        <v>Wilson</v>
      </c>
      <c r="M13" s="396" t="n">
        <v>78.0</v>
      </c>
      <c r="N13" s="396" t="n">
        <v>756.0</v>
      </c>
      <c r="O13" s="396" t="n">
        <v>456.0</v>
      </c>
      <c r="P13" s="396" t="n">
        <v>4.0</v>
      </c>
      <c r="Q13" s="396" t="n">
        <v>3862.0</v>
      </c>
      <c r="R13" s="396" t="n">
        <v>1.0</v>
      </c>
      <c r="S13" s="396" t="n">
        <v>11262.0</v>
      </c>
      <c r="T13" s="396"/>
      <c r="U13" s="12">
        <f t="shared" si="1"/>
        <v>15883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15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19467.936436168613</v>
      </c>
      <c r="C15" s="16">
        <f t="shared" si="2"/>
        <v>32416.559031276374</v>
      </c>
      <c r="D15" s="16">
        <f t="shared" si="2"/>
        <v>20115.243595477034</v>
      </c>
      <c r="E15" s="16">
        <f t="shared" si="2"/>
        <v>10057.441587661811</v>
      </c>
      <c r="F15" s="16">
        <f t="shared" si="2"/>
        <v>92212.293881632577</v>
      </c>
      <c r="G15" s="16">
        <f t="shared" si="2"/>
        <v>8953.2856578418578</v>
      </c>
      <c r="H15" s="16">
        <f t="shared" si="2"/>
        <v>18101.648999394634</v>
      </c>
      <c r="I15" s="16">
        <f t="shared" si="2"/>
        <v>0</v>
      </c>
      <c r="J15" s="16">
        <f t="shared" si="2"/>
        <v>201324.40918945291</v>
      </c>
      <c r="K15" s="12"/>
      <c r="L15" s="16" t="s">
        <v>4</v>
      </c>
      <c r="M15" s="16">
        <f t="shared" ref="M15:U15" si="3">SUM(M7:M14)</f>
        <v>22749</v>
      </c>
      <c r="N15" s="16">
        <f t="shared" si="3"/>
        <v>31238</v>
      </c>
      <c r="O15" s="16">
        <f t="shared" si="3"/>
        <v>18890</v>
      </c>
      <c r="P15" s="16">
        <f t="shared" si="3"/>
        <v>7324</v>
      </c>
      <c r="Q15" s="16">
        <f t="shared" si="3"/>
        <v>99959</v>
      </c>
      <c r="R15" s="16">
        <f t="shared" si="3"/>
        <v>11394</v>
      </c>
      <c r="S15" s="16">
        <f t="shared" si="3"/>
        <v>11904</v>
      </c>
      <c r="T15" s="16">
        <f t="shared" si="3"/>
        <v>0</v>
      </c>
      <c r="U15" s="16">
        <f t="shared" si="3"/>
        <v>203458</v>
      </c>
    </row>
    <row r="18" spans="1:32" ht="15.75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23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H20" si="4">($U7/$J7)*B7</f>
        <v>17991.932772015953</v>
      </c>
      <c r="C20" s="12">
        <f t="shared" si="4"/>
        <v>795.85260306961266</v>
      </c>
      <c r="D20" s="12">
        <f t="shared" si="4"/>
        <v>0</v>
      </c>
      <c r="E20" s="12">
        <f t="shared" si="4"/>
        <v>0</v>
      </c>
      <c r="F20" s="12">
        <f t="shared" si="4"/>
        <v>6018.7279543363729</v>
      </c>
      <c r="G20" s="12">
        <f t="shared" si="4"/>
        <v>263.4866705780621</v>
      </c>
      <c r="H20" s="12">
        <f t="shared" si="4"/>
        <v>0</v>
      </c>
      <c r="I20" s="12"/>
      <c r="J20" s="12">
        <f>SUM(B20:I20)</f>
        <v>25070</v>
      </c>
      <c r="K20" s="12"/>
      <c r="L20" t="str">
        <f>$A$7</f>
        <v>Williamson</v>
      </c>
      <c r="M20" s="12">
        <f>M7</f>
        <v>17874</v>
      </c>
      <c r="N20" s="12">
        <f t="shared" ref="N20:U20" si="5">N7</f>
        <v>623</v>
      </c>
      <c r="O20" s="12">
        <f t="shared" si="5"/>
        <v>18</v>
      </c>
      <c r="P20" s="12">
        <f t="shared" si="5"/>
        <v>1</v>
      </c>
      <c r="Q20" s="12">
        <f t="shared" si="5"/>
        <v>5714</v>
      </c>
      <c r="R20" s="12">
        <f t="shared" si="5"/>
        <v>814</v>
      </c>
      <c r="S20" s="12">
        <f t="shared" si="5"/>
        <v>26</v>
      </c>
      <c r="T20" s="12"/>
      <c r="U20" s="12">
        <f t="shared" si="5"/>
        <v>25070</v>
      </c>
    </row>
    <row r="21" spans="1:32" x14ac:dyDescent="0.25">
      <c r="A21" t="str">
        <f>$A$8</f>
        <v>Rutherford</v>
      </c>
      <c r="B21" s="12">
        <f t="shared" ref="B21:G25" si="6">($U8/$J8)*B8</f>
        <v>391.77580504325192</v>
      </c>
      <c r="C21" s="12">
        <f t="shared" si="6"/>
        <v>28172.001469609724</v>
      </c>
      <c r="D21" s="12">
        <f t="shared" si="6"/>
        <v>347.82411134715289</v>
      </c>
      <c r="E21" s="12">
        <f t="shared" si="6"/>
        <v>0</v>
      </c>
      <c r="F21" s="12">
        <f t="shared" si="6"/>
        <v>2369.6084871901116</v>
      </c>
      <c r="G21" s="12">
        <f t="shared" si="6"/>
        <v>0</v>
      </c>
      <c r="H21" s="12">
        <f t="shared" ref="H21:H26" si="7">($U8/$J8)*H8</f>
        <v>1530.7901268097601</v>
      </c>
      <c r="I21" s="12"/>
      <c r="J21" s="12">
        <f t="shared" ref="J21:J27" si="8">SUM(B21:I21)</f>
        <v>32812</v>
      </c>
      <c r="K21" s="12"/>
      <c r="L21" t="str">
        <f>$A$8</f>
        <v>Rutherford</v>
      </c>
      <c r="M21" s="12">
        <f t="shared" ref="M21:U21" si="9">M8</f>
        <v>699</v>
      </c>
      <c r="N21" s="12">
        <f t="shared" si="9"/>
        <v>28734</v>
      </c>
      <c r="O21" s="12">
        <f t="shared" si="9"/>
        <v>27</v>
      </c>
      <c r="P21" s="12">
        <f t="shared" si="9"/>
        <v>1</v>
      </c>
      <c r="Q21" s="12">
        <f t="shared" si="9"/>
        <v>3000</v>
      </c>
      <c r="R21" s="12">
        <f t="shared" si="9"/>
        <v>31</v>
      </c>
      <c r="S21" s="12">
        <f t="shared" si="9"/>
        <v>320</v>
      </c>
      <c r="T21" s="12"/>
      <c r="U21" s="12">
        <f t="shared" si="9"/>
        <v>32812</v>
      </c>
    </row>
    <row r="22" spans="1:32" x14ac:dyDescent="0.25">
      <c r="A22" t="str">
        <f>$A$9</f>
        <v>Sumner</v>
      </c>
      <c r="B22" s="12">
        <f t="shared" si="6"/>
        <v>17.279992635612956</v>
      </c>
      <c r="C22" s="12">
        <f t="shared" si="6"/>
        <v>0</v>
      </c>
      <c r="D22" s="12">
        <f t="shared" si="6"/>
        <v>18186.069261294251</v>
      </c>
      <c r="E22" s="12">
        <f t="shared" si="6"/>
        <v>520.07141488603168</v>
      </c>
      <c r="F22" s="12">
        <f t="shared" si="6"/>
        <v>3549.5793311841044</v>
      </c>
      <c r="G22" s="12">
        <f t="shared" si="6"/>
        <v>0</v>
      </c>
      <c r="H22" s="12">
        <f t="shared" si="7"/>
        <v>0</v>
      </c>
      <c r="I22" s="12"/>
      <c r="J22" s="12">
        <f t="shared" si="8"/>
        <v>22273</v>
      </c>
      <c r="K22" s="13"/>
      <c r="L22" t="str">
        <f>$A$9</f>
        <v>Sumner</v>
      </c>
      <c r="M22" s="12">
        <f t="shared" ref="M22:U22" si="10">M9</f>
        <v>65</v>
      </c>
      <c r="N22" s="12">
        <f t="shared" si="10"/>
        <v>38</v>
      </c>
      <c r="O22" s="12">
        <f t="shared" si="10"/>
        <v>16677</v>
      </c>
      <c r="P22" s="12">
        <f t="shared" si="10"/>
        <v>871</v>
      </c>
      <c r="Q22" s="12">
        <f t="shared" si="10"/>
        <v>4222</v>
      </c>
      <c r="R22" s="12">
        <f t="shared" si="10"/>
        <v>1</v>
      </c>
      <c r="S22" s="12">
        <f t="shared" si="10"/>
        <v>399</v>
      </c>
      <c r="T22" s="12"/>
      <c r="U22" s="12">
        <f t="shared" si="10"/>
        <v>22273</v>
      </c>
    </row>
    <row r="23" spans="1:32" x14ac:dyDescent="0.25">
      <c r="A23" t="str">
        <f>$A$10</f>
        <v>Roberston</v>
      </c>
      <c r="B23" s="12">
        <f t="shared" si="6"/>
        <v>0</v>
      </c>
      <c r="C23" s="12">
        <f t="shared" si="6"/>
        <v>0</v>
      </c>
      <c r="D23" s="12">
        <f t="shared" si="6"/>
        <v>1183.9830504258523</v>
      </c>
      <c r="E23" s="12">
        <f t="shared" si="6"/>
        <v>7400.1084804192706</v>
      </c>
      <c r="F23" s="12">
        <f t="shared" si="6"/>
        <v>576.90846915487668</v>
      </c>
      <c r="G23" s="12">
        <f t="shared" si="6"/>
        <v>0</v>
      </c>
      <c r="H23" s="12">
        <f t="shared" si="7"/>
        <v>0</v>
      </c>
      <c r="I23" s="12"/>
      <c r="J23" s="12">
        <f>SUM(B23:I23)</f>
        <v>9160.9999999999982</v>
      </c>
      <c r="K23" s="13"/>
      <c r="L23" t="str">
        <f>$A$10</f>
        <v>Roberston</v>
      </c>
      <c r="M23" s="12">
        <f t="shared" ref="M23:S23" si="11">M10</f>
        <v>25</v>
      </c>
      <c r="N23" s="12">
        <f t="shared" si="11"/>
        <v>14</v>
      </c>
      <c r="O23" s="12">
        <f t="shared" si="11"/>
        <v>870</v>
      </c>
      <c r="P23" s="12">
        <f t="shared" si="11"/>
        <v>6264</v>
      </c>
      <c r="Q23" s="12">
        <f t="shared" si="11"/>
        <v>1950</v>
      </c>
      <c r="R23" s="12">
        <f t="shared" si="11"/>
        <v>0</v>
      </c>
      <c r="S23" s="12">
        <f t="shared" si="11"/>
        <v>38</v>
      </c>
      <c r="T23" s="12"/>
      <c r="U23" s="12">
        <f t="shared" ref="U23" si="12">U10</f>
        <v>9161</v>
      </c>
    </row>
    <row r="24" spans="1:32" x14ac:dyDescent="0.25">
      <c r="A24" t="str">
        <f>$A$11</f>
        <v>Davidson</v>
      </c>
      <c r="B24" s="12">
        <f t="shared" si="6"/>
        <v>3714.9298501680414</v>
      </c>
      <c r="C24" s="12">
        <f t="shared" si="6"/>
        <v>1067.9740626437185</v>
      </c>
      <c r="D24" s="12">
        <f t="shared" si="6"/>
        <v>1134.2320947961136</v>
      </c>
      <c r="E24" s="12">
        <f t="shared" si="6"/>
        <v>686.90186205339171</v>
      </c>
      <c r="F24" s="12">
        <f t="shared" si="6"/>
        <v>79370.835046138323</v>
      </c>
      <c r="G24" s="12">
        <f t="shared" si="6"/>
        <v>0</v>
      </c>
      <c r="H24" s="12">
        <f t="shared" si="7"/>
        <v>484.12708420040121</v>
      </c>
      <c r="I24" s="12"/>
      <c r="J24" s="12">
        <f t="shared" si="8"/>
        <v>86458.999999999985</v>
      </c>
      <c r="K24" s="13"/>
      <c r="L24" t="str">
        <f>$A$11</f>
        <v>Davidson</v>
      </c>
      <c r="M24" s="12">
        <f t="shared" ref="M24:S24" si="13">M11</f>
        <v>3004</v>
      </c>
      <c r="N24" s="12">
        <f t="shared" si="13"/>
        <v>1040</v>
      </c>
      <c r="O24" s="12">
        <f t="shared" si="13"/>
        <v>756</v>
      </c>
      <c r="P24" s="12">
        <f t="shared" si="13"/>
        <v>178</v>
      </c>
      <c r="Q24" s="12">
        <f t="shared" si="13"/>
        <v>80654</v>
      </c>
      <c r="R24" s="12">
        <f t="shared" si="13"/>
        <v>23</v>
      </c>
      <c r="S24" s="12">
        <f t="shared" si="13"/>
        <v>804</v>
      </c>
      <c r="T24" s="12"/>
      <c r="U24" s="12">
        <f t="shared" ref="U24" si="14">U11</f>
        <v>86459</v>
      </c>
    </row>
    <row r="25" spans="1:32" x14ac:dyDescent="0.25">
      <c r="A25" t="str">
        <f>$A$12</f>
        <v>Maury</v>
      </c>
      <c r="B25" s="12">
        <f t="shared" si="6"/>
        <v>1118.772300405612</v>
      </c>
      <c r="C25" s="12">
        <f t="shared" si="6"/>
        <v>141.72338107225181</v>
      </c>
      <c r="D25" s="12">
        <f t="shared" si="6"/>
        <v>0</v>
      </c>
      <c r="E25" s="12">
        <f t="shared" si="6"/>
        <v>0</v>
      </c>
      <c r="F25" s="12">
        <f t="shared" si="6"/>
        <v>1322.6123857689854</v>
      </c>
      <c r="G25" s="12">
        <f t="shared" si="6"/>
        <v>9216.8919327531512</v>
      </c>
      <c r="H25" s="12">
        <f t="shared" si="7"/>
        <v>0</v>
      </c>
      <c r="I25" s="12"/>
      <c r="J25" s="12">
        <f t="shared" si="8"/>
        <v>11800</v>
      </c>
      <c r="K25" s="13"/>
      <c r="L25" t="str">
        <f>$A$12</f>
        <v>Maury</v>
      </c>
      <c r="M25" s="12">
        <f t="shared" ref="M25:S26" si="15">M12</f>
        <v>956</v>
      </c>
      <c r="N25" s="12">
        <f t="shared" si="15"/>
        <v>70</v>
      </c>
      <c r="O25" s="12">
        <f t="shared" si="15"/>
        <v>4</v>
      </c>
      <c r="P25" s="12">
        <f t="shared" si="15"/>
        <v>2</v>
      </c>
      <c r="Q25" s="12">
        <f t="shared" si="15"/>
        <v>239</v>
      </c>
      <c r="R25" s="12">
        <f t="shared" si="15"/>
        <v>10524</v>
      </c>
      <c r="S25" s="12">
        <f t="shared" si="15"/>
        <v>5</v>
      </c>
      <c r="T25" s="12"/>
      <c r="U25" s="12">
        <f t="shared" ref="U25:U26" si="16">U12</f>
        <v>11800</v>
      </c>
    </row>
    <row r="26" spans="1:32" x14ac:dyDescent="0.25">
      <c r="A26" t="str">
        <f>$A$13</f>
        <v>Wilson</v>
      </c>
      <c r="B26" s="12">
        <f>($U13/$J13)*B13</f>
        <v>91.439818447759095</v>
      </c>
      <c r="C26" s="12">
        <f t="shared" ref="C26:G26" si="17">($U13/$J13)*C13</f>
        <v>870.01445304112121</v>
      </c>
      <c r="D26" s="12">
        <f t="shared" si="17"/>
        <v>0</v>
      </c>
      <c r="E26" s="12">
        <f t="shared" si="17"/>
        <v>0</v>
      </c>
      <c r="F26" s="12">
        <f t="shared" si="17"/>
        <v>2424.2980504109796</v>
      </c>
      <c r="G26" s="12">
        <f t="shared" si="17"/>
        <v>0</v>
      </c>
      <c r="H26" s="12">
        <f t="shared" si="7"/>
        <v>12497.247678100139</v>
      </c>
      <c r="I26" s="12"/>
      <c r="J26" s="12">
        <f t="shared" si="8"/>
        <v>15882.999999999998</v>
      </c>
      <c r="K26" s="13"/>
      <c r="L26" t="str">
        <f>$A$13</f>
        <v>Wilson</v>
      </c>
      <c r="M26" s="12">
        <f t="shared" si="15"/>
        <v>126</v>
      </c>
      <c r="N26" s="12">
        <f t="shared" si="15"/>
        <v>719</v>
      </c>
      <c r="O26" s="12">
        <f t="shared" si="15"/>
        <v>538</v>
      </c>
      <c r="P26" s="12">
        <f t="shared" si="15"/>
        <v>7</v>
      </c>
      <c r="Q26" s="12">
        <f t="shared" si="15"/>
        <v>4180</v>
      </c>
      <c r="R26" s="12">
        <f t="shared" si="15"/>
        <v>1</v>
      </c>
      <c r="S26" s="12">
        <f t="shared" si="15"/>
        <v>10312</v>
      </c>
      <c r="T26" s="12"/>
      <c r="U26" s="12">
        <f t="shared" si="16"/>
        <v>15883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t="shared" si="8"/>
        <v>0</v>
      </c>
      <c r="K27" s="12"/>
      <c r="L27" s="15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6">
        <f t="shared" ref="B28:J28" si="18">SUM(B20:B27)</f>
        <v>23326.130538716232</v>
      </c>
      <c r="C28" s="16">
        <f t="shared" si="18"/>
        <v>31047.565969436426</v>
      </c>
      <c r="D28" s="16">
        <f t="shared" si="18"/>
        <v>20852.108517863369</v>
      </c>
      <c r="E28" s="16">
        <f t="shared" si="18"/>
        <v>8607.0817573586937</v>
      </c>
      <c r="F28" s="16">
        <f t="shared" si="18"/>
        <v>95632.569724183748</v>
      </c>
      <c r="G28" s="16">
        <f t="shared" si="18"/>
        <v>9480.3786033312135</v>
      </c>
      <c r="H28" s="16">
        <f t="shared" si="18"/>
        <v>14512.1648891103</v>
      </c>
      <c r="I28" s="16">
        <f t="shared" si="18"/>
        <v>0</v>
      </c>
      <c r="J28" s="16">
        <f t="shared" si="18"/>
        <v>203458</v>
      </c>
      <c r="K28" s="12"/>
      <c r="L28" s="16" t="s">
        <v>4</v>
      </c>
      <c r="M28" s="16">
        <f t="shared" ref="M28:U28" si="19">M15</f>
        <v>22749</v>
      </c>
      <c r="N28" s="16">
        <f t="shared" si="19"/>
        <v>31238</v>
      </c>
      <c r="O28" s="16">
        <f t="shared" si="19"/>
        <v>18890</v>
      </c>
      <c r="P28" s="16">
        <f t="shared" si="19"/>
        <v>7324</v>
      </c>
      <c r="Q28" s="16">
        <f t="shared" si="19"/>
        <v>99959</v>
      </c>
      <c r="R28" s="16">
        <f t="shared" si="19"/>
        <v>11394</v>
      </c>
      <c r="S28" s="16">
        <f t="shared" si="19"/>
        <v>11904</v>
      </c>
      <c r="T28" s="16"/>
      <c r="U28" s="16">
        <f t="shared" si="19"/>
        <v>203458</v>
      </c>
    </row>
    <row r="31" spans="1:32" ht="15.75" thickBot="1" x14ac:dyDescent="0.3">
      <c r="A31" s="4" t="s">
        <v>53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7">
        <f t="shared" ref="B33:H33" si="20">B20/$J$28</f>
        <v>8.8430697107098041E-2</v>
      </c>
      <c r="C33" s="17">
        <f t="shared" si="20"/>
        <v>3.9116309167966492E-3</v>
      </c>
      <c r="D33" s="17">
        <f t="shared" si="20"/>
        <v>0</v>
      </c>
      <c r="E33" s="17">
        <f t="shared" si="20"/>
        <v>0</v>
      </c>
      <c r="F33" s="17">
        <f t="shared" si="20"/>
        <v>2.9582164153468395E-2</v>
      </c>
      <c r="G33" s="17">
        <f t="shared" si="20"/>
        <v>1.2950420754065317E-3</v>
      </c>
      <c r="H33" s="17">
        <f t="shared" si="20"/>
        <v>0</v>
      </c>
      <c r="I33" s="12"/>
      <c r="J33" s="17">
        <f t="shared" ref="J33:J39" si="21">J20/$J$28</f>
        <v>0.12321953425276962</v>
      </c>
      <c r="K33" s="12"/>
      <c r="L33" t="str">
        <f>$A$7</f>
        <v>Williamson</v>
      </c>
      <c r="M33" s="17">
        <f t="shared" ref="M33:S33" si="22">M20/$U$28</f>
        <v>8.7851055254647148E-2</v>
      </c>
      <c r="N33" s="17">
        <f t="shared" si="22"/>
        <v>3.0620570338841433E-3</v>
      </c>
      <c r="O33" s="17">
        <f t="shared" si="22"/>
        <v>8.8470347688466422E-5</v>
      </c>
      <c r="P33" s="17">
        <f t="shared" si="22"/>
        <v>4.9150193160259121E-6</v>
      </c>
      <c r="Q33" s="17">
        <f t="shared" si="22"/>
        <v>2.808442037177206E-2</v>
      </c>
      <c r="R33" s="17">
        <f t="shared" si="22"/>
        <v>4.0008257232450927E-3</v>
      </c>
      <c r="S33" s="17">
        <f t="shared" si="22"/>
        <v>1.2779050221667371E-4</v>
      </c>
      <c r="T33" s="17"/>
      <c r="U33" s="17">
        <f>U20/$U$28</f>
        <v>0.12321953425276962</v>
      </c>
      <c r="W33" t="str">
        <f>$A$7</f>
        <v>Williamson</v>
      </c>
      <c r="X33" s="17">
        <f>M33-B33</f>
        <v>-5.7964185245089339E-4</v>
      </c>
      <c r="Y33" s="17">
        <f t="shared" ref="Y33:Y35" si="23">N33-C33</f>
        <v>-8.4957388291250586E-4</v>
      </c>
      <c r="Z33" s="17">
        <f t="shared" ref="Z33:Z35" si="24">O33-D33</f>
        <v>8.8470347688466422E-5</v>
      </c>
      <c r="AA33" s="17">
        <f t="shared" ref="AA33" si="25">P33-E33</f>
        <v>4.9150193160259121E-6</v>
      </c>
      <c r="AB33" s="17">
        <f t="shared" ref="AB33" si="26">Q33-F33</f>
        <v>-1.4977437816963354E-3</v>
      </c>
      <c r="AC33" s="17">
        <f t="shared" ref="AC33:AD39" si="27">R33-G33</f>
        <v>2.7057836478385612E-3</v>
      </c>
      <c r="AD33" s="17">
        <f t="shared" si="27"/>
        <v>1.2779050221667371E-4</v>
      </c>
      <c r="AE33" s="17"/>
      <c r="AF33" s="17">
        <f t="shared" ref="AF33:AF39" si="28">U33-J33</f>
        <v>0</v>
      </c>
    </row>
    <row r="34" spans="1:32" x14ac:dyDescent="0.25">
      <c r="A34" t="str">
        <f>$A$8</f>
        <v>Rutherford</v>
      </c>
      <c r="B34" s="17">
        <f t="shared" ref="B34:G38" si="29">B21/$J$28</f>
        <v>1.9255856493391851E-3</v>
      </c>
      <c r="C34" s="17">
        <f t="shared" si="29"/>
        <v>0.13846593139424218</v>
      </c>
      <c r="D34" s="17">
        <f t="shared" si="29"/>
        <v>1.709562225850804E-3</v>
      </c>
      <c r="E34" s="17">
        <f t="shared" si="29"/>
        <v>0</v>
      </c>
      <c r="F34" s="17">
        <f t="shared" si="29"/>
        <v>1.1646671485958339E-2</v>
      </c>
      <c r="G34" s="17">
        <f t="shared" si="29"/>
        <v>0</v>
      </c>
      <c r="H34" s="17">
        <f t="shared" ref="H34:H39" si="30">H21/$J$28</f>
        <v>7.5238630420517262E-3</v>
      </c>
      <c r="I34" s="12"/>
      <c r="J34" s="17">
        <f t="shared" si="21"/>
        <v>0.16127161379744223</v>
      </c>
      <c r="K34" s="12"/>
      <c r="L34" t="str">
        <f>$A$8</f>
        <v>Rutherford</v>
      </c>
      <c r="M34" s="17">
        <f t="shared" ref="M34:R36" si="31">M21/$U$28</f>
        <v>3.4355985019021125E-3</v>
      </c>
      <c r="N34" s="17">
        <f t="shared" si="31"/>
        <v>0.14122816502668856</v>
      </c>
      <c r="O34" s="17">
        <f t="shared" si="31"/>
        <v>1.3270552153269962E-4</v>
      </c>
      <c r="P34" s="17">
        <f t="shared" si="31"/>
        <v>4.9150193160259121E-6</v>
      </c>
      <c r="Q34" s="17">
        <f t="shared" si="31"/>
        <v>1.4745057948077737E-2</v>
      </c>
      <c r="R34" s="17">
        <f t="shared" si="31"/>
        <v>1.5236559879680327E-4</v>
      </c>
      <c r="S34" s="17">
        <f t="shared" ref="S34:S39" si="32">S21/$U$28</f>
        <v>1.5728061811282918E-3</v>
      </c>
      <c r="T34" s="17"/>
      <c r="U34" s="17">
        <f>U21/$U$28</f>
        <v>0.16127161379744223</v>
      </c>
      <c r="W34" t="str">
        <f>$A$8</f>
        <v>Rutherford</v>
      </c>
      <c r="X34" s="17">
        <f t="shared" ref="X34:X35" si="33">M34-B34</f>
        <v>1.5100128525629274E-3</v>
      </c>
      <c r="Y34" s="17">
        <f t="shared" si="23"/>
        <v>2.7622336324463759E-3</v>
      </c>
      <c r="Z34" s="17">
        <f t="shared" si="24"/>
        <v>-1.5768567043181045E-3</v>
      </c>
      <c r="AA34" s="17">
        <f t="shared" ref="AA34:AA39" si="34">P34-E34</f>
        <v>4.9150193160259121E-6</v>
      </c>
      <c r="AB34" s="17">
        <f t="shared" ref="AB34:AB39" si="35">Q34-F34</f>
        <v>3.0983864621193982E-3</v>
      </c>
      <c r="AC34" s="17">
        <f t="shared" ref="AC34:AC39" si="36">R34-G34</f>
        <v>1.5236559879680327E-4</v>
      </c>
      <c r="AD34" s="17">
        <f t="shared" si="27"/>
        <v>-5.9510568609234347E-3</v>
      </c>
      <c r="AE34" s="17"/>
      <c r="AF34" s="17">
        <f t="shared" si="28"/>
        <v>0</v>
      </c>
    </row>
    <row r="35" spans="1:32" x14ac:dyDescent="0.25">
      <c r="A35" t="str">
        <f>$A$9</f>
        <v>Sumner</v>
      </c>
      <c r="B35" s="17">
        <f t="shared" si="29"/>
        <v>8.4931497584823189E-5</v>
      </c>
      <c r="C35" s="17">
        <f t="shared" si="29"/>
        <v>0</v>
      </c>
      <c r="D35" s="17">
        <f t="shared" si="29"/>
        <v>8.938488170184633E-2</v>
      </c>
      <c r="E35" s="17">
        <f t="shared" si="29"/>
        <v>2.5561610498777716E-3</v>
      </c>
      <c r="F35" s="17">
        <f t="shared" si="29"/>
        <v>1.7446250976536209E-2</v>
      </c>
      <c r="G35" s="17">
        <f t="shared" si="29"/>
        <v>0</v>
      </c>
      <c r="H35" s="17">
        <f t="shared" si="30"/>
        <v>0</v>
      </c>
      <c r="I35" s="12"/>
      <c r="J35" s="17">
        <f t="shared" si="21"/>
        <v>0.10947222522584514</v>
      </c>
      <c r="K35" s="13"/>
      <c r="L35" t="str">
        <f>$A$9</f>
        <v>Sumner</v>
      </c>
      <c r="M35" s="17">
        <f t="shared" si="31"/>
        <v>3.1947625554168429E-4</v>
      </c>
      <c r="N35" s="17">
        <f t="shared" si="31"/>
        <v>1.8677073400898464E-4</v>
      </c>
      <c r="O35" s="17">
        <f t="shared" si="31"/>
        <v>8.1967777133364131E-2</v>
      </c>
      <c r="P35" s="17">
        <f t="shared" si="31"/>
        <v>4.2809818242585691E-3</v>
      </c>
      <c r="Q35" s="17">
        <f t="shared" si="31"/>
        <v>2.0751211552261402E-2</v>
      </c>
      <c r="R35" s="17">
        <f t="shared" si="31"/>
        <v>4.9150193160259121E-6</v>
      </c>
      <c r="S35" s="17">
        <f t="shared" si="32"/>
        <v>1.961092707094339E-3</v>
      </c>
      <c r="T35" s="17"/>
      <c r="U35" s="17">
        <f>U22/$U$28</f>
        <v>0.10947222522584514</v>
      </c>
      <c r="W35" t="str">
        <f>$A$9</f>
        <v>Sumner</v>
      </c>
      <c r="X35" s="17">
        <f t="shared" si="33"/>
        <v>2.3454475795686112E-4</v>
      </c>
      <c r="Y35" s="17">
        <f t="shared" si="23"/>
        <v>1.8677073400898464E-4</v>
      </c>
      <c r="Z35" s="17">
        <f t="shared" si="24"/>
        <v>-7.4171045684821996E-3</v>
      </c>
      <c r="AA35" s="17">
        <f t="shared" si="34"/>
        <v>1.7248207743807975E-3</v>
      </c>
      <c r="AB35" s="17">
        <f t="shared" si="35"/>
        <v>3.3049605757251924E-3</v>
      </c>
      <c r="AC35" s="17">
        <f t="shared" si="36"/>
        <v>4.9150193160259121E-6</v>
      </c>
      <c r="AD35" s="17">
        <f t="shared" si="27"/>
        <v>1.961092707094339E-3</v>
      </c>
      <c r="AE35" s="17"/>
      <c r="AF35" s="17">
        <f t="shared" si="28"/>
        <v>0</v>
      </c>
    </row>
    <row r="36" spans="1:32" x14ac:dyDescent="0.25">
      <c r="A36" t="str">
        <f>$A$10</f>
        <v>Roberston</v>
      </c>
      <c r="B36" s="17">
        <f t="shared" si="29"/>
        <v>0</v>
      </c>
      <c r="C36" s="17">
        <f t="shared" si="29"/>
        <v>0</v>
      </c>
      <c r="D36" s="17">
        <f t="shared" si="29"/>
        <v>5.8192995626903457E-3</v>
      </c>
      <c r="E36" s="17">
        <f t="shared" si="29"/>
        <v>3.6371676121947874E-2</v>
      </c>
      <c r="F36" s="17">
        <f t="shared" si="29"/>
        <v>2.8355162694751581E-3</v>
      </c>
      <c r="G36" s="17">
        <f t="shared" si="29"/>
        <v>0</v>
      </c>
      <c r="H36" s="17">
        <f t="shared" si="30"/>
        <v>0</v>
      </c>
      <c r="I36" s="12"/>
      <c r="J36" s="17">
        <f t="shared" si="21"/>
        <v>4.5026491954113373E-2</v>
      </c>
      <c r="K36" s="13"/>
      <c r="L36" t="str">
        <f>$A$10</f>
        <v>Roberston</v>
      </c>
      <c r="M36" s="17">
        <f t="shared" si="31"/>
        <v>1.2287548290064779E-4</v>
      </c>
      <c r="N36" s="17">
        <f t="shared" si="31"/>
        <v>6.8810270424362767E-5</v>
      </c>
      <c r="O36" s="17">
        <f t="shared" si="31"/>
        <v>4.2760668049425434E-3</v>
      </c>
      <c r="P36" s="17">
        <f t="shared" si="31"/>
        <v>3.0787680995586313E-2</v>
      </c>
      <c r="Q36" s="17">
        <f t="shared" si="31"/>
        <v>9.5842876662505291E-3</v>
      </c>
      <c r="R36" s="17">
        <f t="shared" si="31"/>
        <v>0</v>
      </c>
      <c r="S36" s="17">
        <f t="shared" si="32"/>
        <v>1.8677073400898464E-4</v>
      </c>
      <c r="T36" s="17"/>
      <c r="U36" s="17">
        <f t="shared" ref="U36" si="37">U23/$U$28</f>
        <v>4.502649195411338E-2</v>
      </c>
      <c r="W36" t="str">
        <f>$A$10</f>
        <v>Roberston</v>
      </c>
      <c r="X36" s="17">
        <f t="shared" ref="X36:X39" si="38">M36-B36</f>
        <v>1.2287548290064779E-4</v>
      </c>
      <c r="Y36" s="17">
        <f t="shared" ref="Y36:Y39" si="39">N36-C36</f>
        <v>6.8810270424362767E-5</v>
      </c>
      <c r="Z36" s="17">
        <f t="shared" ref="Z36:Z39" si="40">O36-D36</f>
        <v>-1.5432327577478023E-3</v>
      </c>
      <c r="AA36" s="17">
        <f t="shared" si="34"/>
        <v>-5.5839951263615614E-3</v>
      </c>
      <c r="AB36" s="17">
        <f t="shared" si="35"/>
        <v>6.748771396775371E-3</v>
      </c>
      <c r="AC36" s="17">
        <f t="shared" si="36"/>
        <v>0</v>
      </c>
      <c r="AD36" s="17">
        <f t="shared" si="27"/>
        <v>1.8677073400898464E-4</v>
      </c>
      <c r="AE36" s="17"/>
      <c r="AF36" s="17">
        <f t="shared" si="28"/>
        <v>0</v>
      </c>
    </row>
    <row r="37" spans="1:32" x14ac:dyDescent="0.25">
      <c r="A37" t="str">
        <f>$A$11</f>
        <v>Davidson</v>
      </c>
      <c r="B37" s="17">
        <f t="shared" si="29"/>
        <v>1.8258951971257171E-2</v>
      </c>
      <c r="C37" s="17">
        <f t="shared" si="29"/>
        <v>5.2491131469085441E-3</v>
      </c>
      <c r="D37" s="17">
        <f t="shared" si="29"/>
        <v>5.5747726547794316E-3</v>
      </c>
      <c r="E37" s="17">
        <f t="shared" si="29"/>
        <v>3.3761359202065869E-3</v>
      </c>
      <c r="F37" s="17">
        <f t="shared" si="29"/>
        <v>0.39010918738087624</v>
      </c>
      <c r="G37" s="17">
        <f t="shared" si="29"/>
        <v>0</v>
      </c>
      <c r="H37" s="17">
        <f t="shared" si="30"/>
        <v>2.3794939702562749E-3</v>
      </c>
      <c r="I37" s="12"/>
      <c r="J37" s="17">
        <f t="shared" si="21"/>
        <v>0.42494765504428428</v>
      </c>
      <c r="K37" s="13"/>
      <c r="L37" t="str">
        <f>$A$11</f>
        <v>Davidson</v>
      </c>
      <c r="M37" s="17">
        <f>M24/$U$28</f>
        <v>1.4764718025341839E-2</v>
      </c>
      <c r="N37" s="17">
        <f>N24/$U$28</f>
        <v>5.1116200886669487E-3</v>
      </c>
      <c r="O37" s="17">
        <f t="shared" ref="O37:R37" si="41">O24/$U$28</f>
        <v>3.7157546029155893E-3</v>
      </c>
      <c r="P37" s="17">
        <f t="shared" si="41"/>
        <v>8.7487343825261234E-4</v>
      </c>
      <c r="Q37" s="17">
        <f t="shared" si="41"/>
        <v>0.39641596791475392</v>
      </c>
      <c r="R37" s="17">
        <f t="shared" si="41"/>
        <v>1.1304544426859598E-4</v>
      </c>
      <c r="S37" s="17">
        <f t="shared" si="32"/>
        <v>3.9516755300848336E-3</v>
      </c>
      <c r="T37" s="17"/>
      <c r="U37" s="17">
        <f t="shared" ref="U37" si="42">U24/$U$28</f>
        <v>0.42494765504428433</v>
      </c>
      <c r="W37" t="str">
        <f>$A$11</f>
        <v>Davidson</v>
      </c>
      <c r="X37" s="17">
        <f t="shared" si="38"/>
        <v>-3.4942339459153315E-3</v>
      </c>
      <c r="Y37" s="17">
        <f t="shared" si="39"/>
        <v>-1.3749305824159539E-4</v>
      </c>
      <c r="Z37" s="17">
        <f t="shared" si="40"/>
        <v>-1.8590180518638423E-3</v>
      </c>
      <c r="AA37" s="17">
        <f t="shared" si="34"/>
        <v>-2.5012624819539747E-3</v>
      </c>
      <c r="AB37" s="17">
        <f t="shared" si="35"/>
        <v>6.3067805338776761E-3</v>
      </c>
      <c r="AC37" s="17">
        <f t="shared" si="36"/>
        <v>1.1304544426859598E-4</v>
      </c>
      <c r="AD37" s="17">
        <f t="shared" si="27"/>
        <v>1.5721815598285587E-3</v>
      </c>
      <c r="AE37" s="17"/>
      <c r="AF37" s="17">
        <f t="shared" si="28"/>
        <v>0</v>
      </c>
    </row>
    <row r="38" spans="1:32" x14ac:dyDescent="0.25">
      <c r="A38" t="str">
        <f>$A$12</f>
        <v>Maury</v>
      </c>
      <c r="B38" s="17">
        <f t="shared" si="29"/>
        <v>5.4987874667283268E-3</v>
      </c>
      <c r="C38" s="17">
        <f t="shared" si="29"/>
        <v>6.9657315550261873E-4</v>
      </c>
      <c r="D38" s="17">
        <f t="shared" si="29"/>
        <v>0</v>
      </c>
      <c r="E38" s="17">
        <f t="shared" si="29"/>
        <v>0</v>
      </c>
      <c r="F38" s="17">
        <f t="shared" si="29"/>
        <v>6.5006654236696784E-3</v>
      </c>
      <c r="G38" s="17">
        <f t="shared" si="29"/>
        <v>4.530120188320514E-2</v>
      </c>
      <c r="H38" s="17">
        <f t="shared" si="30"/>
        <v>0</v>
      </c>
      <c r="I38" s="12"/>
      <c r="J38" s="17">
        <f t="shared" si="21"/>
        <v>5.7997227929105763E-2</v>
      </c>
      <c r="K38" s="13"/>
      <c r="L38" t="str">
        <f>$A$12</f>
        <v>Maury</v>
      </c>
      <c r="M38" s="17">
        <f>M25/$U$28</f>
        <v>4.6987584661207721E-3</v>
      </c>
      <c r="N38" s="17">
        <f>N25/$U$28</f>
        <v>3.4405135212181386E-4</v>
      </c>
      <c r="O38" s="17">
        <f t="shared" ref="O38:R38" si="43">O25/$U$28</f>
        <v>1.9660077264103649E-5</v>
      </c>
      <c r="P38" s="17">
        <f t="shared" si="43"/>
        <v>9.8300386320518243E-6</v>
      </c>
      <c r="Q38" s="17">
        <f t="shared" si="43"/>
        <v>1.174689616530193E-3</v>
      </c>
      <c r="R38" s="17">
        <f t="shared" si="43"/>
        <v>5.1725663281856696E-2</v>
      </c>
      <c r="S38" s="17">
        <f t="shared" si="32"/>
        <v>2.4575096580129559E-5</v>
      </c>
      <c r="T38" s="17"/>
      <c r="U38" s="17">
        <f t="shared" ref="U38:U39" si="44">U25/$U$28</f>
        <v>5.7997227929105763E-2</v>
      </c>
      <c r="W38" t="str">
        <f>$A$12</f>
        <v>Maury</v>
      </c>
      <c r="X38" s="17">
        <f t="shared" si="38"/>
        <v>-8.0002900060755465E-4</v>
      </c>
      <c r="Y38" s="17">
        <f t="shared" si="39"/>
        <v>-3.5252180338080487E-4</v>
      </c>
      <c r="Z38" s="17">
        <f t="shared" si="40"/>
        <v>1.9660077264103649E-5</v>
      </c>
      <c r="AA38" s="17">
        <f t="shared" si="34"/>
        <v>9.8300386320518243E-6</v>
      </c>
      <c r="AB38" s="17">
        <f t="shared" si="35"/>
        <v>-5.3259758071394856E-3</v>
      </c>
      <c r="AC38" s="17">
        <f t="shared" si="36"/>
        <v>6.4244613986515556E-3</v>
      </c>
      <c r="AD38" s="17">
        <f t="shared" si="27"/>
        <v>2.4575096580129559E-5</v>
      </c>
      <c r="AE38" s="17"/>
      <c r="AF38" s="17">
        <f t="shared" si="28"/>
        <v>0</v>
      </c>
    </row>
    <row r="39" spans="1:32" x14ac:dyDescent="0.25">
      <c r="A39" t="str">
        <f>$A$13</f>
        <v>Wilson</v>
      </c>
      <c r="B39" s="17">
        <f>B26/$J$28</f>
        <v>4.494284739246385E-4</v>
      </c>
      <c r="C39" s="17">
        <f t="shared" ref="C39:G39" si="45">C26/$J$28</f>
        <v>4.2761378419188291E-3</v>
      </c>
      <c r="D39" s="17">
        <f t="shared" si="45"/>
        <v>0</v>
      </c>
      <c r="E39" s="17">
        <f t="shared" si="45"/>
        <v>0</v>
      </c>
      <c r="F39" s="17">
        <f t="shared" si="45"/>
        <v>1.1915471745573924E-2</v>
      </c>
      <c r="G39" s="17">
        <f t="shared" si="45"/>
        <v>0</v>
      </c>
      <c r="H39" s="17">
        <f t="shared" si="30"/>
        <v>6.142421373502216E-2</v>
      </c>
      <c r="I39" s="12"/>
      <c r="J39" s="17">
        <f t="shared" si="21"/>
        <v>7.8065251796439555E-2</v>
      </c>
      <c r="K39" s="13"/>
      <c r="L39" t="str">
        <f>$A$13</f>
        <v>Wilson</v>
      </c>
      <c r="M39" s="17">
        <f>M26/$U$28</f>
        <v>6.1929243381926493E-4</v>
      </c>
      <c r="N39" s="17">
        <f t="shared" ref="N39:R39" si="46">N26/$U$28</f>
        <v>3.5338988882226306E-3</v>
      </c>
      <c r="O39" s="17">
        <f t="shared" si="46"/>
        <v>2.6442803920219407E-3</v>
      </c>
      <c r="P39" s="17">
        <f t="shared" si="46"/>
        <v>3.4405135212181383E-5</v>
      </c>
      <c r="Q39" s="17">
        <f t="shared" si="46"/>
        <v>2.0544780740988311E-2</v>
      </c>
      <c r="R39" s="17">
        <f t="shared" si="46"/>
        <v>4.9150193160259121E-6</v>
      </c>
      <c r="S39" s="17">
        <f t="shared" si="32"/>
        <v>5.0683679186859204E-2</v>
      </c>
      <c r="T39" s="17"/>
      <c r="U39" s="17">
        <f t="shared" si="44"/>
        <v>7.8065251796439555E-2</v>
      </c>
      <c r="W39" t="str">
        <f>$A$13</f>
        <v>Wilson</v>
      </c>
      <c r="X39" s="17">
        <f t="shared" si="38"/>
        <v>1.6986395989462643E-4</v>
      </c>
      <c r="Y39" s="17">
        <f t="shared" si="39"/>
        <v>-7.422389536961985E-4</v>
      </c>
      <c r="Z39" s="17">
        <f t="shared" si="40"/>
        <v>2.6442803920219407E-3</v>
      </c>
      <c r="AA39" s="17">
        <f t="shared" si="34"/>
        <v>3.4405135212181383E-5</v>
      </c>
      <c r="AB39" s="17">
        <f t="shared" si="35"/>
        <v>8.6293089954143868E-3</v>
      </c>
      <c r="AC39" s="17">
        <f t="shared" si="36"/>
        <v>4.9150193160259121E-6</v>
      </c>
      <c r="AD39" s="17">
        <f t="shared" si="27"/>
        <v>-1.0740534548162955E-2</v>
      </c>
      <c r="AE39" s="17"/>
      <c r="AF39" s="17">
        <f t="shared" si="28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17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17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H41" si="47">B28/$J$28</f>
        <v>0.11464838216593219</v>
      </c>
      <c r="C41" s="19">
        <f t="shared" si="47"/>
        <v>0.1525993864553688</v>
      </c>
      <c r="D41" s="19">
        <f t="shared" si="47"/>
        <v>0.10248851614516691</v>
      </c>
      <c r="E41" s="19">
        <f t="shared" si="47"/>
        <v>4.2303973092032231E-2</v>
      </c>
      <c r="F41" s="19">
        <f t="shared" si="47"/>
        <v>0.47003592743555794</v>
      </c>
      <c r="G41" s="19">
        <f t="shared" si="47"/>
        <v>4.6596243958611672E-2</v>
      </c>
      <c r="H41" s="19">
        <f t="shared" si="47"/>
        <v>7.1327570747330163E-2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0.11181177442027347</v>
      </c>
      <c r="N41" s="19">
        <f>N28/$U$28</f>
        <v>0.15353537339401743</v>
      </c>
      <c r="O41" s="19">
        <f>O28/$U$28</f>
        <v>9.2844714879729479E-2</v>
      </c>
      <c r="P41" s="19">
        <f>P28/$U$28</f>
        <v>3.5997601470573778E-2</v>
      </c>
      <c r="Q41" s="19">
        <f t="shared" ref="Q41:S41" si="48">Q28/$U$28</f>
        <v>0.49130041581063416</v>
      </c>
      <c r="R41" s="19">
        <f t="shared" si="48"/>
        <v>5.6001730086799241E-2</v>
      </c>
      <c r="S41" s="19">
        <f t="shared" si="48"/>
        <v>5.8508389937972458E-2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F41" si="49">M41-B41</f>
        <v>-2.8366077456587202E-3</v>
      </c>
      <c r="Y41" s="19">
        <f t="shared" si="49"/>
        <v>9.3598693864863081E-4</v>
      </c>
      <c r="Z41" s="19">
        <f t="shared" si="49"/>
        <v>-9.6438012654374294E-3</v>
      </c>
      <c r="AA41" s="19">
        <f t="shared" si="49"/>
        <v>-6.3063716214584523E-3</v>
      </c>
      <c r="AB41" s="19">
        <f t="shared" si="49"/>
        <v>2.1264488375076218E-2</v>
      </c>
      <c r="AC41" s="19">
        <f t="shared" si="49"/>
        <v>9.4054861281875693E-3</v>
      </c>
      <c r="AD41" s="19">
        <f t="shared" si="49"/>
        <v>-1.2819180809357705E-2</v>
      </c>
      <c r="AE41" s="19"/>
      <c r="AF41" s="19">
        <f t="shared" si="49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24</v>
      </c>
    </row>
    <row r="2" spans="1:3" x14ac:dyDescent="0.25">
      <c r="A2">
        <v>1</v>
      </c>
      <c r="B2" t="s">
        <v>25</v>
      </c>
    </row>
    <row r="3" spans="1:3" x14ac:dyDescent="0.25">
      <c r="B3" t="s">
        <v>26</v>
      </c>
      <c r="C3" t="s">
        <v>27</v>
      </c>
    </row>
    <row r="4" spans="1:3" x14ac:dyDescent="0.25">
      <c r="B4" t="s">
        <v>28</v>
      </c>
      <c r="C4" t="s">
        <v>29</v>
      </c>
    </row>
    <row r="5" spans="1:3" x14ac:dyDescent="0.25">
      <c r="B5" t="s">
        <v>30</v>
      </c>
      <c r="C5" t="s">
        <v>31</v>
      </c>
    </row>
    <row r="6" spans="1:3" x14ac:dyDescent="0.25">
      <c r="B6" t="s">
        <v>32</v>
      </c>
      <c r="C6" t="s">
        <v>33</v>
      </c>
    </row>
    <row r="8" spans="1:3" x14ac:dyDescent="0.25">
      <c r="A8">
        <v>2</v>
      </c>
      <c r="B8" t="s">
        <v>34</v>
      </c>
    </row>
    <row r="10" spans="1:3" x14ac:dyDescent="0.25">
      <c r="A10">
        <v>3</v>
      </c>
      <c r="B10" t="s">
        <v>35</v>
      </c>
    </row>
    <row r="12" spans="1:3" x14ac:dyDescent="0.25">
      <c r="A12">
        <v>4</v>
      </c>
      <c r="B12" t="s">
        <v>36</v>
      </c>
    </row>
    <row r="14" spans="1:3" x14ac:dyDescent="0.25">
      <c r="A14">
        <v>5</v>
      </c>
      <c r="B14" t="s">
        <v>37</v>
      </c>
    </row>
    <row r="15" spans="1:3" x14ac:dyDescent="0.25">
      <c r="B15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2015-04-23T04:43:23Z</dcterms:modified>
</cp:coreProperties>
</file>