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5230" windowHeight="6180" activeTab="2"/>
  </bookViews>
  <sheets>
    <sheet name="Vehicles_by_County" sheetId="5" r:id="rId1"/>
    <sheet name="Vehicles_by_Income" sheetId="4" r:id="rId2"/>
    <sheet name="Vehicles_by_HHDrivers" sheetId="1" r:id="rId3"/>
    <sheet name="Coeff" sheetId="6" r:id="rId4"/>
    <sheet name="VehAvailCoefficient" sheetId="7" r:id="rId5"/>
    <sheet name="calibration" sheetId="8" r:id="rId6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</definedNames>
  <calcPr calcId="145621"/>
</workbook>
</file>

<file path=xl/calcChain.xml><?xml version="1.0" encoding="utf-8"?>
<calcChain xmlns="http://schemas.openxmlformats.org/spreadsheetml/2006/main">
  <c r="Z4" i="8" l="1"/>
  <c r="S7" i="8" s="1"/>
  <c r="Z5" i="8"/>
  <c r="S8" i="8" s="1"/>
  <c r="Z6" i="8"/>
  <c r="S9" i="8" s="1"/>
  <c r="Z7" i="8"/>
  <c r="S10" i="8" s="1"/>
  <c r="Z8" i="8"/>
  <c r="S11" i="8" s="1"/>
  <c r="Z9" i="8"/>
  <c r="S12" i="8" s="1"/>
  <c r="Z10" i="8"/>
  <c r="S13" i="8" s="1"/>
  <c r="Z11" i="8"/>
  <c r="S14" i="8" s="1"/>
  <c r="Z12" i="8"/>
  <c r="S15" i="8" s="1"/>
  <c r="Z13" i="8"/>
  <c r="S16" i="8" s="1"/>
  <c r="Z14" i="8"/>
  <c r="S17" i="8" s="1"/>
  <c r="Z15" i="8"/>
  <c r="S18" i="8" s="1"/>
  <c r="Z16" i="8"/>
  <c r="S19" i="8" s="1"/>
  <c r="Z17" i="8"/>
  <c r="S20" i="8" s="1"/>
  <c r="Z18" i="8"/>
  <c r="S21" i="8" s="1"/>
  <c r="Z19" i="8"/>
  <c r="S22" i="8" s="1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3" i="8"/>
  <c r="S6" i="8" s="1"/>
  <c r="O6" i="5" l="1"/>
  <c r="A39" i="5" l="1"/>
  <c r="A38" i="5"/>
  <c r="A37" i="5"/>
  <c r="A36" i="5"/>
  <c r="A35" i="5"/>
  <c r="A34" i="5"/>
  <c r="A33" i="5"/>
  <c r="A32" i="5"/>
  <c r="A26" i="5"/>
  <c r="A25" i="5"/>
  <c r="A24" i="5"/>
  <c r="A23" i="5"/>
  <c r="A22" i="5"/>
  <c r="A21" i="5"/>
  <c r="A20" i="5"/>
  <c r="A19" i="5"/>
  <c r="AG26" i="5"/>
  <c r="AG25" i="5"/>
  <c r="AG24" i="5"/>
  <c r="AG23" i="5"/>
  <c r="AG22" i="5"/>
  <c r="AG21" i="5"/>
  <c r="AG20" i="5"/>
  <c r="AG19" i="5"/>
  <c r="Y26" i="5"/>
  <c r="Y25" i="5"/>
  <c r="Y24" i="5"/>
  <c r="Y23" i="5"/>
  <c r="Y22" i="5"/>
  <c r="Y21" i="5"/>
  <c r="Y20" i="5"/>
  <c r="Y19" i="5"/>
  <c r="Q52" i="5"/>
  <c r="Q51" i="5"/>
  <c r="Q50" i="5"/>
  <c r="Q49" i="5"/>
  <c r="Q48" i="5"/>
  <c r="Q47" i="5"/>
  <c r="Q46" i="5"/>
  <c r="Q45" i="5"/>
  <c r="Q39" i="5"/>
  <c r="Q38" i="5"/>
  <c r="Q37" i="5"/>
  <c r="Q36" i="5"/>
  <c r="Q35" i="5"/>
  <c r="Q34" i="5"/>
  <c r="Q33" i="5"/>
  <c r="Q32" i="5"/>
  <c r="Q26" i="5"/>
  <c r="Q25" i="5"/>
  <c r="Q24" i="5"/>
  <c r="Q23" i="5"/>
  <c r="Q22" i="5"/>
  <c r="Q21" i="5"/>
  <c r="Q20" i="5"/>
  <c r="Q19" i="5"/>
  <c r="Q13" i="5"/>
  <c r="Q12" i="5"/>
  <c r="Q11" i="5"/>
  <c r="Q10" i="5"/>
  <c r="Q9" i="5"/>
  <c r="Q8" i="5"/>
  <c r="Q7" i="5"/>
  <c r="Q6" i="5"/>
  <c r="I39" i="5"/>
  <c r="I38" i="5"/>
  <c r="I37" i="5"/>
  <c r="I36" i="5"/>
  <c r="I35" i="5"/>
  <c r="I34" i="5"/>
  <c r="I33" i="5"/>
  <c r="I32" i="5"/>
  <c r="I26" i="5"/>
  <c r="I25" i="5"/>
  <c r="I24" i="5"/>
  <c r="I23" i="5"/>
  <c r="I22" i="5"/>
  <c r="I21" i="5"/>
  <c r="I20" i="5"/>
  <c r="I19" i="5"/>
  <c r="O12" i="5"/>
  <c r="K13" i="5"/>
  <c r="L13" i="5"/>
  <c r="M13" i="5"/>
  <c r="N13" i="5"/>
  <c r="J13" i="5"/>
  <c r="I13" i="5"/>
  <c r="G12" i="5"/>
  <c r="C13" i="5"/>
  <c r="D13" i="5"/>
  <c r="E13" i="5"/>
  <c r="F13" i="5"/>
  <c r="B13" i="5"/>
  <c r="W12" i="5"/>
  <c r="S25" i="5"/>
  <c r="T25" i="5"/>
  <c r="U25" i="5"/>
  <c r="V25" i="5"/>
  <c r="R25" i="5"/>
  <c r="S13" i="5"/>
  <c r="T13" i="5"/>
  <c r="U13" i="5"/>
  <c r="V13" i="5"/>
  <c r="R13" i="5"/>
  <c r="W25" i="5" l="1"/>
  <c r="Q62" i="5"/>
  <c r="Q61" i="5"/>
  <c r="Q60" i="5"/>
  <c r="Q59" i="5"/>
  <c r="Q58" i="5"/>
  <c r="Q57" i="5"/>
  <c r="I62" i="5"/>
  <c r="I61" i="5"/>
  <c r="I60" i="5"/>
  <c r="I59" i="5"/>
  <c r="I58" i="5"/>
  <c r="I57" i="5"/>
  <c r="A62" i="5"/>
  <c r="A61" i="5"/>
  <c r="A60" i="5"/>
  <c r="A59" i="5"/>
  <c r="A58" i="5"/>
  <c r="A57" i="5"/>
  <c r="I12" i="5"/>
  <c r="I11" i="5"/>
  <c r="I10" i="5"/>
  <c r="I9" i="5"/>
  <c r="I8" i="5"/>
  <c r="I7" i="5"/>
  <c r="I6" i="5"/>
  <c r="O7" i="5" l="1"/>
  <c r="O8" i="5"/>
  <c r="O9" i="5"/>
  <c r="O10" i="5"/>
  <c r="O11" i="5"/>
  <c r="O13" i="5" l="1"/>
  <c r="W8" i="5"/>
  <c r="W9" i="5"/>
  <c r="W10" i="5"/>
  <c r="G8" i="5"/>
  <c r="G9" i="5"/>
  <c r="G10" i="5"/>
  <c r="V23" i="5" l="1"/>
  <c r="U23" i="5"/>
  <c r="T23" i="5"/>
  <c r="S23" i="5"/>
  <c r="R23" i="5"/>
  <c r="V22" i="5"/>
  <c r="U22" i="5"/>
  <c r="T22" i="5"/>
  <c r="S22" i="5"/>
  <c r="R22" i="5"/>
  <c r="V21" i="5"/>
  <c r="U21" i="5"/>
  <c r="T21" i="5"/>
  <c r="S21" i="5"/>
  <c r="R21" i="5"/>
  <c r="O23" i="5"/>
  <c r="N23" i="5"/>
  <c r="M23" i="5"/>
  <c r="L23" i="5"/>
  <c r="K23" i="5"/>
  <c r="J23" i="5"/>
  <c r="O22" i="5"/>
  <c r="N22" i="5"/>
  <c r="M22" i="5"/>
  <c r="L22" i="5"/>
  <c r="K22" i="5"/>
  <c r="J22" i="5"/>
  <c r="O21" i="5"/>
  <c r="N21" i="5"/>
  <c r="M21" i="5"/>
  <c r="L21" i="5"/>
  <c r="K21" i="5"/>
  <c r="J21" i="5"/>
  <c r="G23" i="5"/>
  <c r="AM23" i="5" s="1"/>
  <c r="G22" i="5"/>
  <c r="AM22" i="5" s="1"/>
  <c r="G21" i="5"/>
  <c r="AM21" i="5" s="1"/>
  <c r="F23" i="5"/>
  <c r="AL23" i="5" s="1"/>
  <c r="E23" i="5"/>
  <c r="AK23" i="5" s="1"/>
  <c r="D23" i="5"/>
  <c r="AJ23" i="5" s="1"/>
  <c r="C23" i="5"/>
  <c r="AI23" i="5" s="1"/>
  <c r="B23" i="5"/>
  <c r="AH23" i="5" s="1"/>
  <c r="F22" i="5"/>
  <c r="AL22" i="5" s="1"/>
  <c r="E22" i="5"/>
  <c r="AK22" i="5" s="1"/>
  <c r="D22" i="5"/>
  <c r="AJ22" i="5" s="1"/>
  <c r="C22" i="5"/>
  <c r="AI22" i="5" s="1"/>
  <c r="B22" i="5"/>
  <c r="AH22" i="5" s="1"/>
  <c r="F21" i="5"/>
  <c r="AL21" i="5" s="1"/>
  <c r="E21" i="5"/>
  <c r="AK21" i="5" s="1"/>
  <c r="D21" i="5"/>
  <c r="AJ21" i="5" s="1"/>
  <c r="C21" i="5"/>
  <c r="AI21" i="5" s="1"/>
  <c r="B21" i="5"/>
  <c r="AH21" i="5" s="1"/>
  <c r="R19" i="5"/>
  <c r="S19" i="5"/>
  <c r="T19" i="5"/>
  <c r="U19" i="5"/>
  <c r="V19" i="5"/>
  <c r="R20" i="5"/>
  <c r="S20" i="5"/>
  <c r="T20" i="5"/>
  <c r="U20" i="5"/>
  <c r="V20" i="5"/>
  <c r="R24" i="5"/>
  <c r="S24" i="5"/>
  <c r="T24" i="5"/>
  <c r="U24" i="5"/>
  <c r="V24" i="5"/>
  <c r="G6" i="4"/>
  <c r="W6" i="4"/>
  <c r="G7" i="4"/>
  <c r="W7" i="4"/>
  <c r="G8" i="4"/>
  <c r="W8" i="4"/>
  <c r="G9" i="4"/>
  <c r="W9" i="4"/>
  <c r="B10" i="4"/>
  <c r="C10" i="4"/>
  <c r="D10" i="4"/>
  <c r="E10" i="4"/>
  <c r="F10" i="4"/>
  <c r="R10" i="4"/>
  <c r="S10" i="4"/>
  <c r="T10" i="4"/>
  <c r="U10" i="4"/>
  <c r="V10" i="4"/>
  <c r="R17" i="1"/>
  <c r="J7" i="8" s="1"/>
  <c r="S17" i="1"/>
  <c r="K7" i="8" s="1"/>
  <c r="T17" i="1"/>
  <c r="L7" i="8" s="1"/>
  <c r="U17" i="1"/>
  <c r="M7" i="8" s="1"/>
  <c r="V17" i="1"/>
  <c r="N7" i="8" s="1"/>
  <c r="R18" i="1"/>
  <c r="J8" i="8" s="1"/>
  <c r="S18" i="1"/>
  <c r="K8" i="8" s="1"/>
  <c r="T18" i="1"/>
  <c r="L8" i="8" s="1"/>
  <c r="U18" i="1"/>
  <c r="M8" i="8" s="1"/>
  <c r="V18" i="1"/>
  <c r="N8" i="8" s="1"/>
  <c r="R19" i="1"/>
  <c r="J9" i="8" s="1"/>
  <c r="S19" i="1"/>
  <c r="K9" i="8" s="1"/>
  <c r="T19" i="1"/>
  <c r="L9" i="8" s="1"/>
  <c r="U19" i="1"/>
  <c r="M9" i="8" s="1"/>
  <c r="V19" i="1"/>
  <c r="N9" i="8" s="1"/>
  <c r="S16" i="1"/>
  <c r="K6" i="8" s="1"/>
  <c r="T16" i="1"/>
  <c r="L6" i="8" s="1"/>
  <c r="U16" i="1"/>
  <c r="M6" i="8" s="1"/>
  <c r="V16" i="1"/>
  <c r="N6" i="8" s="1"/>
  <c r="R16" i="1"/>
  <c r="R17" i="4"/>
  <c r="S17" i="4"/>
  <c r="T17" i="4"/>
  <c r="U17" i="4"/>
  <c r="V17" i="4"/>
  <c r="R18" i="4"/>
  <c r="S18" i="4"/>
  <c r="T18" i="4"/>
  <c r="U18" i="4"/>
  <c r="V18" i="4"/>
  <c r="R19" i="4"/>
  <c r="S19" i="4"/>
  <c r="T19" i="4"/>
  <c r="U19" i="4"/>
  <c r="V19" i="4"/>
  <c r="S16" i="4"/>
  <c r="T16" i="4"/>
  <c r="U16" i="4"/>
  <c r="V16" i="4"/>
  <c r="R16" i="4"/>
  <c r="J6" i="8" l="1"/>
  <c r="Z34" i="1"/>
  <c r="AD21" i="5"/>
  <c r="Z22" i="5"/>
  <c r="AA22" i="5"/>
  <c r="Z21" i="5"/>
  <c r="AB22" i="5"/>
  <c r="AC22" i="5"/>
  <c r="AD22" i="5"/>
  <c r="Z23" i="5"/>
  <c r="AA21" i="5"/>
  <c r="AA23" i="5"/>
  <c r="AB23" i="5"/>
  <c r="AC23" i="5"/>
  <c r="AD23" i="5"/>
  <c r="AB21" i="5"/>
  <c r="AC21" i="5"/>
  <c r="V26" i="5"/>
  <c r="U26" i="5"/>
  <c r="T26" i="5"/>
  <c r="S26" i="5"/>
  <c r="R26" i="5"/>
  <c r="W22" i="5"/>
  <c r="AE22" i="5" s="1"/>
  <c r="W21" i="5"/>
  <c r="AE21" i="5" s="1"/>
  <c r="W23" i="5"/>
  <c r="AE23" i="5" s="1"/>
  <c r="G10" i="4"/>
  <c r="W24" i="5"/>
  <c r="W19" i="1"/>
  <c r="W10" i="4"/>
  <c r="W20" i="5"/>
  <c r="W19" i="5"/>
  <c r="V20" i="4"/>
  <c r="R20" i="4"/>
  <c r="W19" i="4"/>
  <c r="T20" i="4"/>
  <c r="W16" i="4"/>
  <c r="W17" i="1"/>
  <c r="W17" i="4"/>
  <c r="R20" i="1"/>
  <c r="S20" i="1"/>
  <c r="T20" i="1"/>
  <c r="U20" i="1"/>
  <c r="W18" i="1"/>
  <c r="V20" i="1"/>
  <c r="W16" i="1"/>
  <c r="W18" i="4"/>
  <c r="U20" i="4"/>
  <c r="S20" i="4"/>
  <c r="W26" i="5" l="1"/>
  <c r="W20" i="4"/>
  <c r="W20" i="1"/>
  <c r="V10" i="1"/>
  <c r="U10" i="1"/>
  <c r="T10" i="1"/>
  <c r="S10" i="1"/>
  <c r="R10" i="1"/>
  <c r="W9" i="1"/>
  <c r="W8" i="1"/>
  <c r="W7" i="1"/>
  <c r="W6" i="1"/>
  <c r="F10" i="1"/>
  <c r="E10" i="1"/>
  <c r="D10" i="1"/>
  <c r="C10" i="1"/>
  <c r="B10" i="1"/>
  <c r="G9" i="1"/>
  <c r="G8" i="1"/>
  <c r="G7" i="1"/>
  <c r="G6" i="1"/>
  <c r="W11" i="5"/>
  <c r="W7" i="5"/>
  <c r="W6" i="5"/>
  <c r="G7" i="5"/>
  <c r="G11" i="5"/>
  <c r="G6" i="5"/>
  <c r="G16" i="1" l="1"/>
  <c r="W13" i="5"/>
  <c r="W37" i="5" s="1"/>
  <c r="G13" i="5"/>
  <c r="B20" i="5"/>
  <c r="C24" i="5"/>
  <c r="G24" i="5"/>
  <c r="AE24" i="5" s="1"/>
  <c r="M24" i="5"/>
  <c r="B24" i="5"/>
  <c r="F24" i="5"/>
  <c r="L24" i="5"/>
  <c r="E24" i="5"/>
  <c r="K24" i="5"/>
  <c r="O24" i="5"/>
  <c r="J24" i="5"/>
  <c r="D24" i="5"/>
  <c r="N24" i="5"/>
  <c r="C20" i="5"/>
  <c r="G20" i="5"/>
  <c r="AE20" i="5" s="1"/>
  <c r="M20" i="5"/>
  <c r="F20" i="5"/>
  <c r="L20" i="5"/>
  <c r="E20" i="5"/>
  <c r="K20" i="5"/>
  <c r="O20" i="5"/>
  <c r="D20" i="5"/>
  <c r="N20" i="5"/>
  <c r="J20" i="5"/>
  <c r="E19" i="5"/>
  <c r="K19" i="5"/>
  <c r="O19" i="5"/>
  <c r="D19" i="5"/>
  <c r="J19" i="5"/>
  <c r="N19" i="5"/>
  <c r="C19" i="5"/>
  <c r="G19" i="5"/>
  <c r="AE19" i="5" s="1"/>
  <c r="M19" i="5"/>
  <c r="F19" i="5"/>
  <c r="L19" i="5"/>
  <c r="B19" i="5"/>
  <c r="L19" i="1"/>
  <c r="F19" i="1"/>
  <c r="F9" i="8" s="1"/>
  <c r="B19" i="1"/>
  <c r="B9" i="8" s="1"/>
  <c r="M19" i="1"/>
  <c r="G19" i="1"/>
  <c r="N19" i="1"/>
  <c r="J19" i="1"/>
  <c r="D19" i="1"/>
  <c r="D9" i="8" s="1"/>
  <c r="C19" i="1"/>
  <c r="C9" i="8" s="1"/>
  <c r="O19" i="1"/>
  <c r="K19" i="1"/>
  <c r="E19" i="1"/>
  <c r="E9" i="8" s="1"/>
  <c r="G18" i="4"/>
  <c r="C18" i="4"/>
  <c r="O18" i="4"/>
  <c r="K18" i="4"/>
  <c r="L18" i="4"/>
  <c r="E18" i="4"/>
  <c r="M18" i="4"/>
  <c r="D18" i="4"/>
  <c r="F18" i="4"/>
  <c r="B18" i="4"/>
  <c r="N18" i="4"/>
  <c r="J18" i="4"/>
  <c r="N18" i="1"/>
  <c r="J18" i="1"/>
  <c r="D18" i="1"/>
  <c r="D8" i="8" s="1"/>
  <c r="O18" i="1"/>
  <c r="K18" i="1"/>
  <c r="L18" i="1"/>
  <c r="F18" i="1"/>
  <c r="F8" i="8" s="1"/>
  <c r="B18" i="1"/>
  <c r="B8" i="8" s="1"/>
  <c r="M18" i="1"/>
  <c r="G18" i="1"/>
  <c r="C18" i="1"/>
  <c r="C8" i="8" s="1"/>
  <c r="E18" i="1"/>
  <c r="E8" i="8" s="1"/>
  <c r="W10" i="1"/>
  <c r="W28" i="1" s="1"/>
  <c r="E17" i="4"/>
  <c r="M17" i="4"/>
  <c r="F17" i="4"/>
  <c r="G17" i="4"/>
  <c r="C17" i="4"/>
  <c r="O17" i="4"/>
  <c r="K17" i="4"/>
  <c r="J17" i="4"/>
  <c r="D17" i="4"/>
  <c r="L17" i="4"/>
  <c r="B17" i="4"/>
  <c r="N17" i="4"/>
  <c r="G10" i="1"/>
  <c r="L17" i="1"/>
  <c r="F17" i="1"/>
  <c r="F7" i="8" s="1"/>
  <c r="B17" i="1"/>
  <c r="B7" i="8" s="1"/>
  <c r="M17" i="1"/>
  <c r="G17" i="1"/>
  <c r="N17" i="1"/>
  <c r="J17" i="1"/>
  <c r="D17" i="1"/>
  <c r="D7" i="8" s="1"/>
  <c r="C17" i="1"/>
  <c r="C7" i="8" s="1"/>
  <c r="O17" i="1"/>
  <c r="K17" i="1"/>
  <c r="E17" i="1"/>
  <c r="E7" i="8" s="1"/>
  <c r="G16" i="4"/>
  <c r="C16" i="4"/>
  <c r="O16" i="4"/>
  <c r="K16" i="4"/>
  <c r="E16" i="4"/>
  <c r="M16" i="4"/>
  <c r="D16" i="4"/>
  <c r="F16" i="4"/>
  <c r="B16" i="4"/>
  <c r="N16" i="4"/>
  <c r="J16" i="4"/>
  <c r="L16" i="4"/>
  <c r="N16" i="1"/>
  <c r="J16" i="1"/>
  <c r="D16" i="1"/>
  <c r="K16" i="1"/>
  <c r="E16" i="1"/>
  <c r="L16" i="1"/>
  <c r="F16" i="1"/>
  <c r="B16" i="1"/>
  <c r="O16" i="1"/>
  <c r="M16" i="1"/>
  <c r="C16" i="1"/>
  <c r="E19" i="4"/>
  <c r="M19" i="4"/>
  <c r="F19" i="4"/>
  <c r="N19" i="4"/>
  <c r="G19" i="4"/>
  <c r="C19" i="4"/>
  <c r="O19" i="4"/>
  <c r="K19" i="4"/>
  <c r="J19" i="4"/>
  <c r="D19" i="4"/>
  <c r="L19" i="4"/>
  <c r="B19" i="4"/>
  <c r="W28" i="4"/>
  <c r="Y34" i="1" l="1"/>
  <c r="E6" i="8"/>
  <c r="E20" i="1"/>
  <c r="F6" i="8"/>
  <c r="F20" i="1"/>
  <c r="C6" i="8"/>
  <c r="C20" i="1"/>
  <c r="D6" i="8"/>
  <c r="D20" i="1"/>
  <c r="B6" i="8"/>
  <c r="B20" i="1"/>
  <c r="G20" i="1"/>
  <c r="K10" i="8"/>
  <c r="J10" i="8"/>
  <c r="O6" i="8"/>
  <c r="G7" i="8"/>
  <c r="L10" i="8"/>
  <c r="O7" i="8"/>
  <c r="O9" i="8"/>
  <c r="G9" i="8"/>
  <c r="E10" i="8"/>
  <c r="C10" i="8"/>
  <c r="M10" i="8"/>
  <c r="N10" i="8"/>
  <c r="G8" i="8"/>
  <c r="B10" i="8"/>
  <c r="G6" i="8"/>
  <c r="D10" i="8"/>
  <c r="F10" i="8"/>
  <c r="O8" i="8"/>
  <c r="W32" i="5"/>
  <c r="AH24" i="5"/>
  <c r="Z24" i="5"/>
  <c r="AK24" i="5"/>
  <c r="AC24" i="5"/>
  <c r="AL20" i="5"/>
  <c r="AD20" i="5"/>
  <c r="AL19" i="5"/>
  <c r="AD19" i="5"/>
  <c r="AI24" i="5"/>
  <c r="AA24" i="5"/>
  <c r="AH20" i="5"/>
  <c r="Z20" i="5"/>
  <c r="AI19" i="5"/>
  <c r="AA19" i="5"/>
  <c r="AJ20" i="5"/>
  <c r="AB20" i="5"/>
  <c r="AJ24" i="5"/>
  <c r="AB24" i="5"/>
  <c r="W33" i="5"/>
  <c r="AK20" i="5"/>
  <c r="AC20" i="5"/>
  <c r="AH19" i="5"/>
  <c r="Z19" i="5"/>
  <c r="AJ19" i="5"/>
  <c r="AB19" i="5"/>
  <c r="AM24" i="5"/>
  <c r="AL24" i="5"/>
  <c r="AD24" i="5"/>
  <c r="AI20" i="5"/>
  <c r="AA20" i="5"/>
  <c r="AM20" i="5"/>
  <c r="AK19" i="5"/>
  <c r="AC19" i="5"/>
  <c r="AM19" i="5"/>
  <c r="S39" i="5"/>
  <c r="W39" i="5"/>
  <c r="U36" i="5"/>
  <c r="S35" i="5"/>
  <c r="R32" i="5"/>
  <c r="T33" i="5"/>
  <c r="V39" i="5"/>
  <c r="T35" i="5"/>
  <c r="D26" i="5"/>
  <c r="U37" i="5"/>
  <c r="U35" i="5"/>
  <c r="T39" i="5"/>
  <c r="S37" i="5"/>
  <c r="V35" i="5"/>
  <c r="S34" i="5"/>
  <c r="T34" i="5"/>
  <c r="G26" i="5"/>
  <c r="AM26" i="5" s="1"/>
  <c r="W38" i="5"/>
  <c r="R37" i="5"/>
  <c r="S36" i="5"/>
  <c r="U39" i="5"/>
  <c r="K26" i="5"/>
  <c r="R35" i="5"/>
  <c r="T37" i="5"/>
  <c r="R36" i="5"/>
  <c r="U34" i="5"/>
  <c r="S33" i="5"/>
  <c r="E26" i="5"/>
  <c r="F26" i="5"/>
  <c r="R39" i="5"/>
  <c r="T36" i="5"/>
  <c r="V34" i="5"/>
  <c r="V33" i="5"/>
  <c r="B26" i="5"/>
  <c r="S38" i="5"/>
  <c r="T38" i="5"/>
  <c r="U38" i="5"/>
  <c r="J26" i="5"/>
  <c r="M26" i="5"/>
  <c r="V37" i="5"/>
  <c r="U32" i="5"/>
  <c r="C26" i="5"/>
  <c r="U33" i="5"/>
  <c r="R33" i="5"/>
  <c r="N26" i="5"/>
  <c r="O26" i="5"/>
  <c r="M37" i="5" s="1"/>
  <c r="V38" i="5"/>
  <c r="L26" i="5"/>
  <c r="R34" i="5"/>
  <c r="R38" i="5"/>
  <c r="S32" i="5"/>
  <c r="T32" i="5"/>
  <c r="V32" i="5"/>
  <c r="V36" i="5"/>
  <c r="W36" i="5"/>
  <c r="W34" i="5"/>
  <c r="W35" i="5"/>
  <c r="S29" i="1"/>
  <c r="V29" i="1"/>
  <c r="E25" i="5"/>
  <c r="K25" i="5"/>
  <c r="O25" i="5"/>
  <c r="D25" i="5"/>
  <c r="J25" i="5"/>
  <c r="N25" i="5"/>
  <c r="C25" i="5"/>
  <c r="G25" i="5"/>
  <c r="M25" i="5"/>
  <c r="B25" i="5"/>
  <c r="L25" i="5"/>
  <c r="F25" i="5"/>
  <c r="W25" i="1"/>
  <c r="W26" i="1"/>
  <c r="R29" i="1"/>
  <c r="R29" i="4"/>
  <c r="R25" i="4"/>
  <c r="W27" i="1"/>
  <c r="U29" i="4"/>
  <c r="T29" i="1"/>
  <c r="AC19" i="4"/>
  <c r="AK19" i="4" s="1"/>
  <c r="G20" i="4"/>
  <c r="G29" i="4" s="1"/>
  <c r="C20" i="4"/>
  <c r="O20" i="4"/>
  <c r="L28" i="4" s="1"/>
  <c r="K20" i="4"/>
  <c r="E20" i="4"/>
  <c r="M20" i="4"/>
  <c r="D20" i="4"/>
  <c r="F20" i="4"/>
  <c r="B20" i="4"/>
  <c r="N20" i="4"/>
  <c r="J20" i="4"/>
  <c r="L20" i="4"/>
  <c r="V28" i="4"/>
  <c r="R28" i="4"/>
  <c r="T27" i="4"/>
  <c r="V26" i="4"/>
  <c r="R26" i="4"/>
  <c r="T25" i="4"/>
  <c r="S28" i="4"/>
  <c r="U27" i="4"/>
  <c r="S26" i="4"/>
  <c r="U25" i="4"/>
  <c r="T28" i="4"/>
  <c r="V27" i="4"/>
  <c r="R27" i="4"/>
  <c r="T26" i="4"/>
  <c r="V25" i="4"/>
  <c r="W29" i="4"/>
  <c r="U28" i="4"/>
  <c r="S27" i="4"/>
  <c r="U26" i="4"/>
  <c r="S25" i="4"/>
  <c r="AD16" i="4"/>
  <c r="AL16" i="4" s="1"/>
  <c r="AC16" i="4"/>
  <c r="AK16" i="4" s="1"/>
  <c r="AA17" i="1"/>
  <c r="AI17" i="1" s="1"/>
  <c r="Z17" i="1"/>
  <c r="AH17" i="1" s="1"/>
  <c r="AB17" i="4"/>
  <c r="AJ17" i="4" s="1"/>
  <c r="AE17" i="4"/>
  <c r="AM17" i="4" s="1"/>
  <c r="AC17" i="4"/>
  <c r="AK17" i="4" s="1"/>
  <c r="AC18" i="1"/>
  <c r="AK18" i="1" s="1"/>
  <c r="AA18" i="1"/>
  <c r="AI18" i="1" s="1"/>
  <c r="AD18" i="1"/>
  <c r="AL18" i="1" s="1"/>
  <c r="Z18" i="4"/>
  <c r="AH18" i="4" s="1"/>
  <c r="AA18" i="4"/>
  <c r="AI18" i="4" s="1"/>
  <c r="AB19" i="1"/>
  <c r="AJ19" i="1" s="1"/>
  <c r="AB19" i="4"/>
  <c r="AJ19" i="4" s="1"/>
  <c r="AE19" i="4"/>
  <c r="AM19" i="4" s="1"/>
  <c r="AA16" i="1"/>
  <c r="AI16" i="1" s="1"/>
  <c r="Z16" i="4"/>
  <c r="AH16" i="4" s="1"/>
  <c r="AE16" i="4"/>
  <c r="AM16" i="4" s="1"/>
  <c r="AC17" i="1"/>
  <c r="AK17" i="1" s="1"/>
  <c r="AA17" i="4"/>
  <c r="AI17" i="4" s="1"/>
  <c r="N20" i="1"/>
  <c r="J20" i="1"/>
  <c r="R25" i="1"/>
  <c r="O20" i="1"/>
  <c r="K27" i="1" s="1"/>
  <c r="K20" i="1"/>
  <c r="L20" i="1"/>
  <c r="M20" i="1"/>
  <c r="G29" i="1"/>
  <c r="T28" i="1"/>
  <c r="V27" i="1"/>
  <c r="R27" i="1"/>
  <c r="T26" i="1"/>
  <c r="V25" i="1"/>
  <c r="S25" i="1"/>
  <c r="W29" i="1"/>
  <c r="U28" i="1"/>
  <c r="S27" i="1"/>
  <c r="U26" i="1"/>
  <c r="V28" i="1"/>
  <c r="R28" i="1"/>
  <c r="T27" i="1"/>
  <c r="V26" i="1"/>
  <c r="R26" i="1"/>
  <c r="T25" i="1"/>
  <c r="S28" i="1"/>
  <c r="U27" i="1"/>
  <c r="S26" i="1"/>
  <c r="U25" i="1"/>
  <c r="AB18" i="1"/>
  <c r="AJ18" i="1" s="1"/>
  <c r="Z18" i="1"/>
  <c r="AH18" i="1" s="1"/>
  <c r="AB18" i="4"/>
  <c r="AJ18" i="4" s="1"/>
  <c r="AE19" i="1"/>
  <c r="AM19" i="1" s="1"/>
  <c r="AD19" i="1"/>
  <c r="AL19" i="1" s="1"/>
  <c r="W27" i="4"/>
  <c r="AD19" i="4"/>
  <c r="AL19" i="4" s="1"/>
  <c r="AE16" i="1"/>
  <c r="AM16" i="1" s="1"/>
  <c r="AD16" i="1"/>
  <c r="AL16" i="1" s="1"/>
  <c r="AB16" i="4"/>
  <c r="AJ16" i="4" s="1"/>
  <c r="AA16" i="4"/>
  <c r="AI16" i="4" s="1"/>
  <c r="AB17" i="1"/>
  <c r="AJ17" i="1" s="1"/>
  <c r="AD17" i="4"/>
  <c r="AL17" i="4" s="1"/>
  <c r="Z17" i="4"/>
  <c r="AH17" i="4" s="1"/>
  <c r="AA19" i="1"/>
  <c r="AI19" i="1" s="1"/>
  <c r="Z19" i="1"/>
  <c r="AH19" i="1" s="1"/>
  <c r="U29" i="1"/>
  <c r="AA19" i="4"/>
  <c r="AI19" i="4" s="1"/>
  <c r="Z19" i="4"/>
  <c r="AH19" i="4" s="1"/>
  <c r="AC16" i="1"/>
  <c r="AK16" i="1" s="1"/>
  <c r="AB16" i="1"/>
  <c r="AJ16" i="1" s="1"/>
  <c r="Z16" i="1"/>
  <c r="AH16" i="1" s="1"/>
  <c r="AE17" i="1"/>
  <c r="AM17" i="1" s="1"/>
  <c r="AD17" i="1"/>
  <c r="AL17" i="1" s="1"/>
  <c r="AE18" i="1"/>
  <c r="AM18" i="1" s="1"/>
  <c r="AD18" i="4"/>
  <c r="AL18" i="4" s="1"/>
  <c r="AC18" i="4"/>
  <c r="AK18" i="4" s="1"/>
  <c r="AE18" i="4"/>
  <c r="AM18" i="4" s="1"/>
  <c r="AC19" i="1"/>
  <c r="AK19" i="1" s="1"/>
  <c r="V29" i="4"/>
  <c r="W25" i="4"/>
  <c r="S29" i="4"/>
  <c r="W26" i="4"/>
  <c r="T29" i="4"/>
  <c r="Z35" i="1" l="1"/>
  <c r="W38" i="1"/>
  <c r="G10" i="8"/>
  <c r="G19" i="8" s="1"/>
  <c r="O10" i="8"/>
  <c r="J19" i="8" s="1"/>
  <c r="AL26" i="5"/>
  <c r="AD26" i="5"/>
  <c r="AI26" i="5"/>
  <c r="AA26" i="5"/>
  <c r="AJ26" i="5"/>
  <c r="AB26" i="5"/>
  <c r="AL25" i="5"/>
  <c r="AD25" i="5"/>
  <c r="AK26" i="5"/>
  <c r="AC26" i="5"/>
  <c r="AH25" i="5"/>
  <c r="Z25" i="5"/>
  <c r="G38" i="5"/>
  <c r="AM25" i="5"/>
  <c r="AE25" i="5"/>
  <c r="E32" i="5"/>
  <c r="AE26" i="5"/>
  <c r="AI25" i="5"/>
  <c r="AA25" i="5"/>
  <c r="AH26" i="5"/>
  <c r="Z26" i="5"/>
  <c r="N38" i="5"/>
  <c r="V51" i="5" s="1"/>
  <c r="J38" i="5"/>
  <c r="R51" i="5" s="1"/>
  <c r="AJ25" i="5"/>
  <c r="AB25" i="5"/>
  <c r="AK25" i="5"/>
  <c r="AC25" i="5"/>
  <c r="O38" i="5"/>
  <c r="W51" i="5" s="1"/>
  <c r="K38" i="5"/>
  <c r="S51" i="5" s="1"/>
  <c r="N33" i="5"/>
  <c r="V46" i="5" s="1"/>
  <c r="J32" i="5"/>
  <c r="R45" i="5" s="1"/>
  <c r="F33" i="5"/>
  <c r="K32" i="5"/>
  <c r="S45" i="5" s="1"/>
  <c r="C32" i="5"/>
  <c r="F38" i="5"/>
  <c r="D37" i="5"/>
  <c r="G33" i="5"/>
  <c r="L38" i="5"/>
  <c r="T51" i="5" s="1"/>
  <c r="O37" i="5"/>
  <c r="W50" i="5" s="1"/>
  <c r="B38" i="5"/>
  <c r="O33" i="5"/>
  <c r="W46" i="5" s="1"/>
  <c r="N32" i="5"/>
  <c r="V45" i="5" s="1"/>
  <c r="M38" i="5"/>
  <c r="U51" i="5" s="1"/>
  <c r="K39" i="5"/>
  <c r="S52" i="5" s="1"/>
  <c r="D33" i="5"/>
  <c r="B33" i="5"/>
  <c r="C37" i="5"/>
  <c r="F32" i="5"/>
  <c r="J37" i="5"/>
  <c r="R50" i="5" s="1"/>
  <c r="D39" i="5"/>
  <c r="M33" i="5"/>
  <c r="U46" i="5" s="1"/>
  <c r="M39" i="5"/>
  <c r="U52" i="5" s="1"/>
  <c r="G37" i="5"/>
  <c r="J39" i="5"/>
  <c r="R52" i="5" s="1"/>
  <c r="L32" i="5"/>
  <c r="T45" i="5" s="1"/>
  <c r="G32" i="5"/>
  <c r="B32" i="5"/>
  <c r="D38" i="5"/>
  <c r="C38" i="5"/>
  <c r="G39" i="5"/>
  <c r="B35" i="5"/>
  <c r="F36" i="5"/>
  <c r="G36" i="5"/>
  <c r="B36" i="5"/>
  <c r="C35" i="5"/>
  <c r="E35" i="5"/>
  <c r="B34" i="5"/>
  <c r="D35" i="5"/>
  <c r="C34" i="5"/>
  <c r="F34" i="5"/>
  <c r="C36" i="5"/>
  <c r="E34" i="5"/>
  <c r="F35" i="5"/>
  <c r="G34" i="5"/>
  <c r="D34" i="5"/>
  <c r="D36" i="5"/>
  <c r="G35" i="5"/>
  <c r="E36" i="5"/>
  <c r="N39" i="5"/>
  <c r="V52" i="5" s="1"/>
  <c r="B39" i="5"/>
  <c r="B37" i="5"/>
  <c r="C33" i="5"/>
  <c r="F37" i="5"/>
  <c r="O39" i="5"/>
  <c r="W52" i="5" s="1"/>
  <c r="J34" i="5"/>
  <c r="R47" i="5" s="1"/>
  <c r="K35" i="5"/>
  <c r="S48" i="5" s="1"/>
  <c r="O36" i="5"/>
  <c r="W49" i="5" s="1"/>
  <c r="L34" i="5"/>
  <c r="T47" i="5" s="1"/>
  <c r="O34" i="5"/>
  <c r="W47" i="5" s="1"/>
  <c r="L35" i="5"/>
  <c r="T48" i="5" s="1"/>
  <c r="L36" i="5"/>
  <c r="T49" i="5" s="1"/>
  <c r="J35" i="5"/>
  <c r="R48" i="5" s="1"/>
  <c r="K34" i="5"/>
  <c r="S47" i="5" s="1"/>
  <c r="O35" i="5"/>
  <c r="W48" i="5" s="1"/>
  <c r="M35" i="5"/>
  <c r="U48" i="5" s="1"/>
  <c r="K36" i="5"/>
  <c r="S49" i="5" s="1"/>
  <c r="N36" i="5"/>
  <c r="V49" i="5" s="1"/>
  <c r="N35" i="5"/>
  <c r="V48" i="5" s="1"/>
  <c r="J36" i="5"/>
  <c r="R49" i="5" s="1"/>
  <c r="N34" i="5"/>
  <c r="V47" i="5" s="1"/>
  <c r="M34" i="5"/>
  <c r="U47" i="5" s="1"/>
  <c r="M36" i="5"/>
  <c r="U49" i="5" s="1"/>
  <c r="O32" i="5"/>
  <c r="W45" i="5" s="1"/>
  <c r="K33" i="5"/>
  <c r="S46" i="5" s="1"/>
  <c r="E38" i="5"/>
  <c r="L37" i="5"/>
  <c r="T50" i="5" s="1"/>
  <c r="F39" i="5"/>
  <c r="L33" i="5"/>
  <c r="T46" i="5" s="1"/>
  <c r="E33" i="5"/>
  <c r="L39" i="5"/>
  <c r="T52" i="5" s="1"/>
  <c r="E39" i="5"/>
  <c r="D32" i="5"/>
  <c r="E37" i="5"/>
  <c r="C39" i="5"/>
  <c r="M32" i="5"/>
  <c r="U45" i="5" s="1"/>
  <c r="N37" i="5"/>
  <c r="V50" i="5" s="1"/>
  <c r="K37" i="5"/>
  <c r="S50" i="5" s="1"/>
  <c r="J33" i="5"/>
  <c r="R46" i="5" s="1"/>
  <c r="E25" i="1"/>
  <c r="U34" i="1" s="1"/>
  <c r="D26" i="1"/>
  <c r="T35" i="1" s="1"/>
  <c r="E28" i="1"/>
  <c r="U37" i="1" s="1"/>
  <c r="B28" i="1"/>
  <c r="R37" i="1" s="1"/>
  <c r="C27" i="4"/>
  <c r="U50" i="5"/>
  <c r="C28" i="4"/>
  <c r="G27" i="4"/>
  <c r="F28" i="4"/>
  <c r="K27" i="4"/>
  <c r="S36" i="4" s="1"/>
  <c r="M25" i="1"/>
  <c r="N28" i="1"/>
  <c r="O26" i="1"/>
  <c r="J27" i="1"/>
  <c r="J25" i="4"/>
  <c r="R34" i="4" s="1"/>
  <c r="B25" i="4"/>
  <c r="J26" i="4"/>
  <c r="R35" i="4" s="1"/>
  <c r="L26" i="4"/>
  <c r="T35" i="4" s="1"/>
  <c r="M25" i="4"/>
  <c r="U34" i="4" s="1"/>
  <c r="O27" i="4"/>
  <c r="W36" i="4" s="1"/>
  <c r="N27" i="4"/>
  <c r="V36" i="4" s="1"/>
  <c r="J28" i="4"/>
  <c r="R37" i="4" s="1"/>
  <c r="K28" i="4"/>
  <c r="S37" i="4" s="1"/>
  <c r="N26" i="4"/>
  <c r="V35" i="4" s="1"/>
  <c r="L25" i="4"/>
  <c r="T34" i="4" s="1"/>
  <c r="K26" i="4"/>
  <c r="S35" i="4" s="1"/>
  <c r="O28" i="4"/>
  <c r="W37" i="4" s="1"/>
  <c r="M26" i="4"/>
  <c r="U35" i="4" s="1"/>
  <c r="N28" i="4"/>
  <c r="V37" i="4" s="1"/>
  <c r="O25" i="4"/>
  <c r="W34" i="4" s="1"/>
  <c r="J27" i="4"/>
  <c r="R36" i="4" s="1"/>
  <c r="O26" i="4"/>
  <c r="W35" i="4" s="1"/>
  <c r="N25" i="4"/>
  <c r="V34" i="4" s="1"/>
  <c r="M27" i="4"/>
  <c r="U36" i="4" s="1"/>
  <c r="K25" i="4"/>
  <c r="S34" i="4" s="1"/>
  <c r="L27" i="4"/>
  <c r="T36" i="4" s="1"/>
  <c r="G28" i="4"/>
  <c r="G26" i="4"/>
  <c r="F26" i="4"/>
  <c r="E29" i="4"/>
  <c r="E25" i="4"/>
  <c r="C26" i="4"/>
  <c r="G25" i="4"/>
  <c r="N26" i="1"/>
  <c r="B27" i="4"/>
  <c r="L26" i="1"/>
  <c r="N25" i="1"/>
  <c r="O28" i="1"/>
  <c r="D27" i="4"/>
  <c r="D29" i="4"/>
  <c r="E26" i="4"/>
  <c r="J25" i="1"/>
  <c r="E27" i="4"/>
  <c r="F25" i="4"/>
  <c r="K28" i="1"/>
  <c r="O25" i="1"/>
  <c r="F27" i="4"/>
  <c r="B26" i="4"/>
  <c r="D25" i="4"/>
  <c r="D28" i="4"/>
  <c r="B29" i="4"/>
  <c r="D26" i="4"/>
  <c r="E28" i="4"/>
  <c r="M28" i="1"/>
  <c r="O27" i="1"/>
  <c r="L25" i="1"/>
  <c r="B28" i="4"/>
  <c r="J28" i="1"/>
  <c r="L27" i="1"/>
  <c r="C25" i="4"/>
  <c r="E27" i="1"/>
  <c r="U36" i="1" s="1"/>
  <c r="F26" i="1"/>
  <c r="V35" i="1" s="1"/>
  <c r="D27" i="1"/>
  <c r="T36" i="1" s="1"/>
  <c r="G26" i="1"/>
  <c r="W35" i="1" s="1"/>
  <c r="E26" i="1"/>
  <c r="U35" i="1" s="1"/>
  <c r="B25" i="1"/>
  <c r="R34" i="1" s="1"/>
  <c r="C27" i="1"/>
  <c r="S36" i="1" s="1"/>
  <c r="G27" i="1"/>
  <c r="W36" i="1" s="1"/>
  <c r="K25" i="1"/>
  <c r="D28" i="1"/>
  <c r="T37" i="1" s="1"/>
  <c r="B27" i="1"/>
  <c r="R36" i="1" s="1"/>
  <c r="F27" i="1"/>
  <c r="V36" i="1" s="1"/>
  <c r="C26" i="1"/>
  <c r="S35" i="1" s="1"/>
  <c r="F28" i="1"/>
  <c r="V37" i="1" s="1"/>
  <c r="C25" i="1"/>
  <c r="S34" i="1" s="1"/>
  <c r="E29" i="1"/>
  <c r="U38" i="1" s="1"/>
  <c r="K29" i="1"/>
  <c r="AA20" i="1"/>
  <c r="AI20" i="1" s="1"/>
  <c r="J29" i="1"/>
  <c r="Z20" i="1"/>
  <c r="AH20" i="1" s="1"/>
  <c r="G28" i="1"/>
  <c r="W37" i="1" s="1"/>
  <c r="L28" i="1"/>
  <c r="N27" i="1"/>
  <c r="M29" i="1"/>
  <c r="AC20" i="1"/>
  <c r="AK20" i="1" s="1"/>
  <c r="L29" i="1"/>
  <c r="AB20" i="1"/>
  <c r="AJ20" i="1" s="1"/>
  <c r="N29" i="4"/>
  <c r="V38" i="4" s="1"/>
  <c r="AD20" i="4"/>
  <c r="AL20" i="4" s="1"/>
  <c r="M29" i="4"/>
  <c r="U38" i="4" s="1"/>
  <c r="AC20" i="4"/>
  <c r="AK20" i="4" s="1"/>
  <c r="D29" i="1"/>
  <c r="T38" i="1" s="1"/>
  <c r="G25" i="1"/>
  <c r="W34" i="1" s="1"/>
  <c r="K26" i="1"/>
  <c r="C29" i="4"/>
  <c r="J29" i="4"/>
  <c r="R38" i="4" s="1"/>
  <c r="Z20" i="4"/>
  <c r="AH20" i="4" s="1"/>
  <c r="O29" i="4"/>
  <c r="W38" i="4" s="1"/>
  <c r="AE20" i="4"/>
  <c r="AM20" i="4" s="1"/>
  <c r="F29" i="1"/>
  <c r="V38" i="1" s="1"/>
  <c r="F25" i="1"/>
  <c r="V34" i="1" s="1"/>
  <c r="T37" i="4"/>
  <c r="O29" i="1"/>
  <c r="AE20" i="1"/>
  <c r="AM20" i="1" s="1"/>
  <c r="N29" i="1"/>
  <c r="AD20" i="1"/>
  <c r="AL20" i="1" s="1"/>
  <c r="AB20" i="4"/>
  <c r="AJ20" i="4" s="1"/>
  <c r="L29" i="4"/>
  <c r="T38" i="4" s="1"/>
  <c r="K29" i="4"/>
  <c r="S38" i="4" s="1"/>
  <c r="AA20" i="4"/>
  <c r="AI20" i="4" s="1"/>
  <c r="C29" i="1"/>
  <c r="S38" i="1" s="1"/>
  <c r="B29" i="1"/>
  <c r="R38" i="1" s="1"/>
  <c r="M26" i="1"/>
  <c r="C28" i="1"/>
  <c r="S37" i="1" s="1"/>
  <c r="B26" i="1"/>
  <c r="R35" i="1" s="1"/>
  <c r="D25" i="1"/>
  <c r="T34" i="1" s="1"/>
  <c r="M27" i="1"/>
  <c r="J26" i="1"/>
  <c r="F29" i="4"/>
  <c r="M28" i="4"/>
  <c r="U37" i="4" s="1"/>
  <c r="G16" i="8" l="1"/>
  <c r="K19" i="8"/>
  <c r="L19" i="8"/>
  <c r="O16" i="8"/>
  <c r="O18" i="8"/>
  <c r="G18" i="8"/>
  <c r="D19" i="8"/>
  <c r="E19" i="8"/>
  <c r="C19" i="8"/>
  <c r="M19" i="8"/>
  <c r="F19" i="8"/>
  <c r="O15" i="8"/>
  <c r="N19" i="8"/>
  <c r="O17" i="8"/>
  <c r="G17" i="8"/>
  <c r="B19" i="8"/>
  <c r="G15" i="8"/>
  <c r="M15" i="8"/>
  <c r="K17" i="8"/>
  <c r="K18" i="8"/>
  <c r="K15" i="8"/>
  <c r="M17" i="8"/>
  <c r="N18" i="8"/>
  <c r="N15" i="8"/>
  <c r="L17" i="8"/>
  <c r="J18" i="8"/>
  <c r="J15" i="8"/>
  <c r="M18" i="8"/>
  <c r="N17" i="8"/>
  <c r="M16" i="8"/>
  <c r="L18" i="8"/>
  <c r="L15" i="8"/>
  <c r="L16" i="8"/>
  <c r="N16" i="8"/>
  <c r="K16" i="8"/>
  <c r="J17" i="8"/>
  <c r="J16" i="8"/>
  <c r="D18" i="8"/>
  <c r="C17" i="8"/>
  <c r="E16" i="8"/>
  <c r="C16" i="8"/>
  <c r="B17" i="8"/>
  <c r="F15" i="8"/>
  <c r="F18" i="8"/>
  <c r="B16" i="8"/>
  <c r="B15" i="8"/>
  <c r="E17" i="8"/>
  <c r="E15" i="8"/>
  <c r="F17" i="8"/>
  <c r="C18" i="8"/>
  <c r="D15" i="8"/>
  <c r="E18" i="8"/>
  <c r="F16" i="8"/>
  <c r="D16" i="8"/>
  <c r="B18" i="8"/>
  <c r="D17" i="8"/>
  <c r="C15" i="8"/>
  <c r="T11" i="8" l="1"/>
  <c r="T16" i="8"/>
  <c r="T17" i="8"/>
  <c r="T15" i="8"/>
  <c r="T12" i="8"/>
  <c r="T19" i="8"/>
  <c r="T20" i="8"/>
  <c r="T9" i="8"/>
  <c r="T8" i="8"/>
  <c r="T6" i="8"/>
  <c r="T22" i="8"/>
  <c r="U22" i="8" s="1"/>
  <c r="V22" i="8" s="1"/>
  <c r="AA19" i="8" s="1"/>
  <c r="T18" i="8"/>
  <c r="T13" i="8"/>
  <c r="T21" i="8"/>
  <c r="T10" i="8"/>
  <c r="T7" i="8"/>
  <c r="U7" i="8" s="1"/>
  <c r="V7" i="8" s="1"/>
  <c r="AA4" i="8" s="1"/>
  <c r="T14" i="8"/>
  <c r="U14" i="8" s="1"/>
  <c r="V14" i="8" s="1"/>
  <c r="AA11" i="8" s="1"/>
  <c r="U19" i="8"/>
  <c r="V19" i="8" s="1"/>
  <c r="AA16" i="8" s="1"/>
  <c r="U10" i="8" l="1"/>
  <c r="V10" i="8" s="1"/>
  <c r="AA7" i="8" s="1"/>
  <c r="U21" i="8"/>
  <c r="V21" i="8" s="1"/>
  <c r="AA18" i="8" s="1"/>
  <c r="U12" i="8"/>
  <c r="V12" i="8" s="1"/>
  <c r="AA9" i="8" s="1"/>
  <c r="U15" i="8"/>
  <c r="V15" i="8" s="1"/>
  <c r="AA12" i="8" s="1"/>
  <c r="U13" i="8"/>
  <c r="V13" i="8" s="1"/>
  <c r="AA10" i="8" s="1"/>
  <c r="U18" i="8"/>
  <c r="V18" i="8" s="1"/>
  <c r="AA15" i="8" s="1"/>
  <c r="U11" i="8"/>
  <c r="V11" i="8" s="1"/>
  <c r="AA8" i="8" s="1"/>
  <c r="O19" i="8"/>
  <c r="U17" i="8"/>
  <c r="V17" i="8" s="1"/>
  <c r="AA14" i="8" s="1"/>
  <c r="U20" i="8"/>
  <c r="V20" i="8" s="1"/>
  <c r="AA17" i="8" s="1"/>
  <c r="U16" i="8"/>
  <c r="V16" i="8" s="1"/>
  <c r="AA13" i="8" s="1"/>
  <c r="U6" i="8"/>
  <c r="V6" i="8" s="1"/>
  <c r="AA3" i="8" s="1"/>
  <c r="U8" i="8"/>
  <c r="V8" i="8" s="1"/>
  <c r="AA5" i="8" s="1"/>
  <c r="U9" i="8"/>
  <c r="V9" i="8" s="1"/>
  <c r="AA6" i="8" s="1"/>
</calcChain>
</file>

<file path=xl/sharedStrings.xml><?xml version="1.0" encoding="utf-8"?>
<sst xmlns="http://schemas.openxmlformats.org/spreadsheetml/2006/main" count="817" uniqueCount="179">
  <si>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</si>
  <si>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</si>
  <si>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</si>
  <si>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</si>
  <si>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</si>
  <si>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</si>
  <si>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</si>
  <si>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</si>
  <si>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</si>
  <si>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</si>
  <si>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</si>
  <si>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</si>
  <si>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</si>
  <si>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</si>
  <si>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</si>
  <si>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</si>
  <si>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</si>
  <si>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</si>
  <si>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</si>
  <si>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</si>
  <si>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</si>
  <si>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</si>
  <si>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</si>
  <si>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</si>
  <si>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</si>
  <si>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</si>
  <si>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HOUSEHOLDS BY COUNTY AND VEHICLES: ACS ADJ</t>
  </si>
  <si>
    <t>HOUSEHOLDS BY COUNTY AND VEHICLES: EST-OBS</t>
  </si>
  <si>
    <t>Williamson</t>
  </si>
  <si>
    <t>Rutherford</t>
  </si>
  <si>
    <t>Sumner</t>
  </si>
  <si>
    <t>Roberston</t>
  </si>
  <si>
    <t>Davidson</t>
  </si>
  <si>
    <t>Maury</t>
  </si>
  <si>
    <t>Wilson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</si>
  <si>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</si>
  <si>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</si>
  <si>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</si>
  <si>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</si>
  <si>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</si>
  <si>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</si>
  <si>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</si>
  <si>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</si>
  <si>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</si>
  <si>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</si>
  <si>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</si>
  <si>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</si>
  <si>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</si>
  <si>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</si>
  <si>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</si>
  <si>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</si>
  <si>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</si>
  <si>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</si>
  <si>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</si>
  <si>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</si>
  <si>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</si>
  <si>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</si>
  <si>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</si>
  <si>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</si>
  <si>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</si>
  <si>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</si>
  <si>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</si>
  <si>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</si>
  <si>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</si>
  <si>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</si>
  <si>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</si>
  <si>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</si>
  <si>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</si>
  <si>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</si>
  <si>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</si>
  <si>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</si>
  <si>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</si>
  <si>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</si>
  <si>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</si>
  <si>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</si>
  <si>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</si>
  <si>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</si>
  <si>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</si>
  <si>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</si>
  <si>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</si>
  <si>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</si>
  <si>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</si>
  <si>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</si>
  <si>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</si>
  <si>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</si>
  <si>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</si>
  <si>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</si>
  <si>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</si>
  <si>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</si>
  <si>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</si>
  <si>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</si>
  <si>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</si>
  <si>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</si>
  <si>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</si>
  <si>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</si>
  <si>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</si>
  <si>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</si>
  <si>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</si>
  <si>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</si>
  <si>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</si>
  <si>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</si>
  <si>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</si>
  <si>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</si>
  <si>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</si>
  <si>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</si>
  <si>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</si>
  <si>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</si>
  <si>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</si>
  <si>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</si>
  <si>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</si>
  <si>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</si>
  <si>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</si>
  <si>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</si>
  <si>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</si>
  <si>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</si>
  <si>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</si>
  <si>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</si>
  <si>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</si>
  <si>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</si>
  <si>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</si>
  <si>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</si>
  <si>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</si>
  <si>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</si>
  <si>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</si>
  <si>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</si>
  <si>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</si>
  <si>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</si>
  <si>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</si>
  <si>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</si>
  <si>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</si>
  <si>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</si>
  <si>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</si>
  <si>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</si>
  <si>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</si>
  <si>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</si>
  <si>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</si>
  <si>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</si>
  <si>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</si>
  <si>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</si>
  <si>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</si>
  <si>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</si>
  <si>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</si>
  <si>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</si>
  <si>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</si>
  <si>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</si>
  <si>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HOUSEHOLDS BY COUNTY AND VEHICLES: Survey ADJ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</si>
  <si>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</si>
  <si>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</si>
  <si>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</si>
  <si>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</si>
  <si>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</si>
  <si>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</si>
  <si>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</si>
  <si>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</si>
  <si>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</si>
  <si>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</si>
  <si>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</si>
  <si>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</si>
  <si>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</si>
  <si>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</si>
  <si>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</si>
  <si>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</si>
  <si>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</si>
  <si>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</si>
  <si>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</si>
  <si>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</si>
  <si>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</si>
  <si>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</si>
  <si>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</si>
  <si>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</si>
  <si>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</si>
  <si>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</si>
  <si>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</si>
  <si>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</si>
  <si>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</si>
  <si>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</t>
  </si>
  <si>
    <t>Table X: Estimated HH by Vehicles and Potential Drivers</t>
  </si>
  <si>
    <t>Table X: Difference of HH by Vehicles and Potential Drivers</t>
  </si>
  <si>
    <t>Table X: Observed HH by Vehicles and Potential Drivers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</si>
</sst>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\ hh:mm:ss"/>
    <numFmt numFmtId="165" formatCode="0.00000000000"/>
  </numFmts>
  <fonts count="15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i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8" fillId="5" borderId="0">
      <alignment wrapText="1"/>
    </xf>
    <xf numFmtId="0" fontId="8" fillId="0" borderId="0">
      <alignment wrapText="1"/>
    </xf>
    <xf numFmtId="164" fontId="8" fillId="0" borderId="0">
      <alignment wrapText="1"/>
    </xf>
    <xf numFmtId="0" fontId="9" fillId="0" borderId="0"/>
    <xf numFmtId="0" fontId="8" fillId="0" borderId="0">
      <alignment wrapText="1"/>
    </xf>
    <xf numFmtId="0" fontId="8" fillId="0" borderId="0">
      <alignment wrapText="1"/>
    </xf>
    <xf numFmtId="0" fontId="8" fillId="0" borderId="0">
      <alignment wrapText="1"/>
    </xf>
    <xf numFmtId="164" fontId="8" fillId="0" borderId="0">
      <alignment wrapText="1"/>
    </xf>
    <xf numFmtId="9" fontId="8" fillId="0" borderId="0" applyFont="0" applyFill="0" applyBorder="0" applyAlignment="0" applyProtection="0"/>
  </cellStyleXfs>
  <cellXfs count="108">
    <xf numFmtId="0" fontId="0" fillId="0" borderId="0" xfId="0"/>
    <xf numFmtId="0" fontId="1" fillId="0" borderId="0" xfId="0" applyFont="1"/>
    <xf numFmtId="0" fontId="2" fillId="0" borderId="2" xfId="0" applyFont="1" applyBorder="1" applyAlignment="1">
      <alignment horizontal="right"/>
    </xf>
    <xf numFmtId="0" fontId="2" fillId="0" borderId="0" xfId="0" applyFont="1" applyAlignment="1">
      <alignment horizontal="left"/>
    </xf>
    <xf numFmtId="3" fontId="0" fillId="0" borderId="0" xfId="0" applyNumberFormat="1"/>
    <xf numFmtId="0" fontId="2" fillId="0" borderId="3" xfId="0" applyFont="1" applyBorder="1" applyAlignment="1">
      <alignment horizontal="left"/>
    </xf>
    <xf numFmtId="3" fontId="0" fillId="0" borderId="3" xfId="0" applyNumberFormat="1" applyBorder="1"/>
    <xf numFmtId="0" fontId="2" fillId="0" borderId="4" xfId="0" applyFont="1" applyBorder="1" applyAlignment="1">
      <alignment horizontal="left"/>
    </xf>
    <xf numFmtId="3" fontId="0" fillId="0" borderId="4" xfId="0" applyNumberForma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3" xfId="0" applyFont="1" applyBorder="1"/>
    <xf numFmtId="0" fontId="0" fillId="0" borderId="1" xfId="0" applyBorder="1"/>
    <xf numFmtId="0" fontId="3" fillId="0" borderId="0" xfId="0" applyFont="1"/>
    <xf numFmtId="0" fontId="2" fillId="0" borderId="0" xfId="0" applyFont="1" applyBorder="1" applyAlignment="1">
      <alignment horizontal="left"/>
    </xf>
    <xf numFmtId="3" fontId="0" fillId="0" borderId="0" xfId="0" applyNumberFormat="1" applyBorder="1"/>
    <xf numFmtId="0" fontId="4" fillId="0" borderId="0" xfId="0" applyFont="1"/>
    <xf numFmtId="9" fontId="0" fillId="0" borderId="0" xfId="0" applyNumberFormat="1"/>
    <xf numFmtId="9" fontId="0" fillId="0" borderId="3" xfId="0" applyNumberFormat="1" applyBorder="1"/>
    <xf numFmtId="9" fontId="0" fillId="0" borderId="4" xfId="0" applyNumberFormat="1" applyBorder="1"/>
    <xf numFmtId="0" fontId="5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9" fontId="0" fillId="2" borderId="0" xfId="0" applyNumberFormat="1" applyFill="1"/>
    <xf numFmtId="0" fontId="2" fillId="2" borderId="4" xfId="0" applyFont="1" applyFill="1" applyBorder="1" applyAlignment="1">
      <alignment horizontal="left"/>
    </xf>
    <xf numFmtId="9" fontId="0" fillId="2" borderId="4" xfId="0" applyNumberFormat="1" applyFill="1" applyBorder="1"/>
    <xf numFmtId="0" fontId="0" fillId="2" borderId="0" xfId="0" applyFill="1"/>
    <xf numFmtId="0" fontId="6" fillId="3" borderId="3" xfId="0" applyFont="1" applyFill="1" applyBorder="1"/>
    <xf numFmtId="0" fontId="7" fillId="3" borderId="2" xfId="0" applyFont="1" applyFill="1" applyBorder="1" applyAlignment="1">
      <alignment horizontal="right"/>
    </xf>
    <xf numFmtId="9" fontId="0" fillId="4" borderId="0" xfId="0" applyNumberFormat="1" applyFill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8" fillId="0" borderId="0" xfId="2" applyAlignment="1"/>
    <xf numFmtId="0" fontId="0" fillId="0" borderId="3" xfId="0" applyBorder="1"/>
    <xf numFmtId="0" fontId="8" fillId="0" borderId="0" xfId="2" applyBorder="1" applyAlignment="1"/>
    <xf numFmtId="9" fontId="0" fillId="0" borderId="0" xfId="0" applyNumberFormat="1" applyBorder="1"/>
    <xf numFmtId="0" fontId="0" fillId="0" borderId="0" xfId="0" applyBorder="1"/>
    <xf numFmtId="0" fontId="10" fillId="0" borderId="0" xfId="0" applyFont="1"/>
    <xf numFmtId="0" fontId="11" fillId="0" borderId="0" xfId="0" applyFont="1"/>
    <xf numFmtId="11" fontId="0" fillId="0" borderId="0" xfId="0" applyNumberFormat="1"/>
    <xf numFmtId="0" fontId="12" fillId="0" borderId="0" xfId="0" applyFont="1"/>
    <xf numFmtId="0" fontId="13" fillId="0" borderId="0" xfId="0" applyFont="1"/>
    <xf numFmtId="11" fontId="12" fillId="0" borderId="0" xfId="0" applyNumberFormat="1" applyFont="1"/>
    <xf numFmtId="0" fontId="2" fillId="0" borderId="5" xfId="0" applyFont="1" applyBorder="1" applyAlignment="1">
      <alignment horizontal="right"/>
    </xf>
    <xf numFmtId="3" fontId="8" fillId="0" borderId="0" xfId="2" applyNumberFormat="1" applyAlignment="1"/>
    <xf numFmtId="0" fontId="14" fillId="0" borderId="0" xfId="0" applyFont="1"/>
    <xf numFmtId="0" fontId="0" fillId="0" borderId="2" xfId="0" applyBorder="1" applyAlignment="1">
      <alignment horizontal="center" vertical="top"/>
    </xf>
    <xf numFmtId="2" fontId="0" fillId="0" borderId="0" xfId="0" applyNumberFormat="1"/>
    <xf numFmtId="21" fontId="0" fillId="0" borderId="0" xfId="0" applyNumberFormat="1"/>
    <xf numFmtId="0" fontId="0" fillId="6" borderId="0" xfId="0" applyFill="1"/>
    <xf numFmtId="165" fontId="0" fillId="0" borderId="0" xfId="0" applyNumberFormat="1"/>
    <xf numFmtId="165" fontId="0" fillId="0" borderId="0" xfId="0" applyNumberFormat="1" applyFill="1"/>
    <xf numFmtId="165" fontId="0" fillId="7" borderId="0" xfId="0" applyNumberFormat="1" applyFill="1"/>
    <xf numFmtId="165" fontId="0" fillId="6" borderId="0" xfId="0" applyNumberFormat="1" applyFill="1"/>
    <xf numFmtId="0" fontId="13" fillId="0" borderId="1" xfId="0" applyFont="1" applyBorder="1"/>
    <xf numFmtId="165" fontId="0" fillId="0" borderId="1" xfId="0" applyNumberFormat="1" applyBorder="1"/>
    <xf numFmtId="2" fontId="0" fillId="0" borderId="1" xfId="0" applyNumberFormat="1" applyBorder="1"/>
    <xf numFmtId="0" fontId="0" fillId="0" borderId="1" xfId="0" applyFill="1" applyBorder="1"/>
    <xf numFmtId="0" fontId="2" fillId="0" borderId="0" xfId="0" applyFont="1" applyFill="1" applyBorder="1" applyAlignment="1">
      <alignment horizontal="right"/>
    </xf>
    <xf numFmtId="9" fontId="0" fillId="0" borderId="0" xfId="9" applyFont="1"/>
    <xf numFmtId="0" fontId="5" fillId="0" borderId="0" xfId="0" applyFont="1"/>
  </cellXfs>
  <cellStyles count="10">
    <cellStyle name="Normal" xfId="0" builtinId="0"/>
    <cellStyle name="Normal 2" xfId="4"/>
    <cellStyle name="Percent" xfId="9" builtinId="5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63"/>
  <sheetViews>
    <sheetView workbookViewId="0">
      <selection activeCell="O15" sqref="O15"/>
    </sheetView>
  </sheetViews>
  <sheetFormatPr defaultRowHeight="15" x14ac:dyDescent="0.25"/>
  <cols>
    <col min="1" max="23" customWidth="true" width="9.28515625" collapsed="true"/>
  </cols>
  <sheetData>
    <row r="1" spans="1:33" ht="21" x14ac:dyDescent="0.35">
      <c r="A1" s="13" t="s">
        <v>142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143</v>
      </c>
      <c r="I3" s="1" t="s">
        <v>18</v>
      </c>
      <c r="Q3" s="16" t="s">
        <v>12</v>
      </c>
    </row>
    <row r="4" spans="1:33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90">
        <v>0</v>
      </c>
      <c r="K5" s="90">
        <v>1</v>
      </c>
      <c r="L5" s="90">
        <v>2</v>
      </c>
      <c r="M5" s="90">
        <v>3</v>
      </c>
      <c r="N5" s="9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84" t="s">
        <v>28</v>
      </c>
      <c r="B6" s="4" t="n">
        <v>731.187445148917</v>
      </c>
      <c r="C6" s="4" t="n">
        <v>14048.179614756864</v>
      </c>
      <c r="D6" s="4" t="n">
        <v>31852.082287724534</v>
      </c>
      <c r="E6" s="4" t="n">
        <v>13036.775340453702</v>
      </c>
      <c r="F6" s="4" t="n">
        <v>5266.775149334139</v>
      </c>
      <c r="G6" s="4">
        <f>SUM(B6:F6)</f>
        <v>64934.99983741816</v>
      </c>
      <c r="I6" s="3" t="str">
        <f>$A$6</f>
        <v>Williamson</v>
      </c>
      <c r="J6" s="4">
        <v>1315</v>
      </c>
      <c r="K6" s="4">
        <v>12748</v>
      </c>
      <c r="L6" s="4">
        <v>30783</v>
      </c>
      <c r="M6" s="4">
        <v>13022</v>
      </c>
      <c r="N6" s="4">
        <v>4640</v>
      </c>
      <c r="O6" s="4">
        <f>SUM(J6:N6)</f>
        <v>62508</v>
      </c>
      <c r="Q6" s="3" t="str">
        <f>$A$6</f>
        <v>Williamson</v>
      </c>
      <c r="R6" s="30" t="n">
        <v>1500.0</v>
      </c>
      <c r="S6" s="32" t="n">
        <v>15358.0</v>
      </c>
      <c r="T6" s="34" t="n">
        <v>28921.0</v>
      </c>
      <c r="U6" s="36" t="n">
        <v>13862.0</v>
      </c>
      <c r="V6" s="38" t="n">
        <v>5294.0</v>
      </c>
      <c r="W6" s="4">
        <f>SUM(R6:V6)</f>
        <v>64935</v>
      </c>
    </row>
    <row r="7" spans="1:33" x14ac:dyDescent="0.25">
      <c r="A7" s="85" t="s">
        <v>29</v>
      </c>
      <c r="B7" s="4" t="n">
        <v>2786.8445822957024</v>
      </c>
      <c r="C7" s="4" t="n">
        <v>30698.130753897873</v>
      </c>
      <c r="D7" s="4" t="n">
        <v>40350.62518985948</v>
      </c>
      <c r="E7" s="4" t="n">
        <v>17996.046979219984</v>
      </c>
      <c r="F7" s="4" t="n">
        <v>7231.352015295153</v>
      </c>
      <c r="G7" s="4">
        <f t="shared" ref="G7:G11" si="0">SUM(B7:F7)</f>
        <v>99062.999520568192</v>
      </c>
      <c r="I7" s="3" t="str">
        <f>$A$7</f>
        <v>Rutherford</v>
      </c>
      <c r="J7" s="91">
        <v>2959</v>
      </c>
      <c r="K7" s="91">
        <v>25992</v>
      </c>
      <c r="L7" s="91">
        <v>40468</v>
      </c>
      <c r="M7" s="91">
        <v>15897</v>
      </c>
      <c r="N7" s="91">
        <v>7027</v>
      </c>
      <c r="O7" s="4">
        <f t="shared" ref="O7:O11" si="1">SUM(J7:N7)</f>
        <v>92343</v>
      </c>
      <c r="Q7" s="3" t="str">
        <f>$A$7</f>
        <v>Rutherford</v>
      </c>
      <c r="R7" s="31" t="n">
        <v>4412.0</v>
      </c>
      <c r="S7" s="33" t="n">
        <v>30754.0</v>
      </c>
      <c r="T7" s="35" t="n">
        <v>37895.0</v>
      </c>
      <c r="U7" s="37" t="n">
        <v>18602.0</v>
      </c>
      <c r="V7" s="39" t="n">
        <v>7400.0</v>
      </c>
      <c r="W7" s="4">
        <f t="shared" ref="W7:W12" si="2">SUM(R7:V7)</f>
        <v>99063</v>
      </c>
    </row>
    <row r="8" spans="1:33" x14ac:dyDescent="0.25">
      <c r="A8" s="85" t="s">
        <v>30</v>
      </c>
      <c r="B8" s="4" t="n">
        <v>1158.3919971818311</v>
      </c>
      <c r="C8" s="4" t="n">
        <v>18351.80950882281</v>
      </c>
      <c r="D8" s="4" t="n">
        <v>23603.293067779297</v>
      </c>
      <c r="E8" s="4" t="n">
        <v>13440.683328309799</v>
      </c>
      <c r="F8" s="4" t="n">
        <v>4478.821620875919</v>
      </c>
      <c r="G8" s="4">
        <f t="shared" si="0"/>
        <v>61032.999522969658</v>
      </c>
      <c r="I8" s="3" t="str">
        <f>$A$8</f>
        <v>Sumner</v>
      </c>
      <c r="J8" s="91">
        <v>2080</v>
      </c>
      <c r="K8" s="91">
        <v>16821</v>
      </c>
      <c r="L8" s="91">
        <v>23710</v>
      </c>
      <c r="M8" s="91">
        <v>12092</v>
      </c>
      <c r="N8" s="91">
        <v>4800</v>
      </c>
      <c r="O8" s="4">
        <f t="shared" si="1"/>
        <v>59503</v>
      </c>
      <c r="Q8" s="3" t="str">
        <f>$A$8</f>
        <v>Sumner</v>
      </c>
      <c r="R8" s="79" t="n">
        <v>1784.0</v>
      </c>
      <c r="S8" s="79" t="n">
        <v>17863.0</v>
      </c>
      <c r="T8" s="79" t="n">
        <v>24745.0</v>
      </c>
      <c r="U8" s="79" t="n">
        <v>11874.0</v>
      </c>
      <c r="V8" s="79" t="n">
        <v>4767.0</v>
      </c>
      <c r="W8" s="4">
        <f t="shared" si="2"/>
        <v>61033</v>
      </c>
    </row>
    <row r="9" spans="1:33" x14ac:dyDescent="0.25">
      <c r="A9" s="85" t="s">
        <v>31</v>
      </c>
      <c r="B9" s="15" t="n">
        <v>455.8547404188235</v>
      </c>
      <c r="C9" s="15" t="n">
        <v>6538.127433477676</v>
      </c>
      <c r="D9" s="15" t="n">
        <v>10256.204771444716</v>
      </c>
      <c r="E9" s="15" t="n">
        <v>4672.331646781335</v>
      </c>
      <c r="F9" s="15" t="n">
        <v>2378.481257108821</v>
      </c>
      <c r="G9" s="15">
        <f t="shared" si="0"/>
        <v>24300.999849231372</v>
      </c>
      <c r="I9" s="3" t="str">
        <f>$A$9</f>
        <v>Roberston</v>
      </c>
      <c r="J9" s="91">
        <v>1316</v>
      </c>
      <c r="K9" s="91">
        <v>5456</v>
      </c>
      <c r="L9" s="91">
        <v>9990</v>
      </c>
      <c r="M9" s="91">
        <v>4645</v>
      </c>
      <c r="N9" s="91">
        <v>2386</v>
      </c>
      <c r="O9" s="4">
        <f t="shared" si="1"/>
        <v>23793</v>
      </c>
      <c r="Q9" s="3" t="str">
        <f>$A$9</f>
        <v>Roberston</v>
      </c>
      <c r="R9" s="79" t="n">
        <v>744.0</v>
      </c>
      <c r="S9" s="79" t="n">
        <v>6949.0</v>
      </c>
      <c r="T9" s="79" t="n">
        <v>9815.0</v>
      </c>
      <c r="U9" s="79" t="n">
        <v>4783.0</v>
      </c>
      <c r="V9" s="79" t="n">
        <v>2010.0</v>
      </c>
      <c r="W9" s="4">
        <f t="shared" si="2"/>
        <v>24301</v>
      </c>
    </row>
    <row r="10" spans="1:33" x14ac:dyDescent="0.25">
      <c r="A10" s="85" t="s">
        <v>32</v>
      </c>
      <c r="B10" s="15" t="n">
        <v>31309.188318324675</v>
      </c>
      <c r="C10" s="15" t="n">
        <v>107500.93680698046</v>
      </c>
      <c r="D10" s="15" t="n">
        <v>96594.3281546735</v>
      </c>
      <c r="E10" s="15" t="n">
        <v>30475.768774218</v>
      </c>
      <c r="F10" s="15" t="n">
        <v>10553.781746198596</v>
      </c>
      <c r="G10" s="15">
        <f t="shared" si="0"/>
        <v>276434.00380039524</v>
      </c>
      <c r="I10" s="3" t="str">
        <f>$A$10</f>
        <v>Davidson</v>
      </c>
      <c r="J10" s="91">
        <v>19046</v>
      </c>
      <c r="K10" s="91">
        <v>102775</v>
      </c>
      <c r="L10" s="91">
        <v>91741</v>
      </c>
      <c r="M10" s="91">
        <v>28860</v>
      </c>
      <c r="N10" s="91">
        <v>10055</v>
      </c>
      <c r="O10" s="4">
        <f t="shared" si="1"/>
        <v>252477</v>
      </c>
      <c r="Q10" s="3" t="str">
        <f>$A$10</f>
        <v>Davidson</v>
      </c>
      <c r="R10" s="79" t="n">
        <v>32313.0</v>
      </c>
      <c r="S10" s="79" t="n">
        <v>105313.0</v>
      </c>
      <c r="T10" s="79" t="n">
        <v>87714.0</v>
      </c>
      <c r="U10" s="79" t="n">
        <v>37393.0</v>
      </c>
      <c r="V10" s="79" t="n">
        <v>13701.0</v>
      </c>
      <c r="W10" s="4">
        <f t="shared" si="2"/>
        <v>276434</v>
      </c>
    </row>
    <row r="11" spans="1:33" x14ac:dyDescent="0.25">
      <c r="A11" s="85" t="s">
        <v>33</v>
      </c>
      <c r="B11" s="15" t="n">
        <v>1060.2959524617029</v>
      </c>
      <c r="C11" s="15" t="n">
        <v>10043.683770904117</v>
      </c>
      <c r="D11" s="15" t="n">
        <v>12854.59164798271</v>
      </c>
      <c r="E11" s="15" t="n">
        <v>5749.018292809605</v>
      </c>
      <c r="F11" s="15" t="n">
        <v>2081.410382407391</v>
      </c>
      <c r="G11" s="15">
        <f t="shared" si="0"/>
        <v>31789.000046565525</v>
      </c>
      <c r="I11" s="14" t="str">
        <f>$A$11</f>
        <v>Maury</v>
      </c>
      <c r="J11" s="91">
        <v>1423</v>
      </c>
      <c r="K11" s="91">
        <v>9376</v>
      </c>
      <c r="L11" s="91">
        <v>12932</v>
      </c>
      <c r="M11" s="91">
        <v>5516</v>
      </c>
      <c r="N11" s="91">
        <v>2498</v>
      </c>
      <c r="O11" s="15">
        <f t="shared" si="1"/>
        <v>31745</v>
      </c>
      <c r="Q11" s="14" t="str">
        <f>$A$11</f>
        <v>Maury</v>
      </c>
      <c r="R11" s="81" t="n">
        <v>1259.0</v>
      </c>
      <c r="S11" s="81" t="n">
        <v>10126.0</v>
      </c>
      <c r="T11" s="81" t="n">
        <v>12338.0</v>
      </c>
      <c r="U11" s="81" t="n">
        <v>5807.0</v>
      </c>
      <c r="V11" s="81" t="n">
        <v>2259.0</v>
      </c>
      <c r="W11" s="15">
        <f t="shared" si="2"/>
        <v>31789</v>
      </c>
    </row>
    <row r="12" spans="1:33" x14ac:dyDescent="0.25">
      <c r="A12" s="85" t="s">
        <v>34</v>
      </c>
      <c r="B12" s="15" t="n">
        <v>1699.083906274614</v>
      </c>
      <c r="C12" s="15" t="n">
        <v>9842.47251568767</v>
      </c>
      <c r="D12" s="15" t="n">
        <v>18766.844173414047</v>
      </c>
      <c r="E12" s="15" t="n">
        <v>9372.554709349699</v>
      </c>
      <c r="F12" s="15" t="n">
        <v>3391.0447266239053</v>
      </c>
      <c r="G12" s="15">
        <f>SUM(B12:F12)</f>
        <v>43072.00003134994</v>
      </c>
      <c r="I12" s="14" t="str">
        <f>$A$12</f>
        <v>Wilson</v>
      </c>
      <c r="J12" s="91">
        <v>1446</v>
      </c>
      <c r="K12" s="91">
        <v>9247</v>
      </c>
      <c r="L12" s="91">
        <v>17595</v>
      </c>
      <c r="M12" s="91">
        <v>9265</v>
      </c>
      <c r="N12" s="91">
        <v>3668</v>
      </c>
      <c r="O12" s="15">
        <f>SUM(J12:N12)</f>
        <v>41221</v>
      </c>
      <c r="Q12" s="14" t="str">
        <f>$A$12</f>
        <v>Wilson</v>
      </c>
      <c r="R12" s="15" t="n">
        <v>1321.0</v>
      </c>
      <c r="S12" s="15" t="n">
        <v>11662.0</v>
      </c>
      <c r="T12" s="15" t="n">
        <v>17760.0</v>
      </c>
      <c r="U12" s="15" t="n">
        <v>8666.0</v>
      </c>
      <c r="V12" s="15" t="n">
        <v>3663.0</v>
      </c>
      <c r="W12" s="15">
        <f t="shared" si="2"/>
        <v>43072</v>
      </c>
    </row>
    <row r="13" spans="1:33" ht="15.75" thickBot="1" x14ac:dyDescent="0.3">
      <c r="A13" s="7" t="s">
        <v>4</v>
      </c>
      <c r="B13" s="8">
        <f>SUM(B6:B12)</f>
        <v>39200.846942106269</v>
      </c>
      <c r="C13" s="8">
        <f t="shared" ref="C13:G13" si="3">SUM(C6:C12)</f>
        <v>197023.34040452749</v>
      </c>
      <c r="D13" s="8">
        <f t="shared" si="3"/>
        <v>234277.96929287829</v>
      </c>
      <c r="E13" s="8">
        <f t="shared" si="3"/>
        <v>94743.179071142134</v>
      </c>
      <c r="F13" s="8">
        <f t="shared" si="3"/>
        <v>35381.666897843927</v>
      </c>
      <c r="G13" s="8">
        <f t="shared" si="3"/>
        <v>600627.00260849809</v>
      </c>
      <c r="I13" s="7" t="str">
        <f>$A$13</f>
        <v>Total</v>
      </c>
      <c r="J13" s="8">
        <f>SUM(J6:J12)</f>
        <v>29585</v>
      </c>
      <c r="K13" s="8">
        <f t="shared" ref="K13:O13" si="4">SUM(K6:K12)</f>
        <v>182415</v>
      </c>
      <c r="L13" s="8">
        <f t="shared" si="4"/>
        <v>227219</v>
      </c>
      <c r="M13" s="8">
        <f t="shared" si="4"/>
        <v>89297</v>
      </c>
      <c r="N13" s="8">
        <f t="shared" si="4"/>
        <v>35074</v>
      </c>
      <c r="O13" s="8">
        <f t="shared" si="4"/>
        <v>563590</v>
      </c>
      <c r="Q13" s="7" t="str">
        <f>$A$13</f>
        <v>Total</v>
      </c>
      <c r="R13" s="8">
        <f>SUM(R6:R12)</f>
        <v>38296</v>
      </c>
      <c r="S13" s="8">
        <f t="shared" ref="S13:W13" si="5">SUM(S6:S12)</f>
        <v>200200</v>
      </c>
      <c r="T13" s="8">
        <f t="shared" si="5"/>
        <v>220772</v>
      </c>
      <c r="U13" s="8">
        <f t="shared" si="5"/>
        <v>101769</v>
      </c>
      <c r="V13" s="8">
        <f t="shared" si="5"/>
        <v>39590</v>
      </c>
      <c r="W13" s="8">
        <f t="shared" si="5"/>
        <v>600627</v>
      </c>
    </row>
    <row r="16" spans="1:33" x14ac:dyDescent="0.25">
      <c r="A16" s="1" t="s">
        <v>144</v>
      </c>
      <c r="I16" s="1" t="s">
        <v>19</v>
      </c>
      <c r="Q16" s="16" t="s">
        <v>12</v>
      </c>
      <c r="Y16" s="1" t="s">
        <v>23</v>
      </c>
      <c r="AG16" s="1" t="s">
        <v>17</v>
      </c>
    </row>
    <row r="17" spans="1:39" ht="15.75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Williamson</v>
      </c>
      <c r="B19" s="4">
        <f>($W6/$G6)*B6</f>
        <v>731.18744697963689</v>
      </c>
      <c r="C19" s="4">
        <f t="shared" ref="C19:G19" si="6">($W6/$G6)*C6</f>
        <v>14048.179649930173</v>
      </c>
      <c r="D19" s="4">
        <f t="shared" si="6"/>
        <v>31852.082367474592</v>
      </c>
      <c r="E19" s="4">
        <f t="shared" si="6"/>
        <v>13036.775373094693</v>
      </c>
      <c r="F19" s="4">
        <f t="shared" si="6"/>
        <v>5266.7751625208948</v>
      </c>
      <c r="G19" s="4">
        <f t="shared" si="6"/>
        <v>64934.999999999993</v>
      </c>
      <c r="I19" s="3" t="str">
        <f>$A$6</f>
        <v>Williamson</v>
      </c>
      <c r="J19" s="4">
        <f>($W6/$O6)*J6</f>
        <v>1366.0575446342868</v>
      </c>
      <c r="K19" s="4">
        <f t="shared" ref="K19:O19" si="7">($W6/$O6)*K6</f>
        <v>13242.966980226531</v>
      </c>
      <c r="L19" s="4">
        <f t="shared" si="7"/>
        <v>31978.212468803995</v>
      </c>
      <c r="M19" s="4">
        <f t="shared" si="7"/>
        <v>13527.605586484931</v>
      </c>
      <c r="N19" s="4">
        <f t="shared" si="7"/>
        <v>4820.1574198502594</v>
      </c>
      <c r="O19" s="4">
        <f t="shared" si="7"/>
        <v>64935</v>
      </c>
      <c r="Q19" s="3" t="str">
        <f>$A$6</f>
        <v>Williamson</v>
      </c>
      <c r="R19" s="4">
        <f>R6</f>
        <v>1472</v>
      </c>
      <c r="S19" s="4">
        <f t="shared" ref="S19:V19" si="8">S6</f>
        <v>15319</v>
      </c>
      <c r="T19" s="4">
        <f t="shared" si="8"/>
        <v>28914</v>
      </c>
      <c r="U19" s="4">
        <f t="shared" si="8"/>
        <v>13879</v>
      </c>
      <c r="V19" s="4">
        <f t="shared" si="8"/>
        <v>5351</v>
      </c>
      <c r="W19" s="4">
        <f>SUM(R19:V19)</f>
        <v>64935</v>
      </c>
      <c r="Y19" s="3" t="str">
        <f>$A$6</f>
        <v>Williamson</v>
      </c>
      <c r="Z19" s="4">
        <f>R19-B19</f>
        <v>740.81255302036311</v>
      </c>
      <c r="AA19" s="4">
        <f t="shared" ref="AA19:AE26" si="9">S19-C19</f>
        <v>1270.8203500698273</v>
      </c>
      <c r="AB19" s="4">
        <f t="shared" si="9"/>
        <v>-2938.0823674745916</v>
      </c>
      <c r="AC19" s="4">
        <f t="shared" si="9"/>
        <v>842.22462690530665</v>
      </c>
      <c r="AD19" s="4">
        <f t="shared" si="9"/>
        <v>84.22483747910519</v>
      </c>
      <c r="AE19" s="4">
        <f t="shared" si="9"/>
        <v>0</v>
      </c>
      <c r="AG19" s="3" t="str">
        <f>$A$6</f>
        <v>Williamson</v>
      </c>
      <c r="AH19" s="17">
        <f>(R6-B19)/B19</f>
        <v>1.0131636642293098</v>
      </c>
      <c r="AI19" s="17">
        <f t="shared" ref="AI19:AM19" si="10">(S6-C19)/C19</f>
        <v>9.0461567387212616E-2</v>
      </c>
      <c r="AJ19" s="17">
        <f t="shared" si="10"/>
        <v>-9.2241453277000895E-2</v>
      </c>
      <c r="AK19" s="17">
        <f t="shared" si="10"/>
        <v>6.4603753827306903E-2</v>
      </c>
      <c r="AL19" s="17">
        <f t="shared" si="10"/>
        <v>1.5991728311939506E-2</v>
      </c>
      <c r="AM19" s="17">
        <f t="shared" si="10"/>
        <v>1.1204985930828408E-16</v>
      </c>
    </row>
    <row r="20" spans="1:39" x14ac:dyDescent="0.25">
      <c r="A20" s="3" t="str">
        <f>$A$7</f>
        <v>Rutherford</v>
      </c>
      <c r="B20" s="4">
        <f>($W7/$G7)*B7</f>
        <v>2786.8445957830986</v>
      </c>
      <c r="C20" s="4">
        <f t="shared" ref="C20:G20" si="11">($W7/$G7)*C7</f>
        <v>30698.130902466564</v>
      </c>
      <c r="D20" s="4">
        <f t="shared" si="11"/>
        <v>40350.625385143016</v>
      </c>
      <c r="E20" s="4">
        <f t="shared" si="11"/>
        <v>17996.047066314837</v>
      </c>
      <c r="F20" s="4">
        <f t="shared" si="11"/>
        <v>7231.3520502924803</v>
      </c>
      <c r="G20" s="4">
        <f t="shared" si="11"/>
        <v>99063</v>
      </c>
      <c r="I20" s="3" t="str">
        <f>$A$7</f>
        <v>Rutherford</v>
      </c>
      <c r="J20" s="4">
        <f t="shared" ref="J20:O20" si="12">($W7/$O7)*J7</f>
        <v>3174.3328351905398</v>
      </c>
      <c r="K20" s="4">
        <f t="shared" si="12"/>
        <v>27883.494103505411</v>
      </c>
      <c r="L20" s="4">
        <f t="shared" si="12"/>
        <v>43412.943958935706</v>
      </c>
      <c r="M20" s="4">
        <f t="shared" si="12"/>
        <v>17053.859101393718</v>
      </c>
      <c r="N20" s="4">
        <f t="shared" si="12"/>
        <v>7538.3700009746271</v>
      </c>
      <c r="O20" s="4">
        <f t="shared" si="12"/>
        <v>99063</v>
      </c>
      <c r="Q20" s="3" t="str">
        <f>$A$7</f>
        <v>Rutherford</v>
      </c>
      <c r="R20" s="4">
        <f t="shared" ref="R20:V20" si="13">R7</f>
        <v>4107</v>
      </c>
      <c r="S20" s="4">
        <f t="shared" si="13"/>
        <v>30676</v>
      </c>
      <c r="T20" s="4">
        <f t="shared" si="13"/>
        <v>38128</v>
      </c>
      <c r="U20" s="4">
        <f t="shared" si="13"/>
        <v>18687</v>
      </c>
      <c r="V20" s="4">
        <f t="shared" si="13"/>
        <v>7465</v>
      </c>
      <c r="W20" s="4">
        <f t="shared" ref="W20:W25" si="14">SUM(R20:V20)</f>
        <v>99063</v>
      </c>
      <c r="Y20" s="3" t="str">
        <f>$A$7</f>
        <v>Rutherford</v>
      </c>
      <c r="Z20" s="4">
        <f t="shared" ref="Z20:Z26" si="15">R20-B20</f>
        <v>1320.1554042169014</v>
      </c>
      <c r="AA20" s="4">
        <f t="shared" si="9"/>
        <v>-22.130902466564294</v>
      </c>
      <c r="AB20" s="4">
        <f t="shared" si="9"/>
        <v>-2222.6253851430156</v>
      </c>
      <c r="AC20" s="4">
        <f t="shared" si="9"/>
        <v>690.95293368516286</v>
      </c>
      <c r="AD20" s="4">
        <f t="shared" si="9"/>
        <v>233.64794970751973</v>
      </c>
      <c r="AE20" s="4">
        <f t="shared" si="9"/>
        <v>0</v>
      </c>
      <c r="AG20" s="3" t="str">
        <f>$A$7</f>
        <v>Rutherford</v>
      </c>
      <c r="AH20" s="17">
        <f t="shared" ref="AH20:AH26" si="16">(R7-B20)/B20</f>
        <v>0.47370973114700715</v>
      </c>
      <c r="AI20" s="17">
        <f t="shared" ref="AI20:AI26" si="17">(S7-C20)/C20</f>
        <v>-7.2092019337848673E-4</v>
      </c>
      <c r="AJ20" s="17">
        <f t="shared" ref="AJ20:AJ26" si="18">(T7-D20)/D20</f>
        <v>-5.5082798938758948E-2</v>
      </c>
      <c r="AK20" s="17">
        <f t="shared" ref="AK20:AK26" si="19">(U7-E20)/E20</f>
        <v>3.839470585618187E-2</v>
      </c>
      <c r="AL20" s="17">
        <f t="shared" ref="AL20:AL26" si="20">(V7-F20)/F20</f>
        <v>3.2310410014966644E-2</v>
      </c>
      <c r="AM20" s="17">
        <f t="shared" ref="AM20:AM26" si="21">(W7-G20)/G20</f>
        <v>0</v>
      </c>
    </row>
    <row r="21" spans="1:39" x14ac:dyDescent="0.25">
      <c r="A21" s="3" t="str">
        <f>$A$8</f>
        <v>Sumner</v>
      </c>
      <c r="B21" s="4">
        <f t="shared" ref="B21:F21" si="22">($W8/$G8)*B8</f>
        <v>1158.3920062357549</v>
      </c>
      <c r="C21" s="4">
        <f t="shared" si="22"/>
        <v>18351.809652259475</v>
      </c>
      <c r="D21" s="4">
        <f t="shared" si="22"/>
        <v>23603.29325226125</v>
      </c>
      <c r="E21" s="4">
        <f t="shared" si="22"/>
        <v>13440.68343336139</v>
      </c>
      <c r="F21" s="4">
        <f t="shared" si="22"/>
        <v>4478.821655882125</v>
      </c>
      <c r="G21" s="4">
        <f t="shared" ref="G21" si="23">($W8/$G8)*G8</f>
        <v>61032.999999999993</v>
      </c>
      <c r="I21" s="3" t="str">
        <f>$A$8</f>
        <v>Sumner</v>
      </c>
      <c r="J21" s="4">
        <f t="shared" ref="J21:O21" si="24">($W8/$O8)*J8</f>
        <v>2133.4830176629753</v>
      </c>
      <c r="K21" s="4">
        <f t="shared" si="24"/>
        <v>17253.51819236005</v>
      </c>
      <c r="L21" s="4">
        <f t="shared" si="24"/>
        <v>24319.654975379395</v>
      </c>
      <c r="M21" s="4">
        <f t="shared" si="24"/>
        <v>12402.921466144564</v>
      </c>
      <c r="N21" s="4">
        <f t="shared" si="24"/>
        <v>4923.4223484530194</v>
      </c>
      <c r="O21" s="4">
        <f t="shared" si="24"/>
        <v>61033</v>
      </c>
      <c r="Q21" s="3" t="str">
        <f>$A$8</f>
        <v>Sumner</v>
      </c>
      <c r="R21" s="4">
        <f t="shared" ref="R21:V21" si="25">R8</f>
        <v>1650</v>
      </c>
      <c r="S21" s="4">
        <f t="shared" si="25"/>
        <v>17833</v>
      </c>
      <c r="T21" s="4">
        <f t="shared" si="25"/>
        <v>24861</v>
      </c>
      <c r="U21" s="4">
        <f t="shared" si="25"/>
        <v>11930</v>
      </c>
      <c r="V21" s="4">
        <f t="shared" si="25"/>
        <v>4759</v>
      </c>
      <c r="W21" s="4">
        <f t="shared" si="14"/>
        <v>61033</v>
      </c>
      <c r="Y21" s="3" t="str">
        <f>$A$8</f>
        <v>Sumner</v>
      </c>
      <c r="Z21" s="4">
        <f t="shared" si="15"/>
        <v>491.60799376424507</v>
      </c>
      <c r="AA21" s="4">
        <f t="shared" si="9"/>
        <v>-518.80965225947511</v>
      </c>
      <c r="AB21" s="4">
        <f t="shared" si="9"/>
        <v>1257.70674773875</v>
      </c>
      <c r="AC21" s="4">
        <f t="shared" si="9"/>
        <v>-1510.6834333613897</v>
      </c>
      <c r="AD21" s="4">
        <f t="shared" si="9"/>
        <v>280.17834411787499</v>
      </c>
      <c r="AE21" s="4">
        <f t="shared" si="9"/>
        <v>0</v>
      </c>
      <c r="AG21" s="3" t="str">
        <f>$A$8</f>
        <v>Sumner</v>
      </c>
      <c r="AH21" s="17">
        <f t="shared" si="16"/>
        <v>0.42438828230673531</v>
      </c>
      <c r="AI21" s="17">
        <f t="shared" si="17"/>
        <v>-2.8270217601979064E-2</v>
      </c>
      <c r="AJ21" s="17">
        <f t="shared" si="18"/>
        <v>5.3285223138015231E-2</v>
      </c>
      <c r="AK21" s="17">
        <f t="shared" si="19"/>
        <v>-0.11239632574127087</v>
      </c>
      <c r="AL21" s="17">
        <f t="shared" si="20"/>
        <v>6.2556262705819335E-2</v>
      </c>
      <c r="AM21" s="17">
        <f t="shared" si="21"/>
        <v>1.1921350112534901E-16</v>
      </c>
    </row>
    <row r="22" spans="1:39" x14ac:dyDescent="0.25">
      <c r="A22" s="3" t="str">
        <f>$A$9</f>
        <v>Roberston</v>
      </c>
      <c r="B22" s="4">
        <f t="shared" ref="B22:G22" si="26">($W9/$G9)*B9</f>
        <v>455.85474324704427</v>
      </c>
      <c r="C22" s="4">
        <f t="shared" si="26"/>
        <v>6538.1274740416238</v>
      </c>
      <c r="D22" s="4">
        <f t="shared" si="26"/>
        <v>10256.204835076414</v>
      </c>
      <c r="E22" s="4">
        <f t="shared" si="26"/>
        <v>4672.3316757694847</v>
      </c>
      <c r="F22" s="4">
        <f t="shared" si="26"/>
        <v>2378.4812718654298</v>
      </c>
      <c r="G22" s="4">
        <f t="shared" si="26"/>
        <v>24300.999999999996</v>
      </c>
      <c r="I22" s="3" t="str">
        <f>$A$9</f>
        <v>Roberston</v>
      </c>
      <c r="J22" s="4">
        <f t="shared" ref="J22:O22" si="27">($W9/$O9)*J9</f>
        <v>1344.0976757869962</v>
      </c>
      <c r="K22" s="4">
        <f t="shared" si="27"/>
        <v>5572.4900601017107</v>
      </c>
      <c r="L22" s="4">
        <f t="shared" si="27"/>
        <v>10203.29466649855</v>
      </c>
      <c r="M22" s="4">
        <f t="shared" si="27"/>
        <v>4744.1745471357117</v>
      </c>
      <c r="N22" s="4">
        <f t="shared" si="27"/>
        <v>2436.9430504770307</v>
      </c>
      <c r="O22" s="4">
        <f t="shared" si="27"/>
        <v>24301</v>
      </c>
      <c r="Q22" s="3" t="str">
        <f>$A$9</f>
        <v>Roberston</v>
      </c>
      <c r="R22" s="4">
        <f t="shared" ref="R22:V22" si="28">R9</f>
        <v>733</v>
      </c>
      <c r="S22" s="4">
        <f t="shared" si="28"/>
        <v>6954</v>
      </c>
      <c r="T22" s="4">
        <f t="shared" si="28"/>
        <v>9823</v>
      </c>
      <c r="U22" s="4">
        <f t="shared" si="28"/>
        <v>4804</v>
      </c>
      <c r="V22" s="4">
        <f t="shared" si="28"/>
        <v>1987</v>
      </c>
      <c r="W22" s="4">
        <f t="shared" si="14"/>
        <v>24301</v>
      </c>
      <c r="Y22" s="3" t="str">
        <f>$A$9</f>
        <v>Roberston</v>
      </c>
      <c r="Z22" s="4">
        <f t="shared" si="15"/>
        <v>277.14525675295573</v>
      </c>
      <c r="AA22" s="4">
        <f t="shared" si="9"/>
        <v>415.87252595837617</v>
      </c>
      <c r="AB22" s="4">
        <f t="shared" si="9"/>
        <v>-433.20483507641438</v>
      </c>
      <c r="AC22" s="4">
        <f t="shared" si="9"/>
        <v>131.66832423051528</v>
      </c>
      <c r="AD22" s="4">
        <f t="shared" si="9"/>
        <v>-391.48127186542979</v>
      </c>
      <c r="AE22" s="4">
        <f t="shared" si="9"/>
        <v>0</v>
      </c>
      <c r="AG22" s="3" t="str">
        <f>$A$9</f>
        <v>Roberston</v>
      </c>
      <c r="AH22" s="17">
        <f t="shared" si="16"/>
        <v>0.60796835145084938</v>
      </c>
      <c r="AI22" s="17">
        <f t="shared" si="17"/>
        <v>6.3607283218248337E-2</v>
      </c>
      <c r="AJ22" s="17">
        <f t="shared" si="18"/>
        <v>-4.2238317393471475E-2</v>
      </c>
      <c r="AK22" s="17">
        <f t="shared" si="19"/>
        <v>2.818043182022836E-2</v>
      </c>
      <c r="AL22" s="17">
        <f t="shared" si="20"/>
        <v>-0.16459295958987863</v>
      </c>
      <c r="AM22" s="17">
        <f t="shared" si="21"/>
        <v>1.4970490132470735E-16</v>
      </c>
    </row>
    <row r="23" spans="1:39" x14ac:dyDescent="0.25">
      <c r="A23" s="14" t="str">
        <f>$A$10</f>
        <v>Davidson</v>
      </c>
      <c r="B23" s="15">
        <f t="shared" ref="B23:G23" si="29">($W10/$G10)*B10</f>
        <v>31309.187887888154</v>
      </c>
      <c r="C23" s="15">
        <f t="shared" si="29"/>
        <v>107500.93532906515</v>
      </c>
      <c r="D23" s="15">
        <f t="shared" si="29"/>
        <v>96594.326826701465</v>
      </c>
      <c r="E23" s="15">
        <f t="shared" si="29"/>
        <v>30475.768355239274</v>
      </c>
      <c r="F23" s="15">
        <f t="shared" si="29"/>
        <v>10553.781601105946</v>
      </c>
      <c r="G23" s="15">
        <f t="shared" si="29"/>
        <v>276434</v>
      </c>
      <c r="I23" s="3" t="str">
        <f>$A$10</f>
        <v>Davidson</v>
      </c>
      <c r="J23" s="4">
        <f t="shared" ref="J23:O23" si="30">($W10/$O10)*J10</f>
        <v>20853.234013395282</v>
      </c>
      <c r="K23" s="4">
        <f t="shared" si="30"/>
        <v>112527.0989040586</v>
      </c>
      <c r="L23" s="4">
        <f t="shared" si="30"/>
        <v>100446.10635424218</v>
      </c>
      <c r="M23" s="4">
        <f t="shared" si="30"/>
        <v>31598.463384783565</v>
      </c>
      <c r="N23" s="4">
        <f t="shared" si="30"/>
        <v>11009.0973435204</v>
      </c>
      <c r="O23" s="4">
        <f t="shared" si="30"/>
        <v>276434</v>
      </c>
      <c r="Q23" s="3" t="str">
        <f>$A$10</f>
        <v>Davidson</v>
      </c>
      <c r="R23" s="4">
        <f t="shared" ref="R23:V23" si="31">R10</f>
        <v>27915</v>
      </c>
      <c r="S23" s="4">
        <f t="shared" si="31"/>
        <v>107689</v>
      </c>
      <c r="T23" s="4">
        <f t="shared" si="31"/>
        <v>88790</v>
      </c>
      <c r="U23" s="4">
        <f t="shared" si="31"/>
        <v>38005</v>
      </c>
      <c r="V23" s="4">
        <f t="shared" si="31"/>
        <v>14035</v>
      </c>
      <c r="W23" s="4">
        <f t="shared" si="14"/>
        <v>276434</v>
      </c>
      <c r="Y23" s="3" t="str">
        <f>$A$10</f>
        <v>Davidson</v>
      </c>
      <c r="Z23" s="4">
        <f t="shared" si="15"/>
        <v>-3394.1878878881544</v>
      </c>
      <c r="AA23" s="4">
        <f t="shared" si="9"/>
        <v>188.06467093485116</v>
      </c>
      <c r="AB23" s="4">
        <f t="shared" si="9"/>
        <v>-7804.3268267014646</v>
      </c>
      <c r="AC23" s="4">
        <f t="shared" si="9"/>
        <v>7529.2316447607263</v>
      </c>
      <c r="AD23" s="4">
        <f t="shared" si="9"/>
        <v>3481.2183988940542</v>
      </c>
      <c r="AE23" s="4">
        <f t="shared" si="9"/>
        <v>0</v>
      </c>
      <c r="AG23" s="3" t="str">
        <f>$A$10</f>
        <v>Davidson</v>
      </c>
      <c r="AH23" s="17">
        <f t="shared" si="16"/>
        <v>-0.10840868501738378</v>
      </c>
      <c r="AI23" s="17">
        <f t="shared" si="17"/>
        <v>1.7494235781221514E-3</v>
      </c>
      <c r="AJ23" s="17">
        <f t="shared" si="18"/>
        <v>-8.0794877743732285E-2</v>
      </c>
      <c r="AK23" s="17">
        <f t="shared" si="19"/>
        <v>0.24705633528239923</v>
      </c>
      <c r="AL23" s="17">
        <f t="shared" si="20"/>
        <v>0.32985507285173044</v>
      </c>
      <c r="AM23" s="17">
        <f t="shared" si="21"/>
        <v>0</v>
      </c>
    </row>
    <row r="24" spans="1:39" x14ac:dyDescent="0.25">
      <c r="A24" s="14" t="str">
        <f>$A$11</f>
        <v>Maury</v>
      </c>
      <c r="B24" s="15">
        <f t="shared" ref="B24:G24" si="32">($W11/$G11)*B11</f>
        <v>1060.2959509085481</v>
      </c>
      <c r="C24" s="15">
        <f t="shared" si="32"/>
        <v>10043.683756191815</v>
      </c>
      <c r="D24" s="15">
        <f t="shared" si="32"/>
        <v>12854.591629152901</v>
      </c>
      <c r="E24" s="15">
        <f t="shared" si="32"/>
        <v>5749.0182843882621</v>
      </c>
      <c r="F24" s="15">
        <f t="shared" si="32"/>
        <v>2081.4103793584759</v>
      </c>
      <c r="G24" s="15">
        <f t="shared" si="32"/>
        <v>31789</v>
      </c>
      <c r="I24" s="14" t="str">
        <f>$A$11</f>
        <v>Maury</v>
      </c>
      <c r="J24" s="15">
        <f t="shared" ref="J24:O24" si="33">($W11/$O11)*J11</f>
        <v>1424.9723421011183</v>
      </c>
      <c r="K24" s="15">
        <f t="shared" si="33"/>
        <v>9388.9955583556457</v>
      </c>
      <c r="L24" s="15">
        <f t="shared" si="33"/>
        <v>12949.924334540872</v>
      </c>
      <c r="M24" s="15">
        <f t="shared" si="33"/>
        <v>5523.6454244762954</v>
      </c>
      <c r="N24" s="15">
        <f t="shared" si="33"/>
        <v>2501.4623405260672</v>
      </c>
      <c r="O24" s="15">
        <f t="shared" si="33"/>
        <v>31789</v>
      </c>
      <c r="Q24" s="14" t="str">
        <f>$A$11</f>
        <v>Maury</v>
      </c>
      <c r="R24" s="15">
        <f t="shared" ref="R24:V25" si="34">R11</f>
        <v>1155</v>
      </c>
      <c r="S24" s="15">
        <f t="shared" si="34"/>
        <v>10086</v>
      </c>
      <c r="T24" s="15">
        <f t="shared" si="34"/>
        <v>12457</v>
      </c>
      <c r="U24" s="15">
        <f t="shared" si="34"/>
        <v>5783</v>
      </c>
      <c r="V24" s="15">
        <f t="shared" si="34"/>
        <v>2308</v>
      </c>
      <c r="W24" s="15">
        <f t="shared" si="14"/>
        <v>31789</v>
      </c>
      <c r="Y24" s="14" t="str">
        <f>$A$11</f>
        <v>Maury</v>
      </c>
      <c r="Z24" s="4">
        <f t="shared" si="15"/>
        <v>94.704049091451907</v>
      </c>
      <c r="AA24" s="4">
        <f t="shared" si="9"/>
        <v>42.316243808185391</v>
      </c>
      <c r="AB24" s="4">
        <f t="shared" si="9"/>
        <v>-397.59162915290108</v>
      </c>
      <c r="AC24" s="4">
        <f t="shared" si="9"/>
        <v>33.981715611737854</v>
      </c>
      <c r="AD24" s="4">
        <f t="shared" si="9"/>
        <v>226.58962064152411</v>
      </c>
      <c r="AE24" s="4">
        <f t="shared" si="9"/>
        <v>0</v>
      </c>
      <c r="AG24" s="14" t="str">
        <f>$A$11</f>
        <v>Maury</v>
      </c>
      <c r="AH24" s="17">
        <f t="shared" si="16"/>
        <v>8.9318504904504964E-2</v>
      </c>
      <c r="AI24" s="17">
        <f t="shared" si="17"/>
        <v>4.2132194556701291E-3</v>
      </c>
      <c r="AJ24" s="17">
        <f t="shared" si="18"/>
        <v>-3.0929930768956043E-2</v>
      </c>
      <c r="AK24" s="17">
        <f t="shared" si="19"/>
        <v>5.9108727665759652E-3</v>
      </c>
      <c r="AL24" s="17">
        <f t="shared" si="20"/>
        <v>0.10886350086875356</v>
      </c>
      <c r="AM24" s="17">
        <f t="shared" si="21"/>
        <v>0</v>
      </c>
    </row>
    <row r="25" spans="1:39" x14ac:dyDescent="0.25">
      <c r="A25" s="14" t="str">
        <f>$A$12</f>
        <v>Wilson</v>
      </c>
      <c r="B25" s="15">
        <f t="shared" ref="B25:G26" si="35">($W12/$G12)*B12</f>
        <v>1699.0839050379363</v>
      </c>
      <c r="C25" s="15">
        <f t="shared" si="35"/>
        <v>9842.4725085238297</v>
      </c>
      <c r="D25" s="15">
        <f t="shared" si="35"/>
        <v>18766.844159754604</v>
      </c>
      <c r="E25" s="15">
        <f t="shared" si="35"/>
        <v>9372.5547025278884</v>
      </c>
      <c r="F25" s="15">
        <f t="shared" si="35"/>
        <v>3391.0447241557345</v>
      </c>
      <c r="G25" s="15">
        <f t="shared" si="35"/>
        <v>43072</v>
      </c>
      <c r="I25" s="14" t="str">
        <f>$A$12</f>
        <v>Wilson</v>
      </c>
      <c r="J25" s="15">
        <f t="shared" ref="J25:O26" si="36">($W12/$O12)*J12</f>
        <v>1510.931612527595</v>
      </c>
      <c r="K25" s="15">
        <f t="shared" si="36"/>
        <v>9662.2300283835903</v>
      </c>
      <c r="L25" s="15">
        <f t="shared" si="36"/>
        <v>18385.091094345116</v>
      </c>
      <c r="M25" s="15">
        <f t="shared" si="36"/>
        <v>9681.0383057179588</v>
      </c>
      <c r="N25" s="15">
        <f t="shared" si="36"/>
        <v>3832.7089590257392</v>
      </c>
      <c r="O25" s="15">
        <f t="shared" si="36"/>
        <v>43072</v>
      </c>
      <c r="Q25" s="14" t="str">
        <f>$A$12</f>
        <v>Wilson</v>
      </c>
      <c r="R25" s="15">
        <f t="shared" si="34"/>
        <v>1264</v>
      </c>
      <c r="S25" s="15">
        <f t="shared" si="34"/>
        <v>11643</v>
      </c>
      <c r="T25" s="15">
        <f t="shared" si="34"/>
        <v>17799</v>
      </c>
      <c r="U25" s="15">
        <f t="shared" si="34"/>
        <v>8681</v>
      </c>
      <c r="V25" s="15">
        <f t="shared" si="34"/>
        <v>3685</v>
      </c>
      <c r="W25" s="15">
        <f t="shared" si="14"/>
        <v>43072</v>
      </c>
      <c r="Y25" s="14" t="str">
        <f>$A$12</f>
        <v>Wilson</v>
      </c>
      <c r="Z25" s="4">
        <f t="shared" si="15"/>
        <v>-435.08390503793635</v>
      </c>
      <c r="AA25" s="4">
        <f t="shared" si="9"/>
        <v>1800.5274914761703</v>
      </c>
      <c r="AB25" s="4">
        <f t="shared" si="9"/>
        <v>-967.84415975460433</v>
      </c>
      <c r="AC25" s="4">
        <f t="shared" si="9"/>
        <v>-691.55470252788837</v>
      </c>
      <c r="AD25" s="4">
        <f t="shared" si="9"/>
        <v>293.95527584426554</v>
      </c>
      <c r="AE25" s="4">
        <f t="shared" si="9"/>
        <v>0</v>
      </c>
      <c r="AG25" s="14" t="str">
        <f>$A$12</f>
        <v>Wilson</v>
      </c>
      <c r="AH25" s="17">
        <f t="shared" si="16"/>
        <v>-0.25606969952918363</v>
      </c>
      <c r="AI25" s="17">
        <f t="shared" si="17"/>
        <v>0.18293446996340279</v>
      </c>
      <c r="AJ25" s="17">
        <f t="shared" si="18"/>
        <v>-5.1572025190582703E-2</v>
      </c>
      <c r="AK25" s="17">
        <f t="shared" si="19"/>
        <v>-7.3785080426510385E-2</v>
      </c>
      <c r="AL25" s="17">
        <f t="shared" si="20"/>
        <v>8.6685756088767399E-2</v>
      </c>
      <c r="AM25" s="17">
        <f t="shared" si="21"/>
        <v>0</v>
      </c>
    </row>
    <row r="26" spans="1:39" ht="15.75" thickBot="1" x14ac:dyDescent="0.3">
      <c r="A26" s="7" t="str">
        <f>$A$13</f>
        <v>Total</v>
      </c>
      <c r="B26" s="8">
        <f t="shared" si="35"/>
        <v>39200.846771858618</v>
      </c>
      <c r="C26" s="8">
        <f t="shared" si="35"/>
        <v>197023.33954886333</v>
      </c>
      <c r="D26" s="8">
        <f t="shared" si="35"/>
        <v>234277.9682754188</v>
      </c>
      <c r="E26" s="8">
        <f t="shared" si="35"/>
        <v>94743.178659676443</v>
      </c>
      <c r="F26" s="8">
        <f t="shared" si="35"/>
        <v>35381.666744182818</v>
      </c>
      <c r="G26" s="8">
        <f t="shared" si="35"/>
        <v>600627</v>
      </c>
      <c r="I26" s="7" t="str">
        <f>$A$13</f>
        <v>Total</v>
      </c>
      <c r="J26" s="8">
        <f t="shared" si="36"/>
        <v>31529.214136162816</v>
      </c>
      <c r="K26" s="8">
        <f t="shared" si="36"/>
        <v>194402.62283752376</v>
      </c>
      <c r="L26" s="8">
        <f t="shared" si="36"/>
        <v>242150.97200624569</v>
      </c>
      <c r="M26" s="8">
        <f t="shared" si="36"/>
        <v>95165.260595468353</v>
      </c>
      <c r="N26" s="8">
        <f t="shared" si="36"/>
        <v>37378.93042459945</v>
      </c>
      <c r="O26" s="8">
        <f t="shared" si="36"/>
        <v>600627.00000000012</v>
      </c>
      <c r="Q26" s="7" t="str">
        <f>$A$13</f>
        <v>Total</v>
      </c>
      <c r="R26" s="8">
        <f>SUM(R19:R25)</f>
        <v>38296</v>
      </c>
      <c r="S26" s="8">
        <f t="shared" ref="S26:W26" si="37">SUM(S19:S25)</f>
        <v>200200</v>
      </c>
      <c r="T26" s="8">
        <f t="shared" si="37"/>
        <v>220772</v>
      </c>
      <c r="U26" s="8">
        <f t="shared" si="37"/>
        <v>101769</v>
      </c>
      <c r="V26" s="8">
        <f t="shared" si="37"/>
        <v>39590</v>
      </c>
      <c r="W26" s="8">
        <f t="shared" si="37"/>
        <v>600627</v>
      </c>
      <c r="Y26" s="7" t="str">
        <f>$A$13</f>
        <v>Total</v>
      </c>
      <c r="Z26" s="4">
        <f t="shared" si="15"/>
        <v>-904.84677185861801</v>
      </c>
      <c r="AA26" s="4">
        <f t="shared" si="9"/>
        <v>3176.660451136675</v>
      </c>
      <c r="AB26" s="4">
        <f t="shared" si="9"/>
        <v>-13505.968275418796</v>
      </c>
      <c r="AC26" s="4">
        <f t="shared" si="9"/>
        <v>7025.8213403235568</v>
      </c>
      <c r="AD26" s="4">
        <f t="shared" si="9"/>
        <v>4208.3332558171824</v>
      </c>
      <c r="AE26" s="4">
        <f t="shared" si="9"/>
        <v>0</v>
      </c>
      <c r="AG26" s="7" t="str">
        <f>$A$13</f>
        <v>Total</v>
      </c>
      <c r="AH26" s="17">
        <f t="shared" si="16"/>
        <v>-2.3082327203916078E-2</v>
      </c>
      <c r="AI26" s="17">
        <f t="shared" si="17"/>
        <v>1.6123269752763673E-2</v>
      </c>
      <c r="AJ26" s="17">
        <f t="shared" si="18"/>
        <v>-5.7649331581794694E-2</v>
      </c>
      <c r="AK26" s="17">
        <f t="shared" si="19"/>
        <v>7.4156487461337517E-2</v>
      </c>
      <c r="AL26" s="17">
        <f t="shared" si="20"/>
        <v>0.118941068724782</v>
      </c>
      <c r="AM26" s="17">
        <f t="shared" si="21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144</v>
      </c>
      <c r="I29" s="1" t="s">
        <v>19</v>
      </c>
      <c r="Q29" s="16" t="s">
        <v>12</v>
      </c>
    </row>
    <row r="30" spans="1:39" ht="15.75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Williamson</v>
      </c>
      <c r="B32" s="17">
        <f>B19/$G$26</f>
        <v>1.2173735895649662E-3</v>
      </c>
      <c r="C32" s="17">
        <f t="shared" ref="C32:G32" si="38">C19/$G$26</f>
        <v>2.3389191045241346E-2</v>
      </c>
      <c r="D32" s="17">
        <f t="shared" si="38"/>
        <v>5.3031386147267094E-2</v>
      </c>
      <c r="E32" s="17">
        <f t="shared" si="38"/>
        <v>2.1705276940754734E-2</v>
      </c>
      <c r="F32" s="17">
        <f t="shared" si="38"/>
        <v>8.7687952132036937E-3</v>
      </c>
      <c r="G32" s="17">
        <f t="shared" si="38"/>
        <v>0.10811202293603184</v>
      </c>
      <c r="I32" s="3" t="str">
        <f>$A$6</f>
        <v>Williamson</v>
      </c>
      <c r="J32" s="17">
        <f>J19/$O$26</f>
        <v>2.2743858411864376E-3</v>
      </c>
      <c r="K32" s="17">
        <f t="shared" ref="K32:O32" si="39">K19/$O$26</f>
        <v>2.2048570877144263E-2</v>
      </c>
      <c r="L32" s="17">
        <f t="shared" si="39"/>
        <v>5.3241383535545334E-2</v>
      </c>
      <c r="M32" s="17">
        <f t="shared" si="39"/>
        <v>2.2522473326182353E-2</v>
      </c>
      <c r="N32" s="17">
        <f t="shared" si="39"/>
        <v>8.0252093559734384E-3</v>
      </c>
      <c r="O32" s="17">
        <f t="shared" si="39"/>
        <v>0.10811202293603182</v>
      </c>
      <c r="Q32" s="3" t="str">
        <f>$A$6</f>
        <v>Williamson</v>
      </c>
      <c r="R32" s="17">
        <f>R6/$W$13</f>
        <v>2.450772276304595E-3</v>
      </c>
      <c r="S32" s="17">
        <f t="shared" ref="S32:W32" si="40">S6/$W$13</f>
        <v>2.5505013927112834E-2</v>
      </c>
      <c r="T32" s="17">
        <f t="shared" si="40"/>
        <v>4.8139694019749359E-2</v>
      </c>
      <c r="U32" s="17">
        <f t="shared" si="40"/>
        <v>2.3107519308988772E-2</v>
      </c>
      <c r="V32" s="17">
        <f t="shared" si="40"/>
        <v>8.9090234038762834E-3</v>
      </c>
      <c r="W32" s="17">
        <f t="shared" si="40"/>
        <v>0.10811202293603185</v>
      </c>
    </row>
    <row r="33" spans="1:23" x14ac:dyDescent="0.25">
      <c r="A33" s="3" t="str">
        <f>$A$7</f>
        <v>Rutherford</v>
      </c>
      <c r="B33" s="17">
        <f t="shared" ref="B33:G39" si="41">B20/$G$26</f>
        <v>4.6398923055125706E-3</v>
      </c>
      <c r="C33" s="17">
        <f t="shared" si="41"/>
        <v>5.1110141406341313E-2</v>
      </c>
      <c r="D33" s="17">
        <f t="shared" si="41"/>
        <v>6.7180838332514217E-2</v>
      </c>
      <c r="E33" s="17">
        <f t="shared" si="41"/>
        <v>2.9962101381247989E-2</v>
      </c>
      <c r="F33" s="17">
        <f t="shared" si="41"/>
        <v>1.2039671959955979E-2</v>
      </c>
      <c r="G33" s="17">
        <f t="shared" si="41"/>
        <v>0.16493264538557209</v>
      </c>
      <c r="I33" s="3" t="str">
        <f>$A$7</f>
        <v>Rutherford</v>
      </c>
      <c r="J33" s="17">
        <f t="shared" ref="J33:O39" si="42">J20/$O$26</f>
        <v>5.2850318670165332E-3</v>
      </c>
      <c r="K33" s="17">
        <f t="shared" si="42"/>
        <v>4.6423977116422349E-2</v>
      </c>
      <c r="L33" s="17">
        <f t="shared" si="42"/>
        <v>7.227937465171512E-2</v>
      </c>
      <c r="M33" s="17">
        <f t="shared" si="42"/>
        <v>2.8393427370720457E-2</v>
      </c>
      <c r="N33" s="17">
        <f t="shared" si="42"/>
        <v>1.2550834379697591E-2</v>
      </c>
      <c r="O33" s="17">
        <f t="shared" si="42"/>
        <v>0.16493264538557204</v>
      </c>
      <c r="Q33" s="3" t="str">
        <f>$A$7</f>
        <v>Rutherford</v>
      </c>
      <c r="R33" s="17">
        <f t="shared" ref="R33:W39" si="43">R7/$W$13</f>
        <v>6.8378544421079969E-3</v>
      </c>
      <c r="S33" s="17">
        <f t="shared" si="43"/>
        <v>5.1073295073315053E-2</v>
      </c>
      <c r="T33" s="17">
        <f t="shared" si="43"/>
        <v>6.3480329722107071E-2</v>
      </c>
      <c r="U33" s="17">
        <f t="shared" si="43"/>
        <v>3.111248745061411E-2</v>
      </c>
      <c r="V33" s="17">
        <f t="shared" si="43"/>
        <v>1.2428678697427855E-2</v>
      </c>
      <c r="W33" s="17">
        <f t="shared" si="43"/>
        <v>0.16493264538557209</v>
      </c>
    </row>
    <row r="34" spans="1:23" x14ac:dyDescent="0.25">
      <c r="A34" s="3" t="str">
        <f>$A$8</f>
        <v>Sumner</v>
      </c>
      <c r="B34" s="17">
        <f t="shared" si="41"/>
        <v>1.9286379171028858E-3</v>
      </c>
      <c r="C34" s="17">
        <f t="shared" si="41"/>
        <v>3.0554420051478664E-2</v>
      </c>
      <c r="D34" s="17">
        <f t="shared" si="41"/>
        <v>3.9297755932152983E-2</v>
      </c>
      <c r="E34" s="17">
        <f t="shared" si="41"/>
        <v>2.2377754302356355E-2</v>
      </c>
      <c r="F34" s="17">
        <f t="shared" si="41"/>
        <v>7.456910288552005E-3</v>
      </c>
      <c r="G34" s="17">
        <f t="shared" si="41"/>
        <v>0.10161547849164289</v>
      </c>
      <c r="I34" s="3" t="str">
        <f>$A$8</f>
        <v>Sumner</v>
      </c>
      <c r="J34" s="17">
        <f t="shared" si="42"/>
        <v>3.5520930921569874E-3</v>
      </c>
      <c r="K34" s="17">
        <f t="shared" si="42"/>
        <v>2.8725845145756098E-2</v>
      </c>
      <c r="L34" s="17">
        <f t="shared" si="42"/>
        <v>4.0490445776462582E-2</v>
      </c>
      <c r="M34" s="17">
        <f t="shared" si="42"/>
        <v>2.064995657228956E-2</v>
      </c>
      <c r="N34" s="17">
        <f t="shared" si="42"/>
        <v>8.1971379049776624E-3</v>
      </c>
      <c r="O34" s="17">
        <f t="shared" si="42"/>
        <v>0.10161547849164287</v>
      </c>
      <c r="Q34" s="3" t="str">
        <f>$A$8</f>
        <v>Sumner</v>
      </c>
      <c r="R34" s="17">
        <f t="shared" si="43"/>
        <v>2.7471292499338194E-3</v>
      </c>
      <c r="S34" s="17">
        <f t="shared" si="43"/>
        <v>2.969063994792109E-2</v>
      </c>
      <c r="T34" s="17">
        <f t="shared" si="43"/>
        <v>4.1391745625821014E-2</v>
      </c>
      <c r="U34" s="17">
        <f t="shared" si="43"/>
        <v>1.9862576940430584E-2</v>
      </c>
      <c r="V34" s="17">
        <f t="shared" si="43"/>
        <v>7.9233867275363915E-3</v>
      </c>
      <c r="W34" s="17">
        <f t="shared" si="43"/>
        <v>0.1016154784916429</v>
      </c>
    </row>
    <row r="35" spans="1:23" x14ac:dyDescent="0.25">
      <c r="A35" s="14" t="str">
        <f>$A$9</f>
        <v>Roberston</v>
      </c>
      <c r="B35" s="82">
        <f t="shared" si="41"/>
        <v>7.5896478720910692E-4</v>
      </c>
      <c r="C35" s="82">
        <f t="shared" si="41"/>
        <v>1.0885503771961007E-2</v>
      </c>
      <c r="D35" s="82">
        <f t="shared" si="41"/>
        <v>1.7075830482273381E-2</v>
      </c>
      <c r="E35" s="82">
        <f t="shared" si="41"/>
        <v>7.7790903102416056E-3</v>
      </c>
      <c r="F35" s="82">
        <f t="shared" si="41"/>
        <v>3.959997255976554E-3</v>
      </c>
      <c r="G35" s="82">
        <f t="shared" si="41"/>
        <v>4.0459386607661657E-2</v>
      </c>
      <c r="H35" s="83"/>
      <c r="I35" s="14" t="str">
        <f>$A$9</f>
        <v>Roberston</v>
      </c>
      <c r="J35" s="82">
        <f t="shared" si="42"/>
        <v>2.2378242666197092E-3</v>
      </c>
      <c r="K35" s="82">
        <f t="shared" si="42"/>
        <v>9.2777881448914377E-3</v>
      </c>
      <c r="L35" s="82">
        <f t="shared" si="42"/>
        <v>1.6987738923655692E-2</v>
      </c>
      <c r="M35" s="82">
        <f t="shared" si="42"/>
        <v>7.8987034334715399E-3</v>
      </c>
      <c r="N35" s="82">
        <f t="shared" si="42"/>
        <v>4.057331839023271E-3</v>
      </c>
      <c r="O35" s="82">
        <f t="shared" si="42"/>
        <v>4.045938660766165E-2</v>
      </c>
      <c r="Q35" s="3" t="str">
        <f>$A$9</f>
        <v>Roberston</v>
      </c>
      <c r="R35" s="17">
        <f t="shared" si="43"/>
        <v>1.2203913576978723E-3</v>
      </c>
      <c r="S35" s="17">
        <f t="shared" si="43"/>
        <v>1.1577901093357441E-2</v>
      </c>
      <c r="T35" s="17">
        <f t="shared" si="43"/>
        <v>1.6354576134606003E-2</v>
      </c>
      <c r="U35" s="17">
        <f t="shared" si="43"/>
        <v>7.9983084343527681E-3</v>
      </c>
      <c r="V35" s="17">
        <f t="shared" si="43"/>
        <v>3.308209587647575E-3</v>
      </c>
      <c r="W35" s="17">
        <f t="shared" si="43"/>
        <v>4.0459386607661657E-2</v>
      </c>
    </row>
    <row r="36" spans="1:23" x14ac:dyDescent="0.25">
      <c r="A36" s="14" t="str">
        <f>$A$10</f>
        <v>Davidson</v>
      </c>
      <c r="B36" s="82">
        <f t="shared" si="41"/>
        <v>5.2127506568782546E-2</v>
      </c>
      <c r="C36" s="82">
        <f t="shared" si="41"/>
        <v>0.17898119020467804</v>
      </c>
      <c r="D36" s="82">
        <f t="shared" si="41"/>
        <v>0.16082248521412035</v>
      </c>
      <c r="E36" s="82">
        <f t="shared" si="41"/>
        <v>5.0739924038112297E-2</v>
      </c>
      <c r="F36" s="82">
        <f t="shared" si="41"/>
        <v>1.7571274020491828E-2</v>
      </c>
      <c r="G36" s="82">
        <f t="shared" si="41"/>
        <v>0.46024238004618506</v>
      </c>
      <c r="H36" s="83"/>
      <c r="I36" s="14" t="str">
        <f>$A$10</f>
        <v>Davidson</v>
      </c>
      <c r="J36" s="82">
        <f t="shared" si="42"/>
        <v>3.471910855388665E-2</v>
      </c>
      <c r="K36" s="82">
        <f t="shared" si="42"/>
        <v>0.1873493847330516</v>
      </c>
      <c r="L36" s="82">
        <f t="shared" si="42"/>
        <v>0.16723541624709204</v>
      </c>
      <c r="M36" s="82">
        <f t="shared" si="42"/>
        <v>5.2609129101394973E-2</v>
      </c>
      <c r="N36" s="82">
        <f t="shared" si="42"/>
        <v>1.8329341410759752E-2</v>
      </c>
      <c r="O36" s="82">
        <f t="shared" si="42"/>
        <v>0.46024238004618501</v>
      </c>
      <c r="Q36" s="3" t="str">
        <f>$A$10</f>
        <v>Davidson</v>
      </c>
      <c r="R36" s="17">
        <f t="shared" si="43"/>
        <v>4.6476432128425796E-2</v>
      </c>
      <c r="S36" s="17">
        <f t="shared" si="43"/>
        <v>0.17929430411886246</v>
      </c>
      <c r="T36" s="17">
        <f t="shared" si="43"/>
        <v>0.14782885218280231</v>
      </c>
      <c r="U36" s="17">
        <f t="shared" si="43"/>
        <v>6.327554372347563E-2</v>
      </c>
      <c r="V36" s="17">
        <f t="shared" si="43"/>
        <v>2.3367247892618879E-2</v>
      </c>
      <c r="W36" s="17">
        <f t="shared" si="43"/>
        <v>0.46024238004618506</v>
      </c>
    </row>
    <row r="37" spans="1:23" x14ac:dyDescent="0.25">
      <c r="A37" s="14" t="str">
        <f>$A$11</f>
        <v>Maury</v>
      </c>
      <c r="B37" s="82">
        <f t="shared" si="41"/>
        <v>1.7653151638347062E-3</v>
      </c>
      <c r="C37" s="82">
        <f t="shared" si="41"/>
        <v>1.6721998438618001E-2</v>
      </c>
      <c r="D37" s="82">
        <f t="shared" si="41"/>
        <v>2.140195433963658E-2</v>
      </c>
      <c r="E37" s="82">
        <f t="shared" si="41"/>
        <v>9.5716947196650536E-3</v>
      </c>
      <c r="F37" s="82">
        <f t="shared" si="41"/>
        <v>3.4653959601524337E-3</v>
      </c>
      <c r="G37" s="82">
        <f t="shared" si="41"/>
        <v>5.2926358621906776E-2</v>
      </c>
      <c r="H37" s="83"/>
      <c r="I37" s="14" t="str">
        <f>$A$11</f>
        <v>Maury</v>
      </c>
      <c r="J37" s="82">
        <f t="shared" si="42"/>
        <v>2.3724746674743525E-3</v>
      </c>
      <c r="K37" s="82">
        <f t="shared" si="42"/>
        <v>1.5631990500519697E-2</v>
      </c>
      <c r="L37" s="82">
        <f t="shared" si="42"/>
        <v>2.1560676317483013E-2</v>
      </c>
      <c r="M37" s="82">
        <f t="shared" si="42"/>
        <v>9.1964654011163233E-3</v>
      </c>
      <c r="N37" s="82">
        <f t="shared" si="42"/>
        <v>4.1647517353133757E-3</v>
      </c>
      <c r="O37" s="82">
        <f t="shared" si="42"/>
        <v>5.2926358621906762E-2</v>
      </c>
      <c r="Q37" s="14" t="str">
        <f>$A$11</f>
        <v>Maury</v>
      </c>
      <c r="R37" s="82">
        <f t="shared" si="43"/>
        <v>1.9229904749536735E-3</v>
      </c>
      <c r="S37" s="82">
        <f t="shared" si="43"/>
        <v>1.6792451887777272E-2</v>
      </c>
      <c r="T37" s="82">
        <f t="shared" si="43"/>
        <v>2.0739993373591264E-2</v>
      </c>
      <c r="U37" s="82">
        <f t="shared" si="43"/>
        <v>9.6282717893135007E-3</v>
      </c>
      <c r="V37" s="82">
        <f t="shared" si="43"/>
        <v>3.8426510962710635E-3</v>
      </c>
      <c r="W37" s="82">
        <f t="shared" si="43"/>
        <v>5.2926358621906776E-2</v>
      </c>
    </row>
    <row r="38" spans="1:23" x14ac:dyDescent="0.25">
      <c r="A38" s="14" t="str">
        <f>$A$12</f>
        <v>Wilson</v>
      </c>
      <c r="B38" s="82">
        <f t="shared" si="41"/>
        <v>2.8288503597706004E-3</v>
      </c>
      <c r="C38" s="82">
        <f t="shared" si="41"/>
        <v>1.6386996436263821E-2</v>
      </c>
      <c r="D38" s="82">
        <f t="shared" si="41"/>
        <v>3.1245422133461539E-2</v>
      </c>
      <c r="E38" s="82">
        <f t="shared" si="41"/>
        <v>1.5604617678738865E-2</v>
      </c>
      <c r="F38" s="82">
        <f t="shared" si="41"/>
        <v>5.6458413027648344E-3</v>
      </c>
      <c r="G38" s="82">
        <f t="shared" si="41"/>
        <v>7.1711727910999667E-2</v>
      </c>
      <c r="H38" s="83"/>
      <c r="I38" s="14" t="str">
        <f>$A$12</f>
        <v>Wilson</v>
      </c>
      <c r="J38" s="82">
        <f t="shared" si="42"/>
        <v>2.5155905620752894E-3</v>
      </c>
      <c r="K38" s="82">
        <f t="shared" si="42"/>
        <v>1.6086905897309958E-2</v>
      </c>
      <c r="L38" s="82">
        <f t="shared" si="42"/>
        <v>3.0609831216953473E-2</v>
      </c>
      <c r="M38" s="82">
        <f t="shared" si="42"/>
        <v>1.6118220302646997E-2</v>
      </c>
      <c r="N38" s="82">
        <f t="shared" si="42"/>
        <v>6.3811799320139433E-3</v>
      </c>
      <c r="O38" s="82">
        <f t="shared" si="42"/>
        <v>7.1711727910999654E-2</v>
      </c>
      <c r="Q38" s="14" t="str">
        <f>$A$12</f>
        <v>Wilson</v>
      </c>
      <c r="R38" s="82">
        <f t="shared" si="43"/>
        <v>2.1044674981311197E-3</v>
      </c>
      <c r="S38" s="82">
        <f t="shared" si="43"/>
        <v>1.9384742943623912E-2</v>
      </c>
      <c r="T38" s="82">
        <f t="shared" si="43"/>
        <v>2.9634032436104272E-2</v>
      </c>
      <c r="U38" s="82">
        <f t="shared" si="43"/>
        <v>1.4453229708288173E-2</v>
      </c>
      <c r="V38" s="82">
        <f t="shared" si="43"/>
        <v>6.1352553248521964E-3</v>
      </c>
      <c r="W38" s="82">
        <f t="shared" si="43"/>
        <v>7.1711727910999667E-2</v>
      </c>
    </row>
    <row r="39" spans="1:23" ht="15.75" thickBot="1" x14ac:dyDescent="0.3">
      <c r="A39" s="7" t="str">
        <f>$A$13</f>
        <v>Total</v>
      </c>
      <c r="B39" s="19">
        <f t="shared" si="41"/>
        <v>6.5266541084331234E-2</v>
      </c>
      <c r="C39" s="19">
        <f t="shared" si="41"/>
        <v>0.32802944181474247</v>
      </c>
      <c r="D39" s="19">
        <f t="shared" si="41"/>
        <v>0.39005567228149718</v>
      </c>
      <c r="E39" s="19">
        <f t="shared" si="41"/>
        <v>0.15774045898648653</v>
      </c>
      <c r="F39" s="19">
        <f t="shared" si="41"/>
        <v>5.8907885832942604E-2</v>
      </c>
      <c r="G39" s="19">
        <f t="shared" si="41"/>
        <v>1</v>
      </c>
      <c r="H39" s="83"/>
      <c r="I39" s="7" t="str">
        <f>$A$13</f>
        <v>Total</v>
      </c>
      <c r="J39" s="19">
        <f t="shared" si="42"/>
        <v>5.2493834170230125E-2</v>
      </c>
      <c r="K39" s="19">
        <f t="shared" si="42"/>
        <v>0.32366614027928103</v>
      </c>
      <c r="L39" s="19">
        <f t="shared" si="42"/>
        <v>0.40316364733228049</v>
      </c>
      <c r="M39" s="19">
        <f t="shared" si="42"/>
        <v>0.1584431945208396</v>
      </c>
      <c r="N39" s="19">
        <f t="shared" si="42"/>
        <v>6.2233183697368653E-2</v>
      </c>
      <c r="O39" s="19">
        <f t="shared" si="42"/>
        <v>1</v>
      </c>
      <c r="Q39" s="7" t="str">
        <f>$A$13</f>
        <v>Total</v>
      </c>
      <c r="R39" s="19">
        <f t="shared" si="43"/>
        <v>6.3760037427554872E-2</v>
      </c>
      <c r="S39" s="19">
        <f t="shared" si="43"/>
        <v>0.33331834899197005</v>
      </c>
      <c r="T39" s="19">
        <f t="shared" si="43"/>
        <v>0.36756922349478127</v>
      </c>
      <c r="U39" s="19">
        <f t="shared" si="43"/>
        <v>0.16943793735546353</v>
      </c>
      <c r="V39" s="19">
        <f t="shared" si="43"/>
        <v>6.591445273023025E-2</v>
      </c>
      <c r="W39" s="19">
        <f t="shared" si="43"/>
        <v>1</v>
      </c>
    </row>
    <row r="40" spans="1:23" x14ac:dyDescent="0.25">
      <c r="A40" s="14"/>
      <c r="B40" s="17"/>
      <c r="C40" s="82"/>
      <c r="D40" s="82"/>
      <c r="E40" s="82"/>
      <c r="F40" s="82"/>
      <c r="G40" s="82"/>
      <c r="I40" s="14"/>
      <c r="J40" s="82"/>
      <c r="K40" s="82"/>
      <c r="L40" s="82"/>
      <c r="M40" s="82"/>
      <c r="N40" s="82"/>
      <c r="O40" s="82"/>
      <c r="Q40" s="14"/>
      <c r="R40" s="82"/>
      <c r="S40" s="82"/>
      <c r="T40" s="82"/>
      <c r="U40" s="82"/>
      <c r="V40" s="82"/>
      <c r="W40" s="82"/>
    </row>
    <row r="42" spans="1:23" x14ac:dyDescent="0.25">
      <c r="Q42" s="1" t="s">
        <v>20</v>
      </c>
    </row>
    <row r="43" spans="1:23" ht="15.75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Williamson</v>
      </c>
      <c r="R45" s="17">
        <f>R32-J32</f>
        <v>1.7638643511815738E-4</v>
      </c>
      <c r="S45" s="17">
        <f t="shared" ref="S45:W45" si="44">S32-K32</f>
        <v>3.456443049968571E-3</v>
      </c>
      <c r="T45" s="17">
        <f t="shared" si="44"/>
        <v>-5.1016895157959749E-3</v>
      </c>
      <c r="U45" s="17">
        <f t="shared" si="44"/>
        <v>5.850459828064189E-4</v>
      </c>
      <c r="V45" s="17">
        <f t="shared" si="44"/>
        <v>8.8381404790284501E-4</v>
      </c>
      <c r="W45" s="17">
        <f t="shared" si="44"/>
        <v>0</v>
      </c>
    </row>
    <row r="46" spans="1:23" x14ac:dyDescent="0.25">
      <c r="Q46" s="3" t="str">
        <f>$A$7</f>
        <v>Rutherford</v>
      </c>
      <c r="R46" s="17">
        <f t="shared" ref="R46:W46" si="45">R33-J33</f>
        <v>1.5528225750914637E-3</v>
      </c>
      <c r="S46" s="17">
        <f t="shared" si="45"/>
        <v>4.649317956892704E-3</v>
      </c>
      <c r="T46" s="17">
        <f t="shared" si="45"/>
        <v>-8.7990449296080492E-3</v>
      </c>
      <c r="U46" s="17">
        <f t="shared" si="45"/>
        <v>2.719060079893653E-3</v>
      </c>
      <c r="V46" s="17">
        <f t="shared" si="45"/>
        <v>-1.2215568226973603E-4</v>
      </c>
      <c r="W46" s="17">
        <f t="shared" si="45"/>
        <v>0</v>
      </c>
    </row>
    <row r="47" spans="1:23" x14ac:dyDescent="0.25">
      <c r="Q47" s="3" t="str">
        <f>$A$8</f>
        <v>Sumner</v>
      </c>
      <c r="R47" s="17">
        <f t="shared" ref="R47:R49" si="46">R34-J34</f>
        <v>-8.0496384222316806E-4</v>
      </c>
      <c r="S47" s="17">
        <f t="shared" ref="S47:S49" si="47">S34-K34</f>
        <v>9.6479480216499214E-4</v>
      </c>
      <c r="T47" s="17">
        <f t="shared" ref="T47:T49" si="48">T34-L34</f>
        <v>9.0129984935843205E-4</v>
      </c>
      <c r="U47" s="17">
        <f t="shared" ref="U47:U49" si="49">U34-M34</f>
        <v>-7.8737963185897611E-4</v>
      </c>
      <c r="V47" s="17">
        <f t="shared" ref="V47:V49" si="50">V34-N34</f>
        <v>-2.7375117744127091E-4</v>
      </c>
      <c r="W47" s="17">
        <f t="shared" ref="W47:W49" si="51">W34-O34</f>
        <v>0</v>
      </c>
    </row>
    <row r="48" spans="1:23" x14ac:dyDescent="0.25">
      <c r="Q48" s="3" t="str">
        <f>$A$9</f>
        <v>Roberston</v>
      </c>
      <c r="R48" s="17">
        <f t="shared" si="46"/>
        <v>-1.0174329089218369E-3</v>
      </c>
      <c r="S48" s="17">
        <f t="shared" si="47"/>
        <v>2.3001129484660036E-3</v>
      </c>
      <c r="T48" s="17">
        <f t="shared" si="48"/>
        <v>-6.3316278904968978E-4</v>
      </c>
      <c r="U48" s="17">
        <f t="shared" si="49"/>
        <v>9.9605000881228256E-5</v>
      </c>
      <c r="V48" s="17">
        <f t="shared" si="50"/>
        <v>-7.4912225137569594E-4</v>
      </c>
      <c r="W48" s="17">
        <f t="shared" si="51"/>
        <v>0</v>
      </c>
    </row>
    <row r="49" spans="1:23" x14ac:dyDescent="0.25">
      <c r="Q49" s="3" t="str">
        <f>$A$10</f>
        <v>Davidson</v>
      </c>
      <c r="R49" s="17">
        <f t="shared" si="46"/>
        <v>1.1757323574539146E-2</v>
      </c>
      <c r="S49" s="17">
        <f t="shared" si="47"/>
        <v>-8.0550806141891362E-3</v>
      </c>
      <c r="T49" s="17">
        <f t="shared" si="48"/>
        <v>-1.9406564064289727E-2</v>
      </c>
      <c r="U49" s="17">
        <f t="shared" si="49"/>
        <v>1.0666414622080657E-2</v>
      </c>
      <c r="V49" s="17">
        <f t="shared" si="50"/>
        <v>5.0379064818591272E-3</v>
      </c>
      <c r="W49" s="17">
        <f t="shared" si="51"/>
        <v>0</v>
      </c>
    </row>
    <row r="50" spans="1:23" x14ac:dyDescent="0.25">
      <c r="Q50" s="14" t="str">
        <f>$A$11</f>
        <v>Maury</v>
      </c>
      <c r="R50" s="82">
        <f t="shared" ref="R50:W50" si="52">R37-J37</f>
        <v>-4.4948419252067908E-4</v>
      </c>
      <c r="S50" s="82">
        <f t="shared" si="52"/>
        <v>1.1604613872575748E-3</v>
      </c>
      <c r="T50" s="82">
        <f t="shared" si="52"/>
        <v>-8.2068294389174914E-4</v>
      </c>
      <c r="U50" s="82">
        <f t="shared" si="52"/>
        <v>4.3180638819717738E-4</v>
      </c>
      <c r="V50" s="82">
        <f t="shared" si="52"/>
        <v>-3.221006390423122E-4</v>
      </c>
      <c r="W50" s="82">
        <f t="shared" si="52"/>
        <v>0</v>
      </c>
    </row>
    <row r="51" spans="1:23" x14ac:dyDescent="0.25">
      <c r="Q51" s="14" t="str">
        <f>$A$12</f>
        <v>Wilson</v>
      </c>
      <c r="R51" s="82">
        <f t="shared" ref="R51:W52" si="53">R38-J38</f>
        <v>-4.1112306394416962E-4</v>
      </c>
      <c r="S51" s="82">
        <f t="shared" si="53"/>
        <v>3.2978370463139541E-3</v>
      </c>
      <c r="T51" s="82">
        <f t="shared" si="53"/>
        <v>-9.7579878084920121E-4</v>
      </c>
      <c r="U51" s="82">
        <f t="shared" si="53"/>
        <v>-1.6649905943588242E-3</v>
      </c>
      <c r="V51" s="82">
        <f t="shared" si="53"/>
        <v>-2.4592460716174689E-4</v>
      </c>
      <c r="W51" s="82">
        <f t="shared" si="53"/>
        <v>0</v>
      </c>
    </row>
    <row r="52" spans="1:23" ht="15.75" thickBot="1" x14ac:dyDescent="0.3">
      <c r="Q52" s="7" t="str">
        <f>$A$13</f>
        <v>Total</v>
      </c>
      <c r="R52" s="19">
        <f t="shared" si="53"/>
        <v>1.1266203257324747E-2</v>
      </c>
      <c r="S52" s="19">
        <f t="shared" ref="S52" si="54">S39-K39</f>
        <v>9.6522087126890144E-3</v>
      </c>
      <c r="T52" s="19">
        <f t="shared" ref="T52" si="55">T39-L39</f>
        <v>-3.5594423837499223E-2</v>
      </c>
      <c r="U52" s="19">
        <f t="shared" ref="U52" si="56">U39-M39</f>
        <v>1.0994742834623927E-2</v>
      </c>
      <c r="V52" s="19">
        <f t="shared" ref="V52" si="57">V39-N39</f>
        <v>3.6812690328615963E-3</v>
      </c>
      <c r="W52" s="19">
        <f t="shared" ref="W52" si="58">W39-O39</f>
        <v>0</v>
      </c>
    </row>
    <row r="55" spans="1:23" ht="15.75" thickBot="1" x14ac:dyDescent="0.3">
      <c r="A55" s="20" t="s">
        <v>145</v>
      </c>
      <c r="B55" s="21"/>
      <c r="C55" s="22"/>
      <c r="D55" s="22"/>
      <c r="E55" s="22"/>
      <c r="F55" s="22"/>
      <c r="G55" s="22"/>
      <c r="I55" s="20" t="s">
        <v>26</v>
      </c>
      <c r="J55" s="21"/>
      <c r="K55" s="22"/>
      <c r="L55" s="22"/>
      <c r="M55" s="22"/>
      <c r="N55" s="22"/>
      <c r="O55" s="22"/>
      <c r="Q55" s="20" t="s">
        <v>27</v>
      </c>
      <c r="R55" s="26"/>
      <c r="S55" s="26"/>
      <c r="T55" s="26"/>
      <c r="U55" s="26"/>
      <c r="V55" s="26"/>
      <c r="W55" s="26"/>
    </row>
    <row r="56" spans="1:23" x14ac:dyDescent="0.25">
      <c r="A56" s="27"/>
      <c r="B56" s="28">
        <v>0</v>
      </c>
      <c r="C56" s="28">
        <v>1</v>
      </c>
      <c r="D56" s="28">
        <v>2</v>
      </c>
      <c r="E56" s="28">
        <v>3</v>
      </c>
      <c r="F56" s="28" t="s">
        <v>3</v>
      </c>
      <c r="G56" s="28" t="s">
        <v>4</v>
      </c>
      <c r="I56" s="27"/>
      <c r="J56" s="28">
        <v>0</v>
      </c>
      <c r="K56" s="28">
        <v>1</v>
      </c>
      <c r="L56" s="28">
        <v>2</v>
      </c>
      <c r="M56" s="28">
        <v>3</v>
      </c>
      <c r="N56" s="28" t="s">
        <v>3</v>
      </c>
      <c r="O56" s="28" t="s">
        <v>4</v>
      </c>
      <c r="Q56" s="27"/>
      <c r="R56" s="28">
        <v>0</v>
      </c>
      <c r="S56" s="28">
        <v>1</v>
      </c>
      <c r="T56" s="28">
        <v>2</v>
      </c>
      <c r="U56" s="28">
        <v>3</v>
      </c>
      <c r="V56" s="28" t="s">
        <v>3</v>
      </c>
      <c r="W56" s="28" t="s">
        <v>4</v>
      </c>
    </row>
    <row r="57" spans="1:23" x14ac:dyDescent="0.25">
      <c r="A57" s="3" t="str">
        <f>$A$6</f>
        <v>Williamson</v>
      </c>
      <c r="B57" s="23"/>
      <c r="C57" s="23"/>
      <c r="D57" s="23"/>
      <c r="E57" s="23"/>
      <c r="F57" s="23"/>
      <c r="G57" s="23"/>
      <c r="I57" s="3" t="str">
        <f>$A$6</f>
        <v>Williamson</v>
      </c>
      <c r="J57" s="23"/>
      <c r="K57" s="23"/>
      <c r="L57" s="23"/>
      <c r="M57" s="23"/>
      <c r="N57" s="23"/>
      <c r="O57" s="23"/>
      <c r="Q57" s="3" t="str">
        <f>$A$6</f>
        <v>Williamson</v>
      </c>
      <c r="R57" s="23"/>
      <c r="S57" s="23"/>
      <c r="T57" s="23"/>
      <c r="U57" s="23"/>
      <c r="V57" s="23"/>
      <c r="W57" s="23"/>
    </row>
    <row r="58" spans="1:23" x14ac:dyDescent="0.25">
      <c r="A58" s="3" t="str">
        <f>$A$7</f>
        <v>Rutherford</v>
      </c>
      <c r="B58" s="29"/>
      <c r="C58" s="29"/>
      <c r="D58" s="29"/>
      <c r="E58" s="29"/>
      <c r="F58" s="29"/>
      <c r="G58" s="29"/>
      <c r="I58" s="3" t="str">
        <f>$A$7</f>
        <v>Rutherford</v>
      </c>
      <c r="J58" s="29"/>
      <c r="K58" s="29"/>
      <c r="L58" s="29"/>
      <c r="M58" s="29"/>
      <c r="N58" s="29"/>
      <c r="O58" s="29"/>
      <c r="Q58" s="3" t="str">
        <f>$A$7</f>
        <v>Rutherford</v>
      </c>
      <c r="R58" s="29"/>
      <c r="S58" s="29"/>
      <c r="T58" s="29"/>
      <c r="U58" s="29"/>
      <c r="V58" s="29"/>
      <c r="W58" s="29"/>
    </row>
    <row r="59" spans="1:23" x14ac:dyDescent="0.25">
      <c r="A59" s="3" t="str">
        <f>$A$8</f>
        <v>Sumner</v>
      </c>
      <c r="B59" s="29"/>
      <c r="C59" s="29"/>
      <c r="D59" s="29"/>
      <c r="E59" s="29"/>
      <c r="F59" s="29"/>
      <c r="G59" s="29"/>
      <c r="I59" s="3" t="str">
        <f>$A$8</f>
        <v>Sumner</v>
      </c>
      <c r="J59" s="29"/>
      <c r="K59" s="29"/>
      <c r="L59" s="29"/>
      <c r="M59" s="29"/>
      <c r="N59" s="29"/>
      <c r="O59" s="29"/>
      <c r="Q59" s="3" t="str">
        <f>$A$8</f>
        <v>Sumner</v>
      </c>
      <c r="R59" s="29"/>
      <c r="S59" s="29"/>
      <c r="T59" s="29"/>
      <c r="U59" s="29"/>
      <c r="V59" s="29"/>
      <c r="W59" s="29"/>
    </row>
    <row r="60" spans="1:23" x14ac:dyDescent="0.25">
      <c r="A60" s="3" t="str">
        <f>$A$9</f>
        <v>Roberston</v>
      </c>
      <c r="B60" s="29"/>
      <c r="C60" s="29"/>
      <c r="D60" s="29"/>
      <c r="E60" s="29"/>
      <c r="F60" s="29"/>
      <c r="G60" s="29"/>
      <c r="I60" s="3" t="str">
        <f>$A$9</f>
        <v>Roberston</v>
      </c>
      <c r="J60" s="29"/>
      <c r="K60" s="29"/>
      <c r="L60" s="29"/>
      <c r="M60" s="29"/>
      <c r="N60" s="29"/>
      <c r="O60" s="29"/>
      <c r="Q60" s="3" t="str">
        <f>$A$9</f>
        <v>Roberston</v>
      </c>
      <c r="R60" s="29"/>
      <c r="S60" s="29"/>
      <c r="T60" s="29"/>
      <c r="U60" s="29"/>
      <c r="V60" s="29"/>
      <c r="W60" s="29"/>
    </row>
    <row r="61" spans="1:23" x14ac:dyDescent="0.25">
      <c r="A61" s="3" t="str">
        <f>$A$10</f>
        <v>Davidson</v>
      </c>
      <c r="B61" s="29"/>
      <c r="C61" s="29"/>
      <c r="D61" s="29"/>
      <c r="E61" s="29"/>
      <c r="F61" s="29"/>
      <c r="G61" s="29"/>
      <c r="I61" s="3" t="str">
        <f>$A$10</f>
        <v>Davidson</v>
      </c>
      <c r="J61" s="29"/>
      <c r="K61" s="29"/>
      <c r="L61" s="29"/>
      <c r="M61" s="29"/>
      <c r="N61" s="29"/>
      <c r="O61" s="29"/>
      <c r="Q61" s="3" t="str">
        <f>$A$10</f>
        <v>Davidson</v>
      </c>
      <c r="R61" s="29"/>
      <c r="S61" s="29"/>
      <c r="T61" s="29"/>
      <c r="U61" s="29"/>
      <c r="V61" s="29"/>
      <c r="W61" s="29"/>
    </row>
    <row r="62" spans="1:23" x14ac:dyDescent="0.25">
      <c r="A62" s="5" t="str">
        <f>$A$11</f>
        <v>Maury</v>
      </c>
      <c r="B62" s="23"/>
      <c r="C62" s="23"/>
      <c r="D62" s="23"/>
      <c r="E62" s="23"/>
      <c r="F62" s="23"/>
      <c r="G62" s="23"/>
      <c r="I62" s="5" t="str">
        <f>$A$11</f>
        <v>Maury</v>
      </c>
      <c r="J62" s="23"/>
      <c r="K62" s="23"/>
      <c r="L62" s="23"/>
      <c r="M62" s="23"/>
      <c r="N62" s="23"/>
      <c r="O62" s="23"/>
      <c r="Q62" s="5" t="str">
        <f>$A$11</f>
        <v>Maury</v>
      </c>
      <c r="R62" s="23"/>
      <c r="S62" s="23"/>
      <c r="T62" s="23"/>
      <c r="U62" s="23"/>
      <c r="V62" s="23"/>
      <c r="W62" s="23"/>
    </row>
    <row r="63" spans="1:23" ht="15.75" thickBot="1" x14ac:dyDescent="0.3">
      <c r="A63" s="24" t="s">
        <v>4</v>
      </c>
      <c r="B63" s="25"/>
      <c r="C63" s="25"/>
      <c r="D63" s="25"/>
      <c r="E63" s="25"/>
      <c r="F63" s="25"/>
      <c r="G63" s="25"/>
      <c r="I63" s="24" t="s">
        <v>4</v>
      </c>
      <c r="J63" s="25"/>
      <c r="K63" s="25"/>
      <c r="L63" s="25"/>
      <c r="M63" s="25"/>
      <c r="N63" s="25"/>
      <c r="O63" s="25"/>
      <c r="Q63" s="24" t="s">
        <v>4</v>
      </c>
      <c r="R63" s="25"/>
      <c r="S63" s="25"/>
      <c r="T63" s="25"/>
      <c r="U63" s="25"/>
      <c r="V63" s="25"/>
      <c r="W63" s="25"/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38"/>
  <sheetViews>
    <sheetView workbookViewId="0">
      <selection activeCell="J33" sqref="J33"/>
    </sheetView>
  </sheetViews>
  <sheetFormatPr defaultRowHeight="15" x14ac:dyDescent="0.25"/>
  <cols>
    <col min="1" max="23" customWidth="true" width="9.28515625" collapsed="true"/>
  </cols>
  <sheetData>
    <row r="1" spans="1:39" ht="21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r="4" spans="1:39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25457.059708000103</v>
      </c>
      <c r="C6" s="4" t="n">
        <v>42129.383663876484</v>
      </c>
      <c r="D6" s="4" t="n">
        <v>13329.984564746932</v>
      </c>
      <c r="E6" s="4" t="n">
        <v>4930.342926808293</v>
      </c>
      <c r="F6" s="4" t="n">
        <v>2165.2296313359175</v>
      </c>
      <c r="G6" s="4">
        <f>SUM(B6:F6)</f>
        <v>88012.000494767723</v>
      </c>
      <c r="I6" s="3" t="s">
        <v>6</v>
      </c>
      <c r="J6">
        <v>17580</v>
      </c>
      <c r="K6">
        <v>32190</v>
      </c>
      <c r="L6">
        <v>9300</v>
      </c>
      <c r="M6">
        <v>1160</v>
      </c>
      <c r="N6">
        <v>435</v>
      </c>
      <c r="O6" s="4">
        <v>60665</v>
      </c>
      <c r="Q6" s="3" t="s">
        <v>6</v>
      </c>
      <c r="R6" s="60" t="n">
        <v>32591.0</v>
      </c>
      <c r="S6" s="64" t="n">
        <v>45837.0</v>
      </c>
      <c r="T6" s="68" t="n">
        <v>8117.0</v>
      </c>
      <c r="U6" s="72" t="n">
        <v>1306.0</v>
      </c>
      <c r="V6" s="76" t="n">
        <v>161.0</v>
      </c>
      <c r="W6" s="4">
        <f>SUM(R6:V6)</f>
        <v>88012</v>
      </c>
    </row>
    <row r="7" spans="1:39" x14ac:dyDescent="0.25">
      <c r="A7" s="3" t="s">
        <v>7</v>
      </c>
      <c r="B7" s="4" t="n">
        <v>11975.247659036399</v>
      </c>
      <c r="C7" s="4" t="n">
        <v>108180.6526356624</v>
      </c>
      <c r="D7" s="4" t="n">
        <v>63670.73497880334</v>
      </c>
      <c r="E7" s="4" t="n">
        <v>17789.08314090231</v>
      </c>
      <c r="F7" s="4" t="n">
        <v>6034.281239378122</v>
      </c>
      <c r="G7" s="4">
        <f t="shared" ref="G7:G10" si="0">SUM(B7:F7)</f>
        <v>207649.99965378255</v>
      </c>
      <c r="I7" s="3" t="s">
        <v>7</v>
      </c>
      <c r="J7">
        <v>12305</v>
      </c>
      <c r="K7">
        <v>101355</v>
      </c>
      <c r="L7">
        <v>61450</v>
      </c>
      <c r="M7">
        <v>11555</v>
      </c>
      <c r="N7">
        <v>3309</v>
      </c>
      <c r="O7" s="4">
        <v>189974</v>
      </c>
      <c r="Q7" s="3" t="s">
        <v>7</v>
      </c>
      <c r="R7" s="61" t="n">
        <v>7708.0</v>
      </c>
      <c r="S7" s="65" t="n">
        <v>104254.0</v>
      </c>
      <c r="T7" s="69" t="n">
        <v>65095.0</v>
      </c>
      <c r="U7" s="73" t="n">
        <v>23476.0</v>
      </c>
      <c r="V7" s="77" t="n">
        <v>7117.0</v>
      </c>
      <c r="W7" s="4">
        <f t="shared" ref="W7:W10" si="1">SUM(R7:V7)</f>
        <v>207650</v>
      </c>
    </row>
    <row r="8" spans="1:39" x14ac:dyDescent="0.25">
      <c r="A8" s="3" t="s">
        <v>8</v>
      </c>
      <c r="B8" s="4" t="n">
        <v>1518.722305069765</v>
      </c>
      <c r="C8" s="4" t="n">
        <v>26592.887957125058</v>
      </c>
      <c r="D8" s="4" t="n">
        <v>64251.09109223558</v>
      </c>
      <c r="E8" s="4" t="n">
        <v>17248.052440339343</v>
      </c>
      <c r="F8" s="4" t="n">
        <v>6140.247100794337</v>
      </c>
      <c r="G8" s="4">
        <f t="shared" si="0"/>
        <v>115751.0008955641</v>
      </c>
      <c r="I8" s="3" t="s">
        <v>8</v>
      </c>
      <c r="J8">
        <v>1810</v>
      </c>
      <c r="K8">
        <v>31835</v>
      </c>
      <c r="L8">
        <v>54020</v>
      </c>
      <c r="M8">
        <v>15945</v>
      </c>
      <c r="N8">
        <v>4540</v>
      </c>
      <c r="O8" s="4">
        <v>108150</v>
      </c>
      <c r="Q8" s="3" t="s">
        <v>8</v>
      </c>
      <c r="R8" s="62" t="n">
        <v>1037.0</v>
      </c>
      <c r="S8" s="66" t="n">
        <v>24874.0</v>
      </c>
      <c r="T8" s="70" t="n">
        <v>55549.0</v>
      </c>
      <c r="U8" s="74" t="n">
        <v>25021.0</v>
      </c>
      <c r="V8" s="78" t="n">
        <v>9270.0</v>
      </c>
      <c r="W8" s="4">
        <f t="shared" si="1"/>
        <v>115751</v>
      </c>
    </row>
    <row r="9" spans="1:39" x14ac:dyDescent="0.25">
      <c r="A9" s="5" t="s">
        <v>9</v>
      </c>
      <c r="B9" s="4" t="n">
        <v>249.81727</v>
      </c>
      <c r="C9" s="4" t="n">
        <v>20120.416147863536</v>
      </c>
      <c r="D9" s="4" t="n">
        <v>93026.15865709243</v>
      </c>
      <c r="E9" s="4" t="n">
        <v>54775.70056309218</v>
      </c>
      <c r="F9" s="4" t="n">
        <v>21041.908926335545</v>
      </c>
      <c r="G9" s="6">
        <f t="shared" si="0"/>
        <v>189214.00156438368</v>
      </c>
      <c r="I9" s="5" t="s">
        <v>9</v>
      </c>
      <c r="J9" s="80">
        <v>1648</v>
      </c>
      <c r="K9" s="80">
        <v>21530</v>
      </c>
      <c r="L9" s="80">
        <v>94210</v>
      </c>
      <c r="M9" s="80">
        <v>38565</v>
      </c>
      <c r="N9" s="80">
        <v>15230</v>
      </c>
      <c r="O9" s="6">
        <v>171183</v>
      </c>
      <c r="Q9" s="5" t="s">
        <v>9</v>
      </c>
      <c r="R9" s="63" t="n">
        <v>1997.0</v>
      </c>
      <c r="S9" s="67" t="n">
        <v>23060.0</v>
      </c>
      <c r="T9" s="71" t="n">
        <v>90427.0</v>
      </c>
      <c r="U9" s="75" t="n">
        <v>51184.0</v>
      </c>
      <c r="V9" s="79" t="n">
        <v>22546.0</v>
      </c>
      <c r="W9" s="6">
        <f t="shared" si="1"/>
        <v>189214</v>
      </c>
    </row>
    <row r="10" spans="1:39" ht="15.75" thickBot="1" x14ac:dyDescent="0.3">
      <c r="A10" s="7" t="s">
        <v>4</v>
      </c>
      <c r="B10" s="8">
        <f>SUM(B6:B9)</f>
        <v>39200.846942106262</v>
      </c>
      <c r="C10" s="8">
        <f t="shared" ref="C10:F10" si="2">SUM(C6:C9)</f>
        <v>197023.34040452749</v>
      </c>
      <c r="D10" s="8">
        <f t="shared" si="2"/>
        <v>234277.96929287829</v>
      </c>
      <c r="E10" s="8">
        <f t="shared" si="2"/>
        <v>94743.17907114212</v>
      </c>
      <c r="F10" s="8">
        <f t="shared" si="2"/>
        <v>35381.666897843919</v>
      </c>
      <c r="G10" s="8">
        <f t="shared" si="0"/>
        <v>600627.00260849809</v>
      </c>
      <c r="I10" s="7" t="s">
        <v>4</v>
      </c>
      <c r="J10" s="8">
        <v>33343</v>
      </c>
      <c r="K10" s="8">
        <v>186910</v>
      </c>
      <c r="L10" s="8">
        <v>218980</v>
      </c>
      <c r="M10" s="8">
        <v>67225</v>
      </c>
      <c r="N10" s="8">
        <v>23514</v>
      </c>
      <c r="O10" s="8">
        <v>529972</v>
      </c>
      <c r="Q10" s="7" t="s">
        <v>4</v>
      </c>
      <c r="R10" s="8">
        <f>SUM(R6:R9)</f>
        <v>38296</v>
      </c>
      <c r="S10" s="8">
        <f t="shared" ref="S10" si="3">SUM(S6:S9)</f>
        <v>200200</v>
      </c>
      <c r="T10" s="8">
        <f t="shared" ref="T10" si="4">SUM(T6:T9)</f>
        <v>220772</v>
      </c>
      <c r="U10" s="8">
        <f t="shared" ref="U10" si="5">SUM(U6:U9)</f>
        <v>101769</v>
      </c>
      <c r="V10" s="8">
        <f t="shared" ref="V10" si="6">SUM(V6:V9)</f>
        <v>39590</v>
      </c>
      <c r="W10" s="8">
        <f t="shared" si="1"/>
        <v>600627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r="14" spans="1:39" ht="15.75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t="shared" ref="B16:G20" si="7">($W6/$G6)*B6</f>
        <v>25457.059564890853</v>
      </c>
      <c r="C16" s="4">
        <f t="shared" si="7"/>
        <v>42129.383427042201</v>
      </c>
      <c r="D16" s="4">
        <f t="shared" si="7"/>
        <v>13329.984489811173</v>
      </c>
      <c r="E16" s="4">
        <f t="shared" si="7"/>
        <v>4930.3428990919074</v>
      </c>
      <c r="F16" s="4">
        <f t="shared" si="7"/>
        <v>2165.2296191638757</v>
      </c>
      <c r="G16" s="4">
        <f t="shared" si="7"/>
        <v>88012</v>
      </c>
      <c r="I16" s="3" t="s">
        <v>6</v>
      </c>
      <c r="J16" s="4">
        <f t="shared" ref="J16:O20" si="8">($W6/$O6)*J6</f>
        <v>25504.837385642462</v>
      </c>
      <c r="K16" s="4">
        <f t="shared" si="8"/>
        <v>46700.837055963078</v>
      </c>
      <c r="L16" s="4">
        <f t="shared" si="8"/>
        <v>13492.32011868458</v>
      </c>
      <c r="M16" s="4">
        <f t="shared" si="8"/>
        <v>1682.9130470617326</v>
      </c>
      <c r="N16" s="4">
        <f t="shared" si="8"/>
        <v>631.09239264814971</v>
      </c>
      <c r="O16" s="4">
        <f t="shared" si="8"/>
        <v>88012</v>
      </c>
      <c r="Q16" s="3" t="s">
        <v>6</v>
      </c>
      <c r="R16" s="4">
        <f t="shared" ref="R16:V19" si="9">R6</f>
        <v>28860</v>
      </c>
      <c r="S16" s="4">
        <f t="shared" si="9"/>
        <v>49030</v>
      </c>
      <c r="T16" s="4">
        <f t="shared" si="9"/>
        <v>8591</v>
      </c>
      <c r="U16" s="4">
        <f t="shared" si="9"/>
        <v>1365</v>
      </c>
      <c r="V16" s="4">
        <f t="shared" si="9"/>
        <v>166</v>
      </c>
      <c r="W16" s="4">
        <f>SUM(R16:V16)</f>
        <v>88012</v>
      </c>
      <c r="Y16" s="3" t="s">
        <v>6</v>
      </c>
      <c r="Z16" s="4">
        <f>R16-J16</f>
        <v>3355.1626143575377</v>
      </c>
      <c r="AA16" s="4">
        <f t="shared" ref="AA16:AA20" si="10">S16-K16</f>
        <v>2329.1629440369215</v>
      </c>
      <c r="AB16" s="4">
        <f t="shared" ref="AB16:AB20" si="11">T16-L16</f>
        <v>-4901.3201186845799</v>
      </c>
      <c r="AC16" s="4">
        <f t="shared" ref="AC16:AC20" si="12">U16-M16</f>
        <v>-317.91304706173264</v>
      </c>
      <c r="AD16" s="4">
        <f t="shared" ref="AD16:AD20" si="13">V16-N16</f>
        <v>-465.09239264814971</v>
      </c>
      <c r="AE16" s="4">
        <f t="shared" ref="AE16:AE20" si="14">W16-O16</f>
        <v>0</v>
      </c>
      <c r="AG16" s="3" t="s">
        <v>6</v>
      </c>
      <c r="AH16" s="17">
        <f>Z16/J16</f>
        <v>0.13155004925639213</v>
      </c>
      <c r="AI16" s="17">
        <f t="shared" ref="AI16:AI20" si="15">AA16/K16</f>
        <v>4.9874115559123973E-2</v>
      </c>
      <c r="AJ16" s="17">
        <f t="shared" ref="AJ16:AJ20" si="16">AB16/L16</f>
        <v>-0.36326740512901712</v>
      </c>
      <c r="AK16" s="17">
        <f t="shared" ref="AK16:AK20" si="17">AC16/M16</f>
        <v>-0.18890640108637233</v>
      </c>
      <c r="AL16" s="17">
        <f t="shared" ref="AL16:AL20" si="18">AD16/N16</f>
        <v>-0.73696402946097739</v>
      </c>
      <c r="AM16" s="17">
        <f t="shared" ref="AM16:AM20" si="19">AE16/O16</f>
        <v>0</v>
      </c>
    </row>
    <row r="17" spans="1:39" x14ac:dyDescent="0.25">
      <c r="A17" s="3" t="s">
        <v>7</v>
      </c>
      <c r="B17" s="4">
        <f t="shared" si="7"/>
        <v>11975.24767900288</v>
      </c>
      <c r="C17" s="4">
        <f t="shared" si="7"/>
        <v>108180.65281603335</v>
      </c>
      <c r="D17" s="4">
        <f t="shared" si="7"/>
        <v>63670.735084962354</v>
      </c>
      <c r="E17" s="4">
        <f t="shared" si="7"/>
        <v>17789.08317056227</v>
      </c>
      <c r="F17" s="4">
        <f t="shared" si="7"/>
        <v>6034.2812494391546</v>
      </c>
      <c r="G17" s="4">
        <f t="shared" si="7"/>
        <v>207650</v>
      </c>
      <c r="I17" s="3" t="s">
        <v>7</v>
      </c>
      <c r="J17" s="4">
        <f t="shared" si="8"/>
        <v>13449.910250876435</v>
      </c>
      <c r="K17" s="4">
        <f t="shared" si="8"/>
        <v>110785.50617452915</v>
      </c>
      <c r="L17" s="4">
        <f t="shared" si="8"/>
        <v>67167.572931032671</v>
      </c>
      <c r="M17" s="4">
        <f t="shared" si="8"/>
        <v>12630.127017381326</v>
      </c>
      <c r="N17" s="4">
        <f t="shared" si="8"/>
        <v>3616.8836261804245</v>
      </c>
      <c r="O17" s="4">
        <f t="shared" si="8"/>
        <v>207650</v>
      </c>
      <c r="Q17" s="3" t="s">
        <v>7</v>
      </c>
      <c r="R17" s="4">
        <f t="shared" si="9"/>
        <v>6765</v>
      </c>
      <c r="S17" s="4">
        <f t="shared" si="9"/>
        <v>103756</v>
      </c>
      <c r="T17" s="4">
        <f t="shared" si="9"/>
        <v>65990</v>
      </c>
      <c r="U17" s="4">
        <f t="shared" si="9"/>
        <v>23890</v>
      </c>
      <c r="V17" s="4">
        <f t="shared" si="9"/>
        <v>7249</v>
      </c>
      <c r="W17" s="4">
        <f t="shared" ref="W17:W20" si="20">SUM(R17:V17)</f>
        <v>207650</v>
      </c>
      <c r="Y17" s="3" t="s">
        <v>7</v>
      </c>
      <c r="Z17" s="4">
        <f t="shared" ref="Z17:Z20" si="21">R17-J17</f>
        <v>-6684.9102508764354</v>
      </c>
      <c r="AA17" s="4">
        <f t="shared" si="10"/>
        <v>-7029.5061745291459</v>
      </c>
      <c r="AB17" s="4">
        <f t="shared" si="11"/>
        <v>-1177.5729310326715</v>
      </c>
      <c r="AC17" s="4">
        <f t="shared" si="12"/>
        <v>11259.872982618674</v>
      </c>
      <c r="AD17" s="4">
        <f t="shared" si="13"/>
        <v>3632.1163738195755</v>
      </c>
      <c r="AE17" s="4">
        <f t="shared" si="14"/>
        <v>0</v>
      </c>
      <c r="AG17" s="3" t="s">
        <v>7</v>
      </c>
      <c r="AH17" s="17">
        <f t="shared" ref="AH17:AH20" si="22">Z17/J17</f>
        <v>-0.49702266603904122</v>
      </c>
      <c r="AI17" s="17">
        <f t="shared" si="15"/>
        <v>-6.34514966556637E-2</v>
      </c>
      <c r="AJ17" s="17">
        <f t="shared" si="16"/>
        <v>-1.7531866638114162E-2</v>
      </c>
      <c r="AK17" s="17">
        <f t="shared" si="17"/>
        <v>0.89150908515195959</v>
      </c>
      <c r="AL17" s="17">
        <f t="shared" si="18"/>
        <v>1.0042115669768557</v>
      </c>
      <c r="AM17" s="17">
        <f t="shared" si="19"/>
        <v>0</v>
      </c>
    </row>
    <row r="18" spans="1:39" x14ac:dyDescent="0.25">
      <c r="A18" s="3" t="s">
        <v>8</v>
      </c>
      <c r="B18" s="4">
        <f t="shared" si="7"/>
        <v>1518.7222933194289</v>
      </c>
      <c r="C18" s="4">
        <f t="shared" si="7"/>
        <v>26592.887751376205</v>
      </c>
      <c r="D18" s="4">
        <f t="shared" si="7"/>
        <v>64251.090595125665</v>
      </c>
      <c r="E18" s="4">
        <f t="shared" si="7"/>
        <v>17248.052306891368</v>
      </c>
      <c r="F18" s="4">
        <f t="shared" si="7"/>
        <v>6140.2470532873194</v>
      </c>
      <c r="G18" s="4">
        <f t="shared" si="7"/>
        <v>115751</v>
      </c>
      <c r="I18" s="3" t="s">
        <v>8</v>
      </c>
      <c r="J18" s="4">
        <f t="shared" si="8"/>
        <v>1937.2104484512254</v>
      </c>
      <c r="K18" s="4">
        <f t="shared" si="8"/>
        <v>34072.427970411467</v>
      </c>
      <c r="L18" s="4">
        <f t="shared" si="8"/>
        <v>57816.634489135467</v>
      </c>
      <c r="M18" s="4">
        <f t="shared" si="8"/>
        <v>17065.646740638003</v>
      </c>
      <c r="N18" s="4">
        <f t="shared" si="8"/>
        <v>4859.0803513638466</v>
      </c>
      <c r="O18" s="4">
        <f t="shared" si="8"/>
        <v>115751.00000000001</v>
      </c>
      <c r="Q18" s="3" t="s">
        <v>8</v>
      </c>
      <c r="R18" s="4">
        <f t="shared" si="9"/>
        <v>913</v>
      </c>
      <c r="S18" s="4">
        <f t="shared" si="9"/>
        <v>24656</v>
      </c>
      <c r="T18" s="4">
        <f t="shared" si="9"/>
        <v>55587</v>
      </c>
      <c r="U18" s="4">
        <f t="shared" si="9"/>
        <v>25205</v>
      </c>
      <c r="V18" s="4">
        <f t="shared" si="9"/>
        <v>9390</v>
      </c>
      <c r="W18" s="4">
        <f t="shared" si="20"/>
        <v>115751</v>
      </c>
      <c r="Y18" s="3" t="s">
        <v>8</v>
      </c>
      <c r="Z18" s="4">
        <f t="shared" si="21"/>
        <v>-1024.2104484512254</v>
      </c>
      <c r="AA18" s="4">
        <f t="shared" si="10"/>
        <v>-9416.427970411467</v>
      </c>
      <c r="AB18" s="4">
        <f t="shared" si="11"/>
        <v>-2229.6344891354674</v>
      </c>
      <c r="AC18" s="4">
        <f t="shared" si="12"/>
        <v>8139.3532593619966</v>
      </c>
      <c r="AD18" s="4">
        <f t="shared" si="13"/>
        <v>4530.9196486361534</v>
      </c>
      <c r="AE18" s="4">
        <f t="shared" si="14"/>
        <v>0</v>
      </c>
      <c r="AG18" s="3" t="s">
        <v>8</v>
      </c>
      <c r="AH18" s="17">
        <f t="shared" si="22"/>
        <v>-0.52870376022908006</v>
      </c>
      <c r="AI18" s="17">
        <f t="shared" si="15"/>
        <v>-0.27636504151065205</v>
      </c>
      <c r="AJ18" s="17">
        <f t="shared" si="16"/>
        <v>-3.8563892707287314E-2</v>
      </c>
      <c r="AK18" s="17">
        <f t="shared" si="17"/>
        <v>0.47694373281382624</v>
      </c>
      <c r="AL18" s="17">
        <f t="shared" si="18"/>
        <v>0.93246444203467738</v>
      </c>
      <c r="AM18" s="17">
        <f t="shared" si="19"/>
        <v>0</v>
      </c>
    </row>
    <row r="19" spans="1:39" x14ac:dyDescent="0.25">
      <c r="A19" s="5" t="s">
        <v>9</v>
      </c>
      <c r="B19" s="4">
        <f t="shared" si="7"/>
        <v>249.81726793456056</v>
      </c>
      <c r="C19" s="4">
        <f t="shared" si="7"/>
        <v>20120.415981511942</v>
      </c>
      <c r="D19" s="4">
        <f t="shared" si="7"/>
        <v>93026.157887970665</v>
      </c>
      <c r="E19" s="4">
        <f t="shared" si="7"/>
        <v>54775.700110217593</v>
      </c>
      <c r="F19" s="4">
        <f t="shared" si="7"/>
        <v>21041.908752365231</v>
      </c>
      <c r="G19" s="6">
        <f t="shared" si="7"/>
        <v>189214</v>
      </c>
      <c r="I19" s="5" t="s">
        <v>9</v>
      </c>
      <c r="J19" s="6">
        <f t="shared" si="8"/>
        <v>1821.5866762470571</v>
      </c>
      <c r="K19" s="6">
        <f t="shared" si="8"/>
        <v>23797.791953640255</v>
      </c>
      <c r="L19" s="6">
        <f t="shared" si="8"/>
        <v>104133.30143764275</v>
      </c>
      <c r="M19" s="6">
        <f t="shared" si="8"/>
        <v>42627.117821278982</v>
      </c>
      <c r="N19" s="6">
        <f t="shared" si="8"/>
        <v>16834.202111190945</v>
      </c>
      <c r="O19" s="6">
        <f t="shared" si="8"/>
        <v>189213.99999999997</v>
      </c>
      <c r="Q19" s="5" t="s">
        <v>9</v>
      </c>
      <c r="R19" s="4">
        <f t="shared" si="9"/>
        <v>1758</v>
      </c>
      <c r="S19" s="4">
        <f t="shared" si="9"/>
        <v>22758</v>
      </c>
      <c r="T19" s="4">
        <f t="shared" si="9"/>
        <v>90604</v>
      </c>
      <c r="U19" s="4">
        <f t="shared" si="9"/>
        <v>51309</v>
      </c>
      <c r="V19" s="4">
        <f t="shared" si="9"/>
        <v>22785</v>
      </c>
      <c r="W19" s="6">
        <f t="shared" si="20"/>
        <v>189214</v>
      </c>
      <c r="Y19" s="5" t="s">
        <v>9</v>
      </c>
      <c r="Z19" s="4">
        <f t="shared" si="21"/>
        <v>-63.586676247057085</v>
      </c>
      <c r="AA19" s="4">
        <f t="shared" si="10"/>
        <v>-1039.7919536402551</v>
      </c>
      <c r="AB19" s="4">
        <f t="shared" si="11"/>
        <v>-13529.301437642745</v>
      </c>
      <c r="AC19" s="4">
        <f t="shared" si="12"/>
        <v>8681.8821787210181</v>
      </c>
      <c r="AD19" s="4">
        <f t="shared" si="13"/>
        <v>5950.7978888090547</v>
      </c>
      <c r="AE19" s="6">
        <f t="shared" si="14"/>
        <v>0</v>
      </c>
      <c r="AG19" s="5" t="s">
        <v>9</v>
      </c>
      <c r="AH19" s="17">
        <f t="shared" si="22"/>
        <v>-3.4907302011047969E-2</v>
      </c>
      <c r="AI19" s="17">
        <f t="shared" si="15"/>
        <v>-4.3692791149105001E-2</v>
      </c>
      <c r="AJ19" s="17">
        <f t="shared" si="16"/>
        <v>-0.12992290891443964</v>
      </c>
      <c r="AK19" s="17">
        <f t="shared" si="17"/>
        <v>0.2036704009668493</v>
      </c>
      <c r="AL19" s="17">
        <f t="shared" si="18"/>
        <v>0.35349450181859926</v>
      </c>
      <c r="AM19" s="18">
        <f t="shared" si="19"/>
        <v>0</v>
      </c>
    </row>
    <row r="20" spans="1:39" ht="15.75" thickBot="1" x14ac:dyDescent="0.3">
      <c r="A20" s="7" t="s">
        <v>4</v>
      </c>
      <c r="B20" s="8">
        <f t="shared" si="7"/>
        <v>39200.846771858611</v>
      </c>
      <c r="C20" s="8">
        <f t="shared" si="7"/>
        <v>197023.33954886333</v>
      </c>
      <c r="D20" s="8">
        <f t="shared" si="7"/>
        <v>234277.9682754188</v>
      </c>
      <c r="E20" s="8">
        <f t="shared" si="7"/>
        <v>94743.178659676429</v>
      </c>
      <c r="F20" s="8">
        <f t="shared" si="7"/>
        <v>35381.66674418281</v>
      </c>
      <c r="G20" s="8">
        <f t="shared" si="7"/>
        <v>600627</v>
      </c>
      <c r="I20" s="7" t="s">
        <v>4</v>
      </c>
      <c r="J20" s="8">
        <f t="shared" si="8"/>
        <v>37788.234210486589</v>
      </c>
      <c r="K20" s="8">
        <f t="shared" si="8"/>
        <v>211828.53541319165</v>
      </c>
      <c r="L20" s="8">
        <f t="shared" si="8"/>
        <v>248174.05534632018</v>
      </c>
      <c r="M20" s="8">
        <f t="shared" si="8"/>
        <v>76187.327019163276</v>
      </c>
      <c r="N20" s="8">
        <f t="shared" si="8"/>
        <v>26648.848010838308</v>
      </c>
      <c r="O20" s="8">
        <f t="shared" si="8"/>
        <v>600627</v>
      </c>
      <c r="Q20" s="7" t="s">
        <v>4</v>
      </c>
      <c r="R20" s="8">
        <f>SUM(R16:R19)</f>
        <v>38296</v>
      </c>
      <c r="S20" s="8">
        <f t="shared" ref="S20:V20" si="23">SUM(S16:S19)</f>
        <v>200200</v>
      </c>
      <c r="T20" s="8">
        <f t="shared" si="23"/>
        <v>220772</v>
      </c>
      <c r="U20" s="8">
        <f t="shared" si="23"/>
        <v>101769</v>
      </c>
      <c r="V20" s="8">
        <f t="shared" si="23"/>
        <v>39590</v>
      </c>
      <c r="W20" s="8">
        <f t="shared" si="20"/>
        <v>600627</v>
      </c>
      <c r="Y20" s="7" t="s">
        <v>4</v>
      </c>
      <c r="Z20" s="8">
        <f t="shared" si="21"/>
        <v>507.76578951341071</v>
      </c>
      <c r="AA20" s="8">
        <f t="shared" si="10"/>
        <v>-11628.535413191654</v>
      </c>
      <c r="AB20" s="8">
        <f t="shared" si="11"/>
        <v>-27402.05534632018</v>
      </c>
      <c r="AC20" s="8">
        <f t="shared" si="12"/>
        <v>25581.672980836724</v>
      </c>
      <c r="AD20" s="8">
        <f t="shared" si="13"/>
        <v>12941.151989161692</v>
      </c>
      <c r="AE20" s="8">
        <f t="shared" si="14"/>
        <v>0</v>
      </c>
      <c r="AG20" s="7" t="s">
        <v>4</v>
      </c>
      <c r="AH20" s="19">
        <f t="shared" si="22"/>
        <v>1.3437139896113509E-2</v>
      </c>
      <c r="AI20" s="19">
        <f t="shared" si="15"/>
        <v>-5.489598174537294E-2</v>
      </c>
      <c r="AJ20" s="19">
        <f t="shared" si="16"/>
        <v>-0.11041466565907283</v>
      </c>
      <c r="AK20" s="19">
        <f t="shared" si="17"/>
        <v>0.33577333635031198</v>
      </c>
      <c r="AL20" s="19">
        <f t="shared" si="18"/>
        <v>0.4856176891360714</v>
      </c>
      <c r="AM20" s="19">
        <f t="shared" si="19"/>
        <v>0</v>
      </c>
    </row>
    <row r="23" spans="1:39" ht="15.75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4.2384141180617674E-2</v>
      </c>
      <c r="C25" s="17">
        <f t="shared" ref="C25:G25" si="24">C16/$G$20</f>
        <v>7.0142340299457401E-2</v>
      </c>
      <c r="D25" s="17">
        <f t="shared" si="24"/>
        <v>2.2193448662499643E-2</v>
      </c>
      <c r="E25" s="17">
        <f t="shared" si="24"/>
        <v>8.2086601153326562E-3</v>
      </c>
      <c r="F25" s="17">
        <f t="shared" si="24"/>
        <v>3.6049488603806948E-3</v>
      </c>
      <c r="G25" s="17">
        <f t="shared" si="24"/>
        <v>0.14653353911828806</v>
      </c>
      <c r="I25" s="3" t="s">
        <v>6</v>
      </c>
      <c r="J25" s="17">
        <f>J16/$O$20</f>
        <v>4.2463687755699399E-2</v>
      </c>
      <c r="K25" s="17">
        <f t="shared" ref="K25:O25" si="25">K16/$O$20</f>
        <v>7.7753476044139E-2</v>
      </c>
      <c r="L25" s="17">
        <f t="shared" si="25"/>
        <v>2.2463725604550878E-2</v>
      </c>
      <c r="M25" s="17">
        <f t="shared" si="25"/>
        <v>2.8019270646536579E-3</v>
      </c>
      <c r="N25" s="17">
        <f t="shared" si="25"/>
        <v>1.0507226492451217E-3</v>
      </c>
      <c r="O25" s="17">
        <f t="shared" si="25"/>
        <v>0.14653353911828806</v>
      </c>
      <c r="Q25" s="3" t="s">
        <v>6</v>
      </c>
      <c r="R25" s="17">
        <f t="shared" ref="R25:W29" si="26">R6/$W$10</f>
        <v>4.804978797156971E-2</v>
      </c>
      <c r="S25" s="17">
        <f t="shared" si="26"/>
        <v>8.1631361893487978E-2</v>
      </c>
      <c r="T25" s="17">
        <f t="shared" si="26"/>
        <v>1.4303386294655418E-2</v>
      </c>
      <c r="U25" s="17">
        <f t="shared" si="26"/>
        <v>2.2726251067634322E-3</v>
      </c>
      <c r="V25" s="17">
        <f t="shared" si="26"/>
        <v>2.7637785181152362E-4</v>
      </c>
      <c r="W25" s="17">
        <f t="shared" si="26"/>
        <v>0.14653353911828806</v>
      </c>
    </row>
    <row r="26" spans="1:39" x14ac:dyDescent="0.25">
      <c r="A26" s="3" t="s">
        <v>7</v>
      </c>
      <c r="B26" s="17">
        <f t="shared" ref="B26:G26" si="27">B17/$G$20</f>
        <v>1.9937911014661146E-2</v>
      </c>
      <c r="C26" s="17">
        <f t="shared" si="27"/>
        <v>0.18011287007749127</v>
      </c>
      <c r="D26" s="17">
        <f t="shared" si="27"/>
        <v>0.10600711437375002</v>
      </c>
      <c r="E26" s="17">
        <f t="shared" si="27"/>
        <v>2.9617521640822455E-2</v>
      </c>
      <c r="F26" s="17">
        <f t="shared" si="27"/>
        <v>1.0046636680400905E-2</v>
      </c>
      <c r="G26" s="17">
        <f t="shared" si="27"/>
        <v>0.34572205378712578</v>
      </c>
      <c r="I26" s="3" t="s">
        <v>7</v>
      </c>
      <c r="J26" s="17">
        <f t="shared" ref="J26:O26" si="28">J17/$O$20</f>
        <v>2.2393116278283252E-2</v>
      </c>
      <c r="K26" s="17">
        <f t="shared" si="28"/>
        <v>0.18444976029137741</v>
      </c>
      <c r="L26" s="17">
        <f t="shared" si="28"/>
        <v>0.11182909348236537</v>
      </c>
      <c r="M26" s="17">
        <f t="shared" si="28"/>
        <v>2.1028237187774319E-2</v>
      </c>
      <c r="N26" s="17">
        <f t="shared" si="28"/>
        <v>6.0218465473254193E-3</v>
      </c>
      <c r="O26" s="17">
        <f t="shared" si="28"/>
        <v>0.34572205378712578</v>
      </c>
      <c r="Q26" s="3" t="s">
        <v>7</v>
      </c>
      <c r="R26" s="17">
        <f t="shared" si="26"/>
        <v>1.1263229924728658E-2</v>
      </c>
      <c r="S26" s="17">
        <f t="shared" si="26"/>
        <v>0.17274614694311111</v>
      </c>
      <c r="T26" s="17">
        <f t="shared" si="26"/>
        <v>0.10986852072917135</v>
      </c>
      <c r="U26" s="17">
        <f t="shared" si="26"/>
        <v>3.977510168540542E-2</v>
      </c>
      <c r="V26" s="17">
        <f t="shared" si="26"/>
        <v>1.2069054504709246E-2</v>
      </c>
      <c r="W26" s="17">
        <f t="shared" si="26"/>
        <v>0.34572205378712578</v>
      </c>
    </row>
    <row r="27" spans="1:39" x14ac:dyDescent="0.25">
      <c r="A27" s="3" t="s">
        <v>8</v>
      </c>
      <c r="B27" s="17">
        <f t="shared" ref="B27:G27" si="29">B18/$G$20</f>
        <v>2.5285614754571952E-3</v>
      </c>
      <c r="C27" s="17">
        <f t="shared" si="29"/>
        <v>4.4275211989098402E-2</v>
      </c>
      <c r="D27" s="17">
        <f t="shared" si="29"/>
        <v>0.10697336382667723</v>
      </c>
      <c r="E27" s="17">
        <f t="shared" si="29"/>
        <v>2.8716744846454402E-2</v>
      </c>
      <c r="F27" s="17">
        <f t="shared" si="29"/>
        <v>1.0223061989033659E-2</v>
      </c>
      <c r="G27" s="17">
        <f t="shared" si="29"/>
        <v>0.19271694412672091</v>
      </c>
      <c r="I27" s="3" t="s">
        <v>8</v>
      </c>
      <c r="J27" s="17">
        <f t="shared" ref="J27:O27" si="30">J18/$O$20</f>
        <v>3.225313628010771E-3</v>
      </c>
      <c r="K27" s="17">
        <f t="shared" si="30"/>
        <v>5.6728099087139716E-2</v>
      </c>
      <c r="L27" s="17">
        <f t="shared" si="30"/>
        <v>9.6260465295658487E-2</v>
      </c>
      <c r="M27" s="17">
        <f t="shared" si="30"/>
        <v>2.841305292742085E-2</v>
      </c>
      <c r="N27" s="17">
        <f t="shared" si="30"/>
        <v>8.0900131884911047E-3</v>
      </c>
      <c r="O27" s="17">
        <f t="shared" si="30"/>
        <v>0.19271694412672094</v>
      </c>
      <c r="Q27" s="3" t="s">
        <v>8</v>
      </c>
      <c r="R27" s="17">
        <f t="shared" si="26"/>
        <v>1.5200781849633799E-3</v>
      </c>
      <c r="S27" s="17">
        <f t="shared" si="26"/>
        <v>4.1050435628101969E-2</v>
      </c>
      <c r="T27" s="17">
        <f t="shared" si="26"/>
        <v>9.2548287040043156E-2</v>
      </c>
      <c r="U27" s="17">
        <f t="shared" si="26"/>
        <v>4.1964480451261763E-2</v>
      </c>
      <c r="V27" s="17">
        <f t="shared" si="26"/>
        <v>1.5633662822350642E-2</v>
      </c>
      <c r="W27" s="17">
        <f t="shared" si="26"/>
        <v>0.19271694412672091</v>
      </c>
    </row>
    <row r="28" spans="1:39" x14ac:dyDescent="0.25">
      <c r="A28" s="5" t="s">
        <v>9</v>
      </c>
      <c r="B28" s="18">
        <f t="shared" ref="B28:G28" si="31">B19/$G$20</f>
        <v>4.1592746901914261E-4</v>
      </c>
      <c r="C28" s="18">
        <f t="shared" si="31"/>
        <v>3.3499020159786258E-2</v>
      </c>
      <c r="D28" s="18">
        <f t="shared" si="31"/>
        <v>0.1548817450563672</v>
      </c>
      <c r="E28" s="18">
        <f t="shared" si="31"/>
        <v>9.1197532095989006E-2</v>
      </c>
      <c r="F28" s="18">
        <f t="shared" si="31"/>
        <v>3.5033238186703612E-2</v>
      </c>
      <c r="G28" s="18">
        <f t="shared" si="31"/>
        <v>0.31502746296786527</v>
      </c>
      <c r="I28" s="5" t="s">
        <v>9</v>
      </c>
      <c r="J28" s="18">
        <f t="shared" ref="J28:O28" si="32">J19/$O$20</f>
        <v>3.0328085088533433E-3</v>
      </c>
      <c r="K28" s="18">
        <f t="shared" si="32"/>
        <v>3.9621582036172623E-2</v>
      </c>
      <c r="L28" s="18">
        <f t="shared" si="32"/>
        <v>0.17337432622516594</v>
      </c>
      <c r="M28" s="18">
        <f t="shared" si="32"/>
        <v>7.0971031640733734E-2</v>
      </c>
      <c r="N28" s="18">
        <f t="shared" si="32"/>
        <v>2.8027714556939573E-2</v>
      </c>
      <c r="O28" s="18">
        <f t="shared" si="32"/>
        <v>0.31502746296786521</v>
      </c>
      <c r="Q28" s="5" t="s">
        <v>9</v>
      </c>
      <c r="R28" s="18">
        <f t="shared" si="26"/>
        <v>2.9269413462931237E-3</v>
      </c>
      <c r="S28" s="18">
        <f t="shared" si="26"/>
        <v>3.7890404527269002E-2</v>
      </c>
      <c r="T28" s="18">
        <f t="shared" si="26"/>
        <v>0.15084902943091136</v>
      </c>
      <c r="U28" s="18">
        <f t="shared" si="26"/>
        <v>8.542573011203293E-2</v>
      </c>
      <c r="V28" s="18">
        <f t="shared" si="26"/>
        <v>3.793535755135883E-2</v>
      </c>
      <c r="W28" s="18">
        <f t="shared" si="26"/>
        <v>0.31502746296786527</v>
      </c>
    </row>
    <row r="29" spans="1:39" ht="15.75" thickBot="1" x14ac:dyDescent="0.3">
      <c r="A29" s="7" t="s">
        <v>4</v>
      </c>
      <c r="B29" s="19">
        <f t="shared" ref="B29:G29" si="33">B20/$G$20</f>
        <v>6.526654108433122E-2</v>
      </c>
      <c r="C29" s="19">
        <f t="shared" si="33"/>
        <v>0.32802944181474247</v>
      </c>
      <c r="D29" s="19">
        <f t="shared" si="33"/>
        <v>0.39005567228149718</v>
      </c>
      <c r="E29" s="19">
        <f t="shared" si="33"/>
        <v>0.1577404589864865</v>
      </c>
      <c r="F29" s="19">
        <f t="shared" si="33"/>
        <v>5.890788583294259E-2</v>
      </c>
      <c r="G29" s="19">
        <f t="shared" si="33"/>
        <v>1</v>
      </c>
      <c r="I29" s="7" t="s">
        <v>4</v>
      </c>
      <c r="J29" s="19">
        <f t="shared" ref="J29:O29" si="34">J20/$O$20</f>
        <v>6.2914644547259091E-2</v>
      </c>
      <c r="K29" s="19">
        <f t="shared" si="34"/>
        <v>0.3526790094571034</v>
      </c>
      <c r="L29" s="19">
        <f t="shared" si="34"/>
        <v>0.41319164031307315</v>
      </c>
      <c r="M29" s="19">
        <f t="shared" si="34"/>
        <v>0.12684632395673734</v>
      </c>
      <c r="N29" s="19">
        <f t="shared" si="34"/>
        <v>4.4368381725827022E-2</v>
      </c>
      <c r="O29" s="19">
        <f t="shared" si="34"/>
        <v>1</v>
      </c>
      <c r="Q29" s="7" t="s">
        <v>4</v>
      </c>
      <c r="R29" s="19">
        <f t="shared" si="26"/>
        <v>6.3760037427554872E-2</v>
      </c>
      <c r="S29" s="19">
        <f t="shared" si="26"/>
        <v>0.33331834899197005</v>
      </c>
      <c r="T29" s="19">
        <f t="shared" si="26"/>
        <v>0.36756922349478127</v>
      </c>
      <c r="U29" s="19">
        <f t="shared" si="26"/>
        <v>0.16943793735546353</v>
      </c>
      <c r="V29" s="19">
        <f t="shared" si="26"/>
        <v>6.591445273023025E-2</v>
      </c>
      <c r="W29" s="19">
        <f t="shared" si="26"/>
        <v>1</v>
      </c>
    </row>
    <row r="32" spans="1:39" ht="15.75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>
        <f>R25-J25</f>
        <v>5.5861002158703113E-3</v>
      </c>
      <c r="S34" s="17">
        <f t="shared" ref="S34:W34" si="35">S25-K25</f>
        <v>3.8778858493489776E-3</v>
      </c>
      <c r="T34" s="17">
        <f t="shared" si="35"/>
        <v>-8.1603393098954608E-3</v>
      </c>
      <c r="U34" s="17">
        <f t="shared" si="35"/>
        <v>-5.2930195789022572E-4</v>
      </c>
      <c r="V34" s="17">
        <f t="shared" si="35"/>
        <v>-7.7434479743359805E-4</v>
      </c>
      <c r="W34" s="17">
        <f t="shared" si="35"/>
        <v>0</v>
      </c>
    </row>
    <row r="35" spans="17:23" x14ac:dyDescent="0.25">
      <c r="Q35" s="3" t="s">
        <v>7</v>
      </c>
      <c r="R35" s="17">
        <f t="shared" ref="R35:W38" si="36">R26-J26</f>
        <v>-1.1129886353554594E-2</v>
      </c>
      <c r="S35" s="17">
        <f t="shared" si="36"/>
        <v>-1.1703613348266306E-2</v>
      </c>
      <c r="T35" s="17">
        <f t="shared" si="36"/>
        <v>-1.9605727531940287E-3</v>
      </c>
      <c r="U35" s="17">
        <f t="shared" si="36"/>
        <v>1.8746864497631101E-2</v>
      </c>
      <c r="V35" s="17">
        <f t="shared" si="36"/>
        <v>6.0472079573838265E-3</v>
      </c>
      <c r="W35" s="17">
        <f t="shared" si="36"/>
        <v>0</v>
      </c>
    </row>
    <row r="36" spans="17:23" x14ac:dyDescent="0.25">
      <c r="Q36" s="3" t="s">
        <v>8</v>
      </c>
      <c r="R36" s="17">
        <f t="shared" si="36"/>
        <v>-1.7052354430473911E-3</v>
      </c>
      <c r="S36" s="17">
        <f t="shared" si="36"/>
        <v>-1.5677663459037747E-2</v>
      </c>
      <c r="T36" s="17">
        <f t="shared" si="36"/>
        <v>-3.712178255615331E-3</v>
      </c>
      <c r="U36" s="17">
        <f t="shared" si="36"/>
        <v>1.3551427523840913E-2</v>
      </c>
      <c r="V36" s="17">
        <f t="shared" si="36"/>
        <v>7.5436496338595373E-3</v>
      </c>
      <c r="W36" s="17">
        <f t="shared" si="36"/>
        <v>0</v>
      </c>
    </row>
    <row r="37" spans="17:23" x14ac:dyDescent="0.25">
      <c r="Q37" s="5" t="s">
        <v>9</v>
      </c>
      <c r="R37" s="18">
        <f t="shared" si="36"/>
        <v>-1.0586716256021957E-4</v>
      </c>
      <c r="S37" s="18">
        <f t="shared" si="36"/>
        <v>-1.731177508903621E-3</v>
      </c>
      <c r="T37" s="18">
        <f t="shared" si="36"/>
        <v>-2.2525296794254579E-2</v>
      </c>
      <c r="U37" s="18">
        <f t="shared" si="36"/>
        <v>1.4454698471299196E-2</v>
      </c>
      <c r="V37" s="18">
        <f t="shared" si="36"/>
        <v>9.9076429944192565E-3</v>
      </c>
      <c r="W37" s="18">
        <f t="shared" si="36"/>
        <v>0</v>
      </c>
    </row>
    <row r="38" spans="17:23" ht="15.75" thickBot="1" x14ac:dyDescent="0.3">
      <c r="Q38" s="7" t="s">
        <v>4</v>
      </c>
      <c r="R38" s="19">
        <f t="shared" si="36"/>
        <v>8.4539288029578108E-4</v>
      </c>
      <c r="S38" s="19">
        <f t="shared" si="36"/>
        <v>-1.936066046513335E-2</v>
      </c>
      <c r="T38" s="19">
        <f t="shared" si="36"/>
        <v>-4.5622416818291878E-2</v>
      </c>
      <c r="U38" s="19">
        <f t="shared" si="36"/>
        <v>4.2591613398726191E-2</v>
      </c>
      <c r="V38" s="19">
        <f t="shared" si="36"/>
        <v>2.1546071004403228E-2</v>
      </c>
      <c r="W38" s="19">
        <f t="shared" si="36"/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8"/>
  <sheetViews>
    <sheetView tabSelected="1" topLeftCell="A4" workbookViewId="0">
      <selection activeCell="A23" sqref="A23"/>
    </sheetView>
  </sheetViews>
  <sheetFormatPr defaultRowHeight="15" x14ac:dyDescent="0.25"/>
  <cols>
    <col min="1" max="23" customWidth="true" width="9.28515625" collapsed="true"/>
  </cols>
  <sheetData>
    <row r="1" spans="1:39" ht="21" x14ac:dyDescent="0.35">
      <c r="A1" s="13" t="s">
        <v>142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r="4" spans="1:39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30986.161369205798</v>
      </c>
      <c r="C6" s="4" t="n">
        <v>134959.2906839861</v>
      </c>
      <c r="D6" s="4" t="n">
        <v>18987.07598153593</v>
      </c>
      <c r="E6" s="4" t="n">
        <v>3033.8874319140873</v>
      </c>
      <c r="F6" s="4" t="n">
        <v>1217.5342797483</v>
      </c>
      <c r="G6" s="4">
        <f>SUM(B6:F6)</f>
        <v>189183.94974639019</v>
      </c>
      <c r="I6" s="3">
        <v>1</v>
      </c>
      <c r="J6">
        <v>23835</v>
      </c>
      <c r="K6">
        <v>125435</v>
      </c>
      <c r="L6">
        <v>22995</v>
      </c>
      <c r="M6">
        <v>2445</v>
      </c>
      <c r="N6">
        <v>735</v>
      </c>
      <c r="O6" s="4">
        <v>175445</v>
      </c>
      <c r="Q6" s="3">
        <v>1</v>
      </c>
      <c r="R6" s="40" t="n">
        <v>37786.0</v>
      </c>
      <c r="S6" s="44" t="n">
        <v>141944.0</v>
      </c>
      <c r="T6" s="48" t="n">
        <v>20531.0</v>
      </c>
      <c r="U6" s="52" t="n">
        <v>3325.0</v>
      </c>
      <c r="V6" s="56" t="n">
        <v>0.0</v>
      </c>
      <c r="W6" s="4">
        <f>SUM(R6:V6)</f>
        <v>203586</v>
      </c>
    </row>
    <row r="7" spans="1:39" x14ac:dyDescent="0.25">
      <c r="A7" s="3">
        <v>2</v>
      </c>
      <c r="B7" s="4" t="n">
        <v>4315.763415934534</v>
      </c>
      <c r="C7" s="4" t="n">
        <v>47763.86547711414</v>
      </c>
      <c r="D7" s="4" t="n">
        <v>194719.25509938312</v>
      </c>
      <c r="E7" s="4" t="n">
        <v>50504.17376114185</v>
      </c>
      <c r="F7" s="4" t="n">
        <v>16413.618020255486</v>
      </c>
      <c r="G7" s="4">
        <f t="shared" ref="G7:G10" si="0">SUM(B7:F7)</f>
        <v>313716.67577382911</v>
      </c>
      <c r="I7" s="3">
        <v>2</v>
      </c>
      <c r="J7">
        <v>7325</v>
      </c>
      <c r="K7">
        <v>51560</v>
      </c>
      <c r="L7">
        <v>168890</v>
      </c>
      <c r="M7">
        <v>32395</v>
      </c>
      <c r="N7">
        <v>6210</v>
      </c>
      <c r="O7" s="4">
        <v>266380</v>
      </c>
      <c r="Q7" s="3">
        <v>2</v>
      </c>
      <c r="R7" s="41" t="n">
        <v>4532.0</v>
      </c>
      <c r="S7" s="45" t="n">
        <v>47258.0</v>
      </c>
      <c r="T7" s="49" t="n">
        <v>176491.0</v>
      </c>
      <c r="U7" s="53" t="n">
        <v>47034.0</v>
      </c>
      <c r="V7" s="57" t="n">
        <v>15375.0</v>
      </c>
      <c r="W7" s="4">
        <f t="shared" ref="W7:W10" si="1">SUM(R7:V7)</f>
        <v>290690</v>
      </c>
    </row>
    <row r="8" spans="1:39" x14ac:dyDescent="0.25">
      <c r="A8" s="3">
        <v>3</v>
      </c>
      <c r="B8" s="4" t="n">
        <v>640.733935121945</v>
      </c>
      <c r="C8" s="4" t="n">
        <v>4109.672400944599</v>
      </c>
      <c r="D8" s="4" t="n">
        <v>14127.102321834005</v>
      </c>
      <c r="E8" s="4" t="n">
        <v>29776.914444318343</v>
      </c>
      <c r="F8" s="4" t="n">
        <v>9808.493645483732</v>
      </c>
      <c r="G8" s="4">
        <f t="shared" si="0"/>
        <v>58462.91674770262</v>
      </c>
      <c r="I8" s="3">
        <v>3</v>
      </c>
      <c r="J8">
        <v>1520</v>
      </c>
      <c r="K8">
        <v>8235</v>
      </c>
      <c r="L8">
        <v>21750</v>
      </c>
      <c r="M8">
        <v>25910</v>
      </c>
      <c r="N8">
        <v>7240</v>
      </c>
      <c r="O8" s="4">
        <v>64655</v>
      </c>
      <c r="Q8" s="3">
        <v>3</v>
      </c>
      <c r="R8" s="42" t="n">
        <v>853.0</v>
      </c>
      <c r="S8" s="46" t="n">
        <v>5120.0</v>
      </c>
      <c r="T8" s="50" t="n">
        <v>18399.0</v>
      </c>
      <c r="U8" s="54" t="n">
        <v>37240.0</v>
      </c>
      <c r="V8" s="58" t="n">
        <v>11703.0</v>
      </c>
      <c r="W8" s="4">
        <f t="shared" si="1"/>
        <v>73315</v>
      </c>
    </row>
    <row r="9" spans="1:39" x14ac:dyDescent="0.25">
      <c r="A9" s="5" t="s">
        <v>3</v>
      </c>
      <c r="B9" s="4" t="n">
        <v>104.7232</v>
      </c>
      <c r="C9" s="4" t="n">
        <v>2893.21637</v>
      </c>
      <c r="D9" s="4" t="n">
        <v>2949.709611650148</v>
      </c>
      <c r="E9" s="4" t="n">
        <v>10358.81348386268</v>
      </c>
      <c r="F9" s="4" t="n">
        <v>7667.922299828844</v>
      </c>
      <c r="G9" s="6">
        <f t="shared" si="0"/>
        <v>23974.384965341669</v>
      </c>
      <c r="I9" s="5" t="s">
        <v>3</v>
      </c>
      <c r="J9" s="80">
        <v>660</v>
      </c>
      <c r="K9" s="80">
        <v>1680</v>
      </c>
      <c r="L9" s="80">
        <v>5340</v>
      </c>
      <c r="M9" s="80">
        <v>6475</v>
      </c>
      <c r="N9" s="80">
        <v>9340</v>
      </c>
      <c r="O9" s="6">
        <v>23495</v>
      </c>
      <c r="Q9" s="5" t="s">
        <v>3</v>
      </c>
      <c r="R9" s="43" t="n">
        <v>117.0</v>
      </c>
      <c r="S9" s="47" t="n">
        <v>3699.0</v>
      </c>
      <c r="T9" s="51" t="n">
        <v>3761.0</v>
      </c>
      <c r="U9" s="55" t="n">
        <v>13381.0</v>
      </c>
      <c r="V9" s="59" t="n">
        <v>12016.0</v>
      </c>
      <c r="W9" s="6">
        <f t="shared" si="1"/>
        <v>32974</v>
      </c>
    </row>
    <row r="10" spans="1:39" ht="15.75" thickBot="1" x14ac:dyDescent="0.3">
      <c r="A10" s="7" t="s">
        <v>4</v>
      </c>
      <c r="B10" s="8">
        <f>SUM(B6:B9)</f>
        <v>36047.381920262276</v>
      </c>
      <c r="C10" s="8">
        <f t="shared" ref="C10:F10" si="2">SUM(C6:C9)</f>
        <v>189726.04493204484</v>
      </c>
      <c r="D10" s="8">
        <f t="shared" si="2"/>
        <v>230783.14301440321</v>
      </c>
      <c r="E10" s="8">
        <f t="shared" si="2"/>
        <v>93673.789121236972</v>
      </c>
      <c r="F10" s="8">
        <f t="shared" si="2"/>
        <v>35107.568245316361</v>
      </c>
      <c r="G10" s="8">
        <f t="shared" si="0"/>
        <v>585337.92723326373</v>
      </c>
      <c r="I10" s="7" t="s">
        <v>4</v>
      </c>
      <c r="J10" s="8">
        <v>33340</v>
      </c>
      <c r="K10" s="8">
        <v>186910</v>
      </c>
      <c r="L10" s="8">
        <v>218975</v>
      </c>
      <c r="M10" s="8">
        <v>67225</v>
      </c>
      <c r="N10" s="8">
        <v>23525</v>
      </c>
      <c r="O10" s="8">
        <v>529975</v>
      </c>
      <c r="Q10" s="7" t="s">
        <v>4</v>
      </c>
      <c r="R10" s="8">
        <f>SUM(R6:R9)</f>
        <v>38252</v>
      </c>
      <c r="S10" s="8">
        <f t="shared" ref="S10" si="3">SUM(S6:S9)</f>
        <v>200195</v>
      </c>
      <c r="T10" s="8">
        <f t="shared" ref="T10" si="4">SUM(T6:T9)</f>
        <v>220767</v>
      </c>
      <c r="U10" s="8">
        <f t="shared" ref="U10" si="5">SUM(U6:U9)</f>
        <v>101761</v>
      </c>
      <c r="V10" s="8">
        <f t="shared" ref="V10" si="6">SUM(V6:V9)</f>
        <v>39590</v>
      </c>
      <c r="W10" s="8">
        <f t="shared" si="1"/>
        <v>600565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r="14" spans="1:39" ht="15.75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33345.05203516347</v>
      </c>
      <c r="C16" s="4">
        <f t="shared" ref="C16:F16" si="7">($W6/$G6)*C6</f>
        <v>145233.36778845458</v>
      </c>
      <c r="D16" s="4">
        <f t="shared" si="7"/>
        <v>20432.509501777815</v>
      </c>
      <c r="E16" s="4">
        <f t="shared" si="7"/>
        <v>3264.84888142815</v>
      </c>
      <c r="F16" s="4">
        <f t="shared" si="7"/>
        <v>1310.2217931760199</v>
      </c>
      <c r="G16" s="4">
        <f>($W6/$G6)*G6</f>
        <v>203586</v>
      </c>
      <c r="I16" s="3">
        <v>1</v>
      </c>
      <c r="J16" s="4">
        <f>($W6/$O6)*J6</f>
        <v>27658.082646983388</v>
      </c>
      <c r="K16" s="4">
        <f t="shared" ref="K16:O16" si="8">($W6/$O6)*K6</f>
        <v>145554.50374761323</v>
      </c>
      <c r="L16" s="4">
        <f t="shared" si="8"/>
        <v>26683.348456781328</v>
      </c>
      <c r="M16" s="4">
        <f t="shared" si="8"/>
        <v>2837.1727321952749</v>
      </c>
      <c r="N16" s="4">
        <f t="shared" si="8"/>
        <v>852.89241642680054</v>
      </c>
      <c r="O16" s="4">
        <f t="shared" si="8"/>
        <v>203586</v>
      </c>
      <c r="Q16" s="3">
        <v>1</v>
      </c>
      <c r="R16" s="4">
        <f>R6</f>
        <v>33413</v>
      </c>
      <c r="S16" s="4">
        <f t="shared" ref="S16:V16" si="9">S6</f>
        <v>145979</v>
      </c>
      <c r="T16" s="4">
        <f t="shared" si="9"/>
        <v>20856</v>
      </c>
      <c r="U16" s="4">
        <f t="shared" si="9"/>
        <v>3338</v>
      </c>
      <c r="V16" s="4">
        <f t="shared" si="9"/>
        <v>0</v>
      </c>
      <c r="W16" s="4">
        <f>SUM(R16:V16)</f>
        <v>203586</v>
      </c>
      <c r="Y16" s="3">
        <v>1</v>
      </c>
      <c r="Z16" s="4">
        <f>R16-J16</f>
        <v>5754.9173530166117</v>
      </c>
      <c r="AA16" s="4">
        <f t="shared" ref="AA16:AA20" si="10">S16-K16</f>
        <v>424.49625238677254</v>
      </c>
      <c r="AB16" s="4">
        <f t="shared" ref="AB16:AB20" si="11">T16-L16</f>
        <v>-5827.3484567813284</v>
      </c>
      <c r="AC16" s="4">
        <f t="shared" ref="AC16:AC20" si="12">U16-M16</f>
        <v>500.82726780472512</v>
      </c>
      <c r="AD16" s="4">
        <f t="shared" ref="AD16:AD20" si="13">V16-N16</f>
        <v>-852.89241642680054</v>
      </c>
      <c r="AE16" s="4">
        <f t="shared" ref="AE16:AE19" si="14">W16-O16</f>
        <v>0</v>
      </c>
      <c r="AG16" s="3">
        <v>1</v>
      </c>
      <c r="AH16" s="17">
        <f>Z16/J16</f>
        <v>0.208073619074397</v>
      </c>
      <c r="AI16" s="17">
        <f t="shared" ref="AI16:AI20" si="15">AA16/K16</f>
        <v>2.9164075412110588E-3</v>
      </c>
      <c r="AJ16" s="17">
        <f t="shared" ref="AJ16:AJ20" si="16">AB16/L16</f>
        <v>-0.21838895018066451</v>
      </c>
      <c r="AK16" s="17">
        <f t="shared" ref="AK16:AK20" si="17">AC16/M16</f>
        <v>0.17652336148642167</v>
      </c>
      <c r="AL16" s="17">
        <f t="shared" ref="AL16:AL20" si="18">AD16/N16</f>
        <v>-1</v>
      </c>
      <c r="AM16" s="17">
        <f t="shared" ref="AM16:AM20" si="19">AE16/O16</f>
        <v>0</v>
      </c>
    </row>
    <row r="17" spans="1:39" x14ac:dyDescent="0.25">
      <c r="A17" s="3">
        <v>2</v>
      </c>
      <c r="B17" s="4">
        <f t="shared" ref="B17:G17" si="20">($W7/$G7)*B7</f>
        <v>3998.9881452220425</v>
      </c>
      <c r="C17" s="4">
        <f t="shared" si="20"/>
        <v>44258.017274007405</v>
      </c>
      <c r="D17" s="4">
        <f t="shared" si="20"/>
        <v>180426.94136427419</v>
      </c>
      <c r="E17" s="4">
        <f t="shared" si="20"/>
        <v>46797.188050055986</v>
      </c>
      <c r="F17" s="4">
        <f t="shared" si="20"/>
        <v>15208.865166440402</v>
      </c>
      <c r="G17" s="4">
        <f t="shared" si="20"/>
        <v>290690</v>
      </c>
      <c r="I17" s="3">
        <v>2</v>
      </c>
      <c r="J17" s="4">
        <f t="shared" ref="J17:O17" si="21">($W7/$O7)*J7</f>
        <v>7993.4839327276832</v>
      </c>
      <c r="K17" s="4">
        <f t="shared" si="21"/>
        <v>56265.396801561685</v>
      </c>
      <c r="L17" s="4">
        <f t="shared" si="21"/>
        <v>184303.00360387418</v>
      </c>
      <c r="M17" s="4">
        <f t="shared" si="21"/>
        <v>35351.387303851647</v>
      </c>
      <c r="N17" s="4">
        <f t="shared" si="21"/>
        <v>6776.7283579848345</v>
      </c>
      <c r="O17" s="4">
        <f t="shared" si="21"/>
        <v>290690</v>
      </c>
      <c r="Q17" s="3">
        <v>2</v>
      </c>
      <c r="R17" s="4">
        <f t="shared" ref="R17:V17" si="22">R7</f>
        <v>3939</v>
      </c>
      <c r="S17" s="4">
        <f t="shared" si="22"/>
        <v>45629</v>
      </c>
      <c r="T17" s="4">
        <f t="shared" si="22"/>
        <v>178373</v>
      </c>
      <c r="U17" s="4">
        <f t="shared" si="22"/>
        <v>47280</v>
      </c>
      <c r="V17" s="4">
        <f t="shared" si="22"/>
        <v>15469</v>
      </c>
      <c r="W17" s="4">
        <f t="shared" ref="W17:W20" si="23">SUM(R17:V17)</f>
        <v>290690</v>
      </c>
      <c r="Y17" s="3">
        <v>2</v>
      </c>
      <c r="Z17" s="4">
        <f t="shared" ref="Z17:Z20" si="24">R17-J17</f>
        <v>-4054.4839327276832</v>
      </c>
      <c r="AA17" s="4">
        <f t="shared" si="10"/>
        <v>-10636.396801561685</v>
      </c>
      <c r="AB17" s="4">
        <f t="shared" si="11"/>
        <v>-5930.0036038741819</v>
      </c>
      <c r="AC17" s="4">
        <f t="shared" si="12"/>
        <v>11928.612696148353</v>
      </c>
      <c r="AD17" s="4">
        <f t="shared" si="13"/>
        <v>8692.2716420151664</v>
      </c>
      <c r="AE17" s="4">
        <f t="shared" si="14"/>
        <v>0</v>
      </c>
      <c r="AG17" s="3">
        <v>2</v>
      </c>
      <c r="AH17" s="17">
        <f t="shared" ref="AH17:AH20" si="25">Z17/J17</f>
        <v>-0.5072236295024537</v>
      </c>
      <c r="AI17" s="17">
        <f t="shared" si="15"/>
        <v>-0.18903975455952821</v>
      </c>
      <c r="AJ17" s="17">
        <f t="shared" si="16"/>
        <v>-3.2175295507498335E-2</v>
      </c>
      <c r="AK17" s="17">
        <f t="shared" si="17"/>
        <v>0.33742983248775338</v>
      </c>
      <c r="AL17" s="17">
        <f t="shared" si="18"/>
        <v>1.2826649059606026</v>
      </c>
      <c r="AM17" s="17">
        <f t="shared" si="19"/>
        <v>0</v>
      </c>
    </row>
    <row r="18" spans="1:39" x14ac:dyDescent="0.25">
      <c r="A18" s="3">
        <v>3</v>
      </c>
      <c r="B18" s="4">
        <f t="shared" ref="B18:G18" si="26">($W8/$G8)*B8</f>
        <v>803.50778008884345</v>
      </c>
      <c r="C18" s="4">
        <f t="shared" si="26"/>
        <v>5153.7050978061798</v>
      </c>
      <c r="D18" s="4">
        <f t="shared" si="26"/>
        <v>17715.990996394488</v>
      </c>
      <c r="E18" s="4">
        <f t="shared" si="26"/>
        <v>37341.525259616596</v>
      </c>
      <c r="F18" s="4">
        <f t="shared" si="26"/>
        <v>12300.270866093902</v>
      </c>
      <c r="G18" s="4">
        <f t="shared" si="26"/>
        <v>73315</v>
      </c>
      <c r="I18" s="3">
        <v>3</v>
      </c>
      <c r="J18" s="4">
        <f t="shared" ref="J18:O18" si="27">($W8/$O8)*J8</f>
        <v>1723.5913695769857</v>
      </c>
      <c r="K18" s="4">
        <f t="shared" si="27"/>
        <v>9338.0098213595247</v>
      </c>
      <c r="L18" s="4">
        <f t="shared" si="27"/>
        <v>24663.23176861805</v>
      </c>
      <c r="M18" s="4">
        <f t="shared" si="27"/>
        <v>29380.42920114454</v>
      </c>
      <c r="N18" s="4">
        <f t="shared" si="27"/>
        <v>8209.7378393009058</v>
      </c>
      <c r="O18" s="4">
        <f t="shared" si="27"/>
        <v>73315</v>
      </c>
      <c r="Q18" s="3">
        <v>3</v>
      </c>
      <c r="R18" s="4">
        <f t="shared" ref="R18:V18" si="28">R8</f>
        <v>787</v>
      </c>
      <c r="S18" s="4">
        <f t="shared" si="28"/>
        <v>4974</v>
      </c>
      <c r="T18" s="4">
        <f t="shared" si="28"/>
        <v>17789</v>
      </c>
      <c r="U18" s="4">
        <f t="shared" si="28"/>
        <v>37915</v>
      </c>
      <c r="V18" s="4">
        <f t="shared" si="28"/>
        <v>11850</v>
      </c>
      <c r="W18" s="4">
        <f t="shared" si="23"/>
        <v>73315</v>
      </c>
      <c r="Y18" s="3">
        <v>3</v>
      </c>
      <c r="Z18" s="4">
        <f t="shared" si="24"/>
        <v>-936.5913695769857</v>
      </c>
      <c r="AA18" s="4">
        <f t="shared" si="10"/>
        <v>-4364.0098213595247</v>
      </c>
      <c r="AB18" s="4">
        <f t="shared" si="11"/>
        <v>-6874.2317686180504</v>
      </c>
      <c r="AC18" s="4">
        <f t="shared" si="12"/>
        <v>8534.5707988554605</v>
      </c>
      <c r="AD18" s="4">
        <f t="shared" si="13"/>
        <v>3640.2621606990942</v>
      </c>
      <c r="AE18" s="4">
        <f t="shared" si="14"/>
        <v>0</v>
      </c>
      <c r="AG18" s="3">
        <v>3</v>
      </c>
      <c r="AH18" s="17">
        <f t="shared" si="25"/>
        <v>-0.54339525371773567</v>
      </c>
      <c r="AI18" s="17">
        <f t="shared" si="15"/>
        <v>-0.46733831992523722</v>
      </c>
      <c r="AJ18" s="17">
        <f t="shared" si="16"/>
        <v>-0.27872388473293874</v>
      </c>
      <c r="AK18" s="17">
        <f t="shared" si="17"/>
        <v>0.29048489184504456</v>
      </c>
      <c r="AL18" s="17">
        <f t="shared" si="18"/>
        <v>0.44340784467839695</v>
      </c>
      <c r="AM18" s="17">
        <f t="shared" si="19"/>
        <v>0</v>
      </c>
    </row>
    <row r="19" spans="1:39" x14ac:dyDescent="0.25">
      <c r="A19" s="5" t="s">
        <v>3</v>
      </c>
      <c r="B19" s="4">
        <f t="shared" ref="B19:G19" si="29">($W9/$G9)*B9</f>
        <v>144.03467708523084</v>
      </c>
      <c r="C19" s="4">
        <f t="shared" si="29"/>
        <v>3979.2852547539965</v>
      </c>
      <c r="D19" s="4">
        <f t="shared" si="29"/>
        <v>4056.9851896163477</v>
      </c>
      <c r="E19" s="4">
        <f t="shared" si="29"/>
        <v>14247.352593640147</v>
      </c>
      <c r="F19" s="4">
        <f t="shared" si="29"/>
        <v>10546.342284904282</v>
      </c>
      <c r="G19" s="6">
        <f t="shared" si="29"/>
        <v>32974</v>
      </c>
      <c r="I19" s="5" t="s">
        <v>3</v>
      </c>
      <c r="J19" s="6">
        <f t="shared" ref="J19:O19" si="30">($W9/$O9)*J9</f>
        <v>926.2753777399447</v>
      </c>
      <c r="K19" s="6">
        <f t="shared" si="30"/>
        <v>2357.7918706107685</v>
      </c>
      <c r="L19" s="6">
        <f t="shared" si="30"/>
        <v>7494.4098744413704</v>
      </c>
      <c r="M19" s="6">
        <f t="shared" si="30"/>
        <v>9087.322834645669</v>
      </c>
      <c r="N19" s="6">
        <f t="shared" si="30"/>
        <v>13108.200042562248</v>
      </c>
      <c r="O19" s="6">
        <f t="shared" si="30"/>
        <v>32974</v>
      </c>
      <c r="Q19" s="5" t="s">
        <v>3</v>
      </c>
      <c r="R19" s="4">
        <f t="shared" ref="R19:V19" si="31">R9</f>
        <v>113</v>
      </c>
      <c r="S19" s="4">
        <f t="shared" si="31"/>
        <v>3613</v>
      </c>
      <c r="T19" s="4">
        <f t="shared" si="31"/>
        <v>3749</v>
      </c>
      <c r="U19" s="4">
        <f t="shared" si="31"/>
        <v>13228</v>
      </c>
      <c r="V19" s="4">
        <f t="shared" si="31"/>
        <v>12271</v>
      </c>
      <c r="W19" s="6">
        <f t="shared" si="23"/>
        <v>32974</v>
      </c>
      <c r="Y19" s="5" t="s">
        <v>3</v>
      </c>
      <c r="Z19" s="4">
        <f t="shared" si="24"/>
        <v>-813.2753777399447</v>
      </c>
      <c r="AA19" s="4">
        <f t="shared" si="10"/>
        <v>1255.2081293892315</v>
      </c>
      <c r="AB19" s="4">
        <f t="shared" si="11"/>
        <v>-3745.4098744413704</v>
      </c>
      <c r="AC19" s="4">
        <f t="shared" si="12"/>
        <v>4140.677165354331</v>
      </c>
      <c r="AD19" s="4">
        <f t="shared" si="13"/>
        <v>-837.2000425622482</v>
      </c>
      <c r="AE19" s="6">
        <f t="shared" si="14"/>
        <v>0</v>
      </c>
      <c r="AG19" s="5" t="s">
        <v>3</v>
      </c>
      <c r="AH19" s="17">
        <f t="shared" si="25"/>
        <v>-0.87800604149090833</v>
      </c>
      <c r="AI19" s="17">
        <f t="shared" si="15"/>
        <v>0.53236595860519242</v>
      </c>
      <c r="AJ19" s="17">
        <f t="shared" si="16"/>
        <v>-0.49976047976966986</v>
      </c>
      <c r="AK19" s="17">
        <f t="shared" si="17"/>
        <v>0.45565423840428393</v>
      </c>
      <c r="AL19" s="17">
        <f t="shared" si="18"/>
        <v>-6.3868421281630172E-2</v>
      </c>
      <c r="AM19" s="18">
        <f t="shared" si="19"/>
        <v>0</v>
      </c>
    </row>
    <row r="20" spans="1:39" ht="15.75" thickBot="1" x14ac:dyDescent="0.3">
      <c r="A20" s="7" t="s">
        <v>4</v>
      </c>
      <c r="B20" s="8">
        <f>SUM(B16:B19)</f>
        <v>38291.582637559593</v>
      </c>
      <c r="C20" s="8">
        <f t="shared" ref="C20:G20" si="32">SUM(C16:C19)</f>
        <v>198624.37541502216</v>
      </c>
      <c r="D20" s="8">
        <f t="shared" si="32"/>
        <v>222632.42705206285</v>
      </c>
      <c r="E20" s="8">
        <f t="shared" si="32"/>
        <v>101650.91478474087</v>
      </c>
      <c r="F20" s="8">
        <f t="shared" si="32"/>
        <v>39365.700110614605</v>
      </c>
      <c r="G20" s="8">
        <f t="shared" si="32"/>
        <v>600565</v>
      </c>
      <c r="I20" s="7" t="s">
        <v>4</v>
      </c>
      <c r="J20" s="8">
        <f t="shared" ref="J20:O20" si="33">($W10/$O10)*J10</f>
        <v>37780.720033963866</v>
      </c>
      <c r="K20" s="8">
        <f t="shared" si="33"/>
        <v>211805.47035237512</v>
      </c>
      <c r="L20" s="8">
        <f t="shared" si="33"/>
        <v>248141.36680975519</v>
      </c>
      <c r="M20" s="8">
        <f t="shared" si="33"/>
        <v>76179.031322232186</v>
      </c>
      <c r="N20" s="8">
        <f t="shared" si="33"/>
        <v>26658.411481673666</v>
      </c>
      <c r="O20" s="8">
        <f t="shared" si="33"/>
        <v>600565</v>
      </c>
      <c r="Q20" s="7" t="s">
        <v>4</v>
      </c>
      <c r="R20" s="8">
        <f>SUM(R16:R19)</f>
        <v>38252</v>
      </c>
      <c r="S20" s="8">
        <f t="shared" ref="S20:V20" si="34">SUM(S16:S19)</f>
        <v>200195</v>
      </c>
      <c r="T20" s="8">
        <f t="shared" si="34"/>
        <v>220767</v>
      </c>
      <c r="U20" s="8">
        <f t="shared" si="34"/>
        <v>101761</v>
      </c>
      <c r="V20" s="8">
        <f t="shared" si="34"/>
        <v>39590</v>
      </c>
      <c r="W20" s="8">
        <f t="shared" si="23"/>
        <v>600565</v>
      </c>
      <c r="Y20" s="7" t="s">
        <v>4</v>
      </c>
      <c r="Z20" s="8">
        <f t="shared" si="24"/>
        <v>471.27996603613428</v>
      </c>
      <c r="AA20" s="8">
        <f t="shared" si="10"/>
        <v>-11610.470352375123</v>
      </c>
      <c r="AB20" s="8">
        <f t="shared" si="11"/>
        <v>-27374.366809755185</v>
      </c>
      <c r="AC20" s="8">
        <f t="shared" si="12"/>
        <v>25581.968677767814</v>
      </c>
      <c r="AD20" s="8">
        <f t="shared" si="13"/>
        <v>12931.588518326334</v>
      </c>
      <c r="AE20" s="8">
        <f>W20-O20</f>
        <v>0</v>
      </c>
      <c r="AG20" s="7" t="s">
        <v>4</v>
      </c>
      <c r="AH20" s="19">
        <f t="shared" si="25"/>
        <v>1.2474086402071377E-2</v>
      </c>
      <c r="AI20" s="19">
        <f t="shared" si="15"/>
        <v>-5.4816668960717081E-2</v>
      </c>
      <c r="AJ20" s="19">
        <f t="shared" si="16"/>
        <v>-0.11031762725294626</v>
      </c>
      <c r="AK20" s="19">
        <f t="shared" si="17"/>
        <v>0.33581378279224638</v>
      </c>
      <c r="AL20" s="19">
        <f t="shared" si="18"/>
        <v>0.48508473684623554</v>
      </c>
      <c r="AM20" s="19">
        <f t="shared" si="19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t="s">
        <v>15</v>
      </c>
      <c r="R21" s="15"/>
      <c r="S21" s="15"/>
      <c r="T21" s="15"/>
      <c r="U21" s="15"/>
      <c r="V21" s="15"/>
      <c r="W21" s="15"/>
    </row>
    <row r="22" spans="1:39" x14ac:dyDescent="0.25">
      <c r="A22" s="1" t="s">
        <v>178</v>
      </c>
      <c r="Q22" s="1" t="s">
        <v>176</v>
      </c>
    </row>
    <row r="23" spans="1:39" ht="15.75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5.5522802752680345E-2</v>
      </c>
      <c r="C25" s="17">
        <f t="shared" ref="C25:G25" si="35">C16/$G$20</f>
        <v>0.24182789171605834</v>
      </c>
      <c r="D25" s="17">
        <f t="shared" si="35"/>
        <v>3.4022144983103936E-2</v>
      </c>
      <c r="E25" s="17">
        <f t="shared" si="35"/>
        <v>5.4362956240009827E-3</v>
      </c>
      <c r="F25" s="17">
        <f t="shared" si="35"/>
        <v>2.1816486028590075E-3</v>
      </c>
      <c r="G25" s="17">
        <f t="shared" si="35"/>
        <v>0.33899078367870256</v>
      </c>
      <c r="I25" s="3">
        <v>1</v>
      </c>
      <c r="J25" s="17">
        <f>J16/$O$20</f>
        <v>4.6053437424730691E-2</v>
      </c>
      <c r="K25" s="17">
        <f t="shared" ref="K25:O25" si="36">K16/$O$20</f>
        <v>0.24236261478376733</v>
      </c>
      <c r="L25" s="17">
        <f t="shared" si="36"/>
        <v>4.4430408793022118E-2</v>
      </c>
      <c r="M25" s="17">
        <f t="shared" si="36"/>
        <v>4.7241726244374458E-3</v>
      </c>
      <c r="N25" s="17">
        <f t="shared" si="36"/>
        <v>1.4201500527449994E-3</v>
      </c>
      <c r="O25" s="17">
        <f t="shared" si="36"/>
        <v>0.33899078367870256</v>
      </c>
      <c r="Q25" s="3">
        <v>1</v>
      </c>
      <c r="R25" s="17">
        <f>R6/$W$10</f>
        <v>5.5635942820510688E-2</v>
      </c>
      <c r="S25" s="17">
        <f t="shared" ref="S25:W25" si="37">S6/$W$10</f>
        <v>0.24306944294123034</v>
      </c>
      <c r="T25" s="17">
        <f t="shared" si="37"/>
        <v>3.472729846061625E-2</v>
      </c>
      <c r="U25" s="17">
        <f t="shared" si="37"/>
        <v>5.5580994563452744E-3</v>
      </c>
      <c r="V25" s="17">
        <f t="shared" si="37"/>
        <v>0</v>
      </c>
      <c r="W25" s="17">
        <f t="shared" si="37"/>
        <v>0.33899078367870256</v>
      </c>
    </row>
    <row r="26" spans="1:39" x14ac:dyDescent="0.25">
      <c r="A26" s="3">
        <v>2</v>
      </c>
      <c r="B26" s="17">
        <f t="shared" ref="B26:G26" si="38">B17/$G$20</f>
        <v>6.6587099568273913E-3</v>
      </c>
      <c r="C26" s="17">
        <f t="shared" si="38"/>
        <v>7.3693966971114536E-2</v>
      </c>
      <c r="D26" s="17">
        <f t="shared" si="38"/>
        <v>0.30042866528065104</v>
      </c>
      <c r="E26" s="17">
        <f t="shared" si="38"/>
        <v>7.7921936926154511E-2</v>
      </c>
      <c r="F26" s="17">
        <f t="shared" si="38"/>
        <v>2.5324261597729474E-2</v>
      </c>
      <c r="G26" s="17">
        <f t="shared" si="38"/>
        <v>0.48402754073247689</v>
      </c>
      <c r="I26" s="3">
        <v>2</v>
      </c>
      <c r="J26" s="17">
        <f t="shared" ref="J26:O26" si="39">J17/$O$20</f>
        <v>1.3309939694666994E-2</v>
      </c>
      <c r="K26" s="17">
        <f t="shared" si="39"/>
        <v>9.3687438997546779E-2</v>
      </c>
      <c r="L26" s="17">
        <f t="shared" si="39"/>
        <v>0.30688269147198749</v>
      </c>
      <c r="M26" s="17">
        <f t="shared" si="39"/>
        <v>5.8863548997779833E-2</v>
      </c>
      <c r="N26" s="17">
        <f t="shared" si="39"/>
        <v>1.128392157049584E-2</v>
      </c>
      <c r="O26" s="17">
        <f t="shared" si="39"/>
        <v>0.48402754073247689</v>
      </c>
      <c r="Q26" s="3">
        <v>2</v>
      </c>
      <c r="R26" s="17">
        <f t="shared" ref="R26:W26" si="40">R7/$W$10</f>
        <v>6.5588237742792207E-3</v>
      </c>
      <c r="S26" s="17">
        <f t="shared" si="40"/>
        <v>7.5976788524139763E-2</v>
      </c>
      <c r="T26" s="17">
        <f t="shared" si="40"/>
        <v>0.29700865018773986</v>
      </c>
      <c r="U26" s="17">
        <f t="shared" si="40"/>
        <v>7.8725866475735345E-2</v>
      </c>
      <c r="V26" s="17">
        <f t="shared" si="40"/>
        <v>2.5757411770582703E-2</v>
      </c>
      <c r="W26" s="17">
        <f t="shared" si="40"/>
        <v>0.48402754073247689</v>
      </c>
    </row>
    <row r="27" spans="1:39" x14ac:dyDescent="0.25">
      <c r="A27" s="3">
        <v>3</v>
      </c>
      <c r="B27" s="17">
        <f t="shared" ref="B27:G27" si="41">B18/$G$20</f>
        <v>1.3379197590416415E-3</v>
      </c>
      <c r="C27" s="17">
        <f t="shared" si="41"/>
        <v>8.5814276519713597E-3</v>
      </c>
      <c r="D27" s="17">
        <f t="shared" si="41"/>
        <v>2.949887355472678E-2</v>
      </c>
      <c r="E27" s="17">
        <f t="shared" si="41"/>
        <v>6.2177325118208011E-2</v>
      </c>
      <c r="F27" s="17">
        <f t="shared" si="41"/>
        <v>2.0481165013102501E-2</v>
      </c>
      <c r="G27" s="17">
        <f t="shared" si="41"/>
        <v>0.12207671109705028</v>
      </c>
      <c r="I27" s="3">
        <v>3</v>
      </c>
      <c r="J27" s="17">
        <f t="shared" ref="J27:O27" si="42">J18/$O$20</f>
        <v>2.8699497466169121E-3</v>
      </c>
      <c r="K27" s="17">
        <f t="shared" si="42"/>
        <v>1.5548708002230441E-2</v>
      </c>
      <c r="L27" s="17">
        <f t="shared" si="42"/>
        <v>4.1066715124288049E-2</v>
      </c>
      <c r="M27" s="17">
        <f t="shared" si="42"/>
        <v>4.8921314430818548E-2</v>
      </c>
      <c r="N27" s="17">
        <f t="shared" si="42"/>
        <v>1.3670023793096344E-2</v>
      </c>
      <c r="O27" s="17">
        <f t="shared" si="42"/>
        <v>0.12207671109705028</v>
      </c>
      <c r="Q27" s="3">
        <v>3</v>
      </c>
      <c r="R27" s="17">
        <f t="shared" ref="R27:W27" si="43">R8/$W$10</f>
        <v>1.3104326758968637E-3</v>
      </c>
      <c r="S27" s="17">
        <f t="shared" si="43"/>
        <v>8.2822009274599751E-3</v>
      </c>
      <c r="T27" s="17">
        <f t="shared" si="43"/>
        <v>2.9620440751625551E-2</v>
      </c>
      <c r="U27" s="17">
        <f t="shared" si="43"/>
        <v>6.3132217162172294E-2</v>
      </c>
      <c r="V27" s="17">
        <f t="shared" si="43"/>
        <v>1.9731419579895597E-2</v>
      </c>
      <c r="W27" s="17">
        <f t="shared" si="43"/>
        <v>0.12207671109705028</v>
      </c>
    </row>
    <row r="28" spans="1:39" x14ac:dyDescent="0.25">
      <c r="A28" s="5" t="s">
        <v>3</v>
      </c>
      <c r="B28" s="18">
        <f t="shared" ref="B28:G28" si="44">B19/$G$20</f>
        <v>2.3983195338594631E-4</v>
      </c>
      <c r="C28" s="18">
        <f t="shared" si="44"/>
        <v>6.6259026995479199E-3</v>
      </c>
      <c r="D28" s="18">
        <f t="shared" si="44"/>
        <v>6.7552807599782667E-3</v>
      </c>
      <c r="E28" s="18">
        <f t="shared" si="44"/>
        <v>2.3723248263951693E-2</v>
      </c>
      <c r="F28" s="18">
        <f t="shared" si="44"/>
        <v>1.7560700814906433E-2</v>
      </c>
      <c r="G28" s="18">
        <f t="shared" si="44"/>
        <v>5.490496449177025E-2</v>
      </c>
      <c r="I28" s="5" t="s">
        <v>3</v>
      </c>
      <c r="J28" s="18">
        <f t="shared" ref="J28:O28" si="45">J19/$O$20</f>
        <v>1.5423399261361296E-3</v>
      </c>
      <c r="K28" s="18">
        <f t="shared" si="45"/>
        <v>3.9259561756192392E-3</v>
      </c>
      <c r="L28" s="18">
        <f t="shared" si="45"/>
        <v>1.2478932129646866E-2</v>
      </c>
      <c r="M28" s="18">
        <f t="shared" si="45"/>
        <v>1.5131289426865816E-2</v>
      </c>
      <c r="N28" s="18">
        <f t="shared" si="45"/>
        <v>2.1826446833502201E-2</v>
      </c>
      <c r="O28" s="18">
        <f t="shared" si="45"/>
        <v>5.490496449177025E-2</v>
      </c>
      <c r="Q28" s="5" t="s">
        <v>3</v>
      </c>
      <c r="R28" s="18">
        <f t="shared" ref="R28:W28" si="46">R9/$W$10</f>
        <v>1.8815615295596647E-4</v>
      </c>
      <c r="S28" s="18">
        <f t="shared" si="46"/>
        <v>6.0160015984947511E-3</v>
      </c>
      <c r="T28" s="18">
        <f t="shared" si="46"/>
        <v>6.242455021521401E-3</v>
      </c>
      <c r="U28" s="18">
        <f t="shared" si="46"/>
        <v>2.2025925586739156E-2</v>
      </c>
      <c r="V28" s="18">
        <f t="shared" si="46"/>
        <v>2.0432426132058978E-2</v>
      </c>
      <c r="W28" s="18">
        <f t="shared" si="46"/>
        <v>5.490496449177025E-2</v>
      </c>
    </row>
    <row r="29" spans="1:39" ht="15.75" thickBot="1" x14ac:dyDescent="0.3">
      <c r="A29" s="7" t="s">
        <v>4</v>
      </c>
      <c r="B29" s="19">
        <f t="shared" ref="B29:G29" si="47">B20/$G$20</f>
        <v>6.375926442193533E-2</v>
      </c>
      <c r="C29" s="19">
        <f t="shared" si="47"/>
        <v>0.3307291890386922</v>
      </c>
      <c r="D29" s="19">
        <f t="shared" si="47"/>
        <v>0.37070496457846003</v>
      </c>
      <c r="E29" s="19">
        <f t="shared" si="47"/>
        <v>0.16925880593231518</v>
      </c>
      <c r="F29" s="19">
        <f t="shared" si="47"/>
        <v>6.5547776028597418E-2</v>
      </c>
      <c r="G29" s="19">
        <f t="shared" si="47"/>
        <v>1</v>
      </c>
      <c r="I29" s="7" t="s">
        <v>4</v>
      </c>
      <c r="J29" s="19">
        <f t="shared" ref="J29:O29" si="48">J20/$O$20</f>
        <v>6.2908627765460634E-2</v>
      </c>
      <c r="K29" s="19">
        <f t="shared" si="48"/>
        <v>0.35267701306665411</v>
      </c>
      <c r="L29" s="19">
        <f t="shared" si="48"/>
        <v>0.41317986697485731</v>
      </c>
      <c r="M29" s="19">
        <f t="shared" si="48"/>
        <v>0.12684560592480779</v>
      </c>
      <c r="N29" s="19">
        <f t="shared" si="48"/>
        <v>4.4388886268220198E-2</v>
      </c>
      <c r="O29" s="19">
        <f t="shared" si="48"/>
        <v>1</v>
      </c>
      <c r="Q29" s="7" t="s">
        <v>4</v>
      </c>
      <c r="R29" s="19">
        <f t="shared" ref="R29:W29" si="49">R10/$W$10</f>
        <v>6.3693355423642739E-2</v>
      </c>
      <c r="S29" s="19">
        <f t="shared" si="49"/>
        <v>0.33334443399132485</v>
      </c>
      <c r="T29" s="19">
        <f t="shared" si="49"/>
        <v>0.36759884442150309</v>
      </c>
      <c r="U29" s="19">
        <f t="shared" si="49"/>
        <v>0.16944210868099208</v>
      </c>
      <c r="V29" s="19">
        <f t="shared" si="49"/>
        <v>6.5921257482537271E-2</v>
      </c>
      <c r="W29" s="19">
        <f t="shared" si="49"/>
        <v>1</v>
      </c>
    </row>
    <row r="31" spans="1:39" x14ac:dyDescent="0.25">
      <c r="Q31" s="107" t="s">
        <v>177</v>
      </c>
    </row>
    <row r="32" spans="1:39" ht="15.75" thickBot="1" x14ac:dyDescent="0.3">
      <c r="Q32" s="12"/>
      <c r="R32" s="10" t="s">
        <v>2</v>
      </c>
      <c r="S32" s="9"/>
      <c r="T32" s="9"/>
      <c r="U32" s="9"/>
      <c r="V32" s="9"/>
      <c r="W32" s="9"/>
      <c r="Y32" t="s">
        <v>175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105" t="s">
        <v>142</v>
      </c>
      <c r="Z33" s="105" t="s">
        <v>174</v>
      </c>
    </row>
    <row r="34" spans="17:26" x14ac:dyDescent="0.25">
      <c r="Q34" s="3">
        <v>1</v>
      </c>
      <c r="R34" s="17">
        <f>R25-B25</f>
        <v>1.1314006783034319E-4</v>
      </c>
      <c r="S34" s="17">
        <f t="shared" ref="S34:W34" si="50">S25-C25</f>
        <v>1.2415512251719996E-3</v>
      </c>
      <c r="T34" s="17">
        <f t="shared" si="50"/>
        <v>7.0515347751231444E-4</v>
      </c>
      <c r="U34" s="17">
        <f t="shared" si="50"/>
        <v>1.2180383234429177E-4</v>
      </c>
      <c r="V34" s="17">
        <f t="shared" si="50"/>
        <v>-2.1816486028590075E-3</v>
      </c>
      <c r="W34" s="17">
        <f t="shared" si="50"/>
        <v>0</v>
      </c>
      <c r="Y34" s="4">
        <f>B16+B17+C17+B18+C18+D18+B19+C19+D19+E19</f>
        <v>127702.91904377814</v>
      </c>
      <c r="Z34" s="4">
        <f>R16+R17+S17+R18+S18+T18+R19+S19+T19+U19</f>
        <v>127234</v>
      </c>
    </row>
    <row r="35" spans="17:26" x14ac:dyDescent="0.25">
      <c r="Q35" s="3">
        <v>2</v>
      </c>
      <c r="R35" s="17">
        <f t="shared" ref="R35:W35" si="51">R26-B26</f>
        <v>-9.9886182548170575E-5</v>
      </c>
      <c r="S35" s="17">
        <f t="shared" si="51"/>
        <v>2.2828215530252272E-3</v>
      </c>
      <c r="T35" s="17">
        <f t="shared" si="51"/>
        <v>-3.4200150929111772E-3</v>
      </c>
      <c r="U35" s="17">
        <f t="shared" si="51"/>
        <v>8.0392954958083407E-4</v>
      </c>
      <c r="V35" s="17">
        <f t="shared" si="51"/>
        <v>4.3315017285322846E-4</v>
      </c>
      <c r="W35" s="17">
        <f t="shared" si="51"/>
        <v>0</v>
      </c>
      <c r="Z35" s="106">
        <f>(Z34-Y34)/G20</f>
        <v>-7.8079648960251808E-4</v>
      </c>
    </row>
    <row r="36" spans="17:26" x14ac:dyDescent="0.25">
      <c r="Q36" s="3">
        <v>3</v>
      </c>
      <c r="R36" s="17">
        <f t="shared" ref="R36:W36" si="52">R27-B27</f>
        <v>-2.7487083144777822E-5</v>
      </c>
      <c r="S36" s="17">
        <f t="shared" si="52"/>
        <v>-2.9922672451138457E-4</v>
      </c>
      <c r="T36" s="17">
        <f t="shared" si="52"/>
        <v>1.215671968987711E-4</v>
      </c>
      <c r="U36" s="17">
        <f t="shared" si="52"/>
        <v>9.5489204396428246E-4</v>
      </c>
      <c r="V36" s="17">
        <f t="shared" si="52"/>
        <v>-7.4974543320690396E-4</v>
      </c>
      <c r="W36" s="17">
        <f t="shared" si="52"/>
        <v>0</v>
      </c>
    </row>
    <row r="37" spans="17:26" x14ac:dyDescent="0.25">
      <c r="Q37" s="5" t="s">
        <v>3</v>
      </c>
      <c r="R37" s="18">
        <f t="shared" ref="R37:W37" si="53">R28-B28</f>
        <v>-5.1675800429979834E-5</v>
      </c>
      <c r="S37" s="18">
        <f t="shared" si="53"/>
        <v>-6.099011010531688E-4</v>
      </c>
      <c r="T37" s="18">
        <f t="shared" si="53"/>
        <v>-5.1282573845686571E-4</v>
      </c>
      <c r="U37" s="18">
        <f t="shared" si="53"/>
        <v>-1.6973226772125372E-3</v>
      </c>
      <c r="V37" s="18">
        <f t="shared" si="53"/>
        <v>2.8717253171525459E-3</v>
      </c>
      <c r="W37" s="18">
        <f t="shared" si="53"/>
        <v>0</v>
      </c>
    </row>
    <row r="38" spans="17:26" ht="15.75" thickBot="1" x14ac:dyDescent="0.3">
      <c r="Q38" s="7" t="s">
        <v>4</v>
      </c>
      <c r="R38" s="19">
        <f t="shared" ref="R38:W38" si="54">R29-B29</f>
        <v>-6.5908998292590892E-5</v>
      </c>
      <c r="S38" s="19">
        <f t="shared" si="54"/>
        <v>2.615244952632656E-3</v>
      </c>
      <c r="T38" s="19">
        <f t="shared" si="54"/>
        <v>-3.1061201569569374E-3</v>
      </c>
      <c r="U38" s="19">
        <f t="shared" si="54"/>
        <v>1.8330274867689456E-4</v>
      </c>
      <c r="V38" s="19">
        <f t="shared" si="54"/>
        <v>3.7348145393985288E-4</v>
      </c>
      <c r="W38" s="19">
        <f t="shared" si="54"/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96</v>
      </c>
      <c r="B1" t="s">
        <v>97</v>
      </c>
      <c r="F1" t="s">
        <v>98</v>
      </c>
      <c r="G1" t="s">
        <v>146</v>
      </c>
    </row>
    <row r="2" spans="1:7" x14ac:dyDescent="0.25">
      <c r="A2">
        <v>1</v>
      </c>
      <c r="B2" t="s">
        <v>35</v>
      </c>
      <c r="C2" t="s">
        <v>36</v>
      </c>
      <c r="D2">
        <v>-2.88892731349</v>
      </c>
      <c r="E2">
        <v>0.48543234191599999</v>
      </c>
      <c r="F2" t="s">
        <v>99</v>
      </c>
      <c r="G2" t="s">
        <v>118</v>
      </c>
    </row>
    <row r="3" spans="1:7" x14ac:dyDescent="0.25">
      <c r="A3">
        <v>2</v>
      </c>
      <c r="B3" t="s">
        <v>37</v>
      </c>
      <c r="C3" t="s">
        <v>36</v>
      </c>
      <c r="D3">
        <v>-1.84920255786</v>
      </c>
      <c r="E3">
        <v>0.120667788954</v>
      </c>
      <c r="F3" t="s">
        <v>99</v>
      </c>
      <c r="G3" t="s">
        <v>127</v>
      </c>
    </row>
    <row r="4" spans="1:7" x14ac:dyDescent="0.25">
      <c r="A4">
        <v>3</v>
      </c>
      <c r="B4" t="s">
        <v>38</v>
      </c>
      <c r="C4" t="s">
        <v>36</v>
      </c>
      <c r="D4">
        <v>-3.06909125469</v>
      </c>
      <c r="E4">
        <v>0.18162390207699999</v>
      </c>
      <c r="F4" t="s">
        <v>99</v>
      </c>
      <c r="G4" t="s">
        <v>132</v>
      </c>
    </row>
    <row r="5" spans="1:7" x14ac:dyDescent="0.25">
      <c r="A5">
        <v>4</v>
      </c>
      <c r="B5" t="s">
        <v>39</v>
      </c>
      <c r="C5" t="s">
        <v>36</v>
      </c>
      <c r="D5">
        <v>-4.8440472338499996</v>
      </c>
      <c r="E5">
        <v>0.34758296123299998</v>
      </c>
      <c r="F5" t="s">
        <v>99</v>
      </c>
      <c r="G5" t="s">
        <v>138</v>
      </c>
    </row>
    <row r="6" spans="1:7" x14ac:dyDescent="0.25">
      <c r="A6">
        <v>5</v>
      </c>
      <c r="B6" t="s">
        <v>40</v>
      </c>
      <c r="C6" t="s">
        <v>36</v>
      </c>
      <c r="D6">
        <v>-3.7501392251399999</v>
      </c>
      <c r="E6">
        <v>0.48593392329200003</v>
      </c>
      <c r="F6" t="s">
        <v>100</v>
      </c>
      <c r="G6" t="s">
        <v>118</v>
      </c>
    </row>
    <row r="7" spans="1:7" x14ac:dyDescent="0.25">
      <c r="A7">
        <v>6</v>
      </c>
      <c r="B7" t="s">
        <v>41</v>
      </c>
      <c r="C7" t="s">
        <v>36</v>
      </c>
      <c r="D7">
        <v>-1.54083688408</v>
      </c>
      <c r="E7">
        <v>0.17120485389099999</v>
      </c>
      <c r="F7" t="s">
        <v>100</v>
      </c>
      <c r="G7" t="s">
        <v>119</v>
      </c>
    </row>
    <row r="8" spans="1:7" x14ac:dyDescent="0.25">
      <c r="A8">
        <v>7</v>
      </c>
      <c r="B8" t="s">
        <v>42</v>
      </c>
      <c r="C8" t="s">
        <v>36</v>
      </c>
      <c r="D8">
        <v>-1.50533715645</v>
      </c>
      <c r="E8">
        <v>0.108778102305</v>
      </c>
      <c r="F8" t="s">
        <v>100</v>
      </c>
      <c r="G8" t="s">
        <v>132</v>
      </c>
    </row>
    <row r="9" spans="1:7" x14ac:dyDescent="0.25">
      <c r="A9">
        <v>8</v>
      </c>
      <c r="B9" t="s">
        <v>43</v>
      </c>
      <c r="C9" t="s">
        <v>36</v>
      </c>
      <c r="D9">
        <v>-2.6342137133099999</v>
      </c>
      <c r="E9">
        <v>0.162199862</v>
      </c>
      <c r="F9" t="s">
        <v>100</v>
      </c>
      <c r="G9" t="s">
        <v>138</v>
      </c>
    </row>
    <row r="10" spans="1:7" x14ac:dyDescent="0.25">
      <c r="A10">
        <v>9</v>
      </c>
      <c r="B10" t="s">
        <v>44</v>
      </c>
      <c r="C10" t="s">
        <v>36</v>
      </c>
      <c r="D10">
        <v>-3.1293105723300001</v>
      </c>
      <c r="E10">
        <v>0.68731231591800002</v>
      </c>
      <c r="F10" t="s">
        <v>101</v>
      </c>
      <c r="G10" t="s">
        <v>118</v>
      </c>
    </row>
    <row r="11" spans="1:7" x14ac:dyDescent="0.25">
      <c r="A11">
        <v>10</v>
      </c>
      <c r="B11" t="s">
        <v>45</v>
      </c>
      <c r="C11" t="s">
        <v>36</v>
      </c>
      <c r="D11">
        <v>-1.2916609235900001</v>
      </c>
      <c r="E11">
        <v>0.26131690816499997</v>
      </c>
      <c r="F11" t="s">
        <v>101</v>
      </c>
      <c r="G11" t="s">
        <v>119</v>
      </c>
    </row>
    <row r="12" spans="1:7" x14ac:dyDescent="0.25">
      <c r="A12">
        <v>11</v>
      </c>
      <c r="B12" t="s">
        <v>46</v>
      </c>
      <c r="C12" t="s">
        <v>36</v>
      </c>
      <c r="D12">
        <v>-0.36600413520000002</v>
      </c>
      <c r="E12">
        <v>0.204749856644</v>
      </c>
      <c r="F12" t="s">
        <v>101</v>
      </c>
      <c r="G12" t="s">
        <v>127</v>
      </c>
    </row>
    <row r="13" spans="1:7" x14ac:dyDescent="0.25">
      <c r="A13">
        <v>12</v>
      </c>
      <c r="B13" t="s">
        <v>47</v>
      </c>
      <c r="C13" t="s">
        <v>36</v>
      </c>
      <c r="D13">
        <v>-0.96396736597999999</v>
      </c>
      <c r="E13">
        <v>0.203518529877</v>
      </c>
      <c r="F13" t="s">
        <v>101</v>
      </c>
      <c r="G13" t="s">
        <v>138</v>
      </c>
    </row>
    <row r="14" spans="1:7" x14ac:dyDescent="0.25">
      <c r="A14">
        <v>13</v>
      </c>
      <c r="B14" t="s">
        <v>48</v>
      </c>
      <c r="C14" t="s">
        <v>36</v>
      </c>
      <c r="D14">
        <v>-4.3599306108100002</v>
      </c>
      <c r="E14">
        <v>1.2200761253100001</v>
      </c>
      <c r="F14" t="s">
        <v>102</v>
      </c>
      <c r="G14" t="s">
        <v>118</v>
      </c>
    </row>
    <row r="15" spans="1:7" x14ac:dyDescent="0.25">
      <c r="A15">
        <v>14</v>
      </c>
      <c r="B15" t="s">
        <v>49</v>
      </c>
      <c r="C15" t="s">
        <v>36</v>
      </c>
      <c r="D15">
        <v>-1.1985630522499999</v>
      </c>
      <c r="E15">
        <v>0.39337121020799998</v>
      </c>
      <c r="F15" t="s">
        <v>102</v>
      </c>
      <c r="G15" t="s">
        <v>119</v>
      </c>
    </row>
    <row r="16" spans="1:7" x14ac:dyDescent="0.25">
      <c r="A16">
        <v>15</v>
      </c>
      <c r="B16" t="s">
        <v>50</v>
      </c>
      <c r="C16" t="s">
        <v>36</v>
      </c>
      <c r="D16">
        <v>-1.15121947805</v>
      </c>
      <c r="E16">
        <v>0.30214458233000002</v>
      </c>
      <c r="F16" t="s">
        <v>102</v>
      </c>
      <c r="G16" t="s">
        <v>127</v>
      </c>
    </row>
    <row r="17" spans="1:15" x14ac:dyDescent="0.25">
      <c r="A17">
        <v>16</v>
      </c>
      <c r="B17" t="s">
        <v>51</v>
      </c>
      <c r="C17" t="s">
        <v>36</v>
      </c>
      <c r="D17">
        <v>-1.4377901695099999</v>
      </c>
      <c r="E17">
        <v>0.30270627538400002</v>
      </c>
      <c r="F17" t="s">
        <v>102</v>
      </c>
      <c r="G17" t="s">
        <v>132</v>
      </c>
    </row>
    <row r="18" spans="1:15" s="87" customFormat="1" x14ac:dyDescent="0.25">
      <c r="A18" s="87">
        <v>18</v>
      </c>
      <c r="B18" s="87" t="s">
        <v>52</v>
      </c>
      <c r="C18" s="87" t="s">
        <v>36</v>
      </c>
      <c r="D18" s="87">
        <v>0.39953921787000002</v>
      </c>
      <c r="E18" s="87">
        <v>0.124608088395</v>
      </c>
      <c r="F18" s="87" t="s">
        <v>103</v>
      </c>
      <c r="G18" s="87" t="s">
        <v>118</v>
      </c>
      <c r="H18" s="87" t="s">
        <v>119</v>
      </c>
      <c r="I18" s="87" t="s">
        <v>120</v>
      </c>
      <c r="J18" s="87" t="s">
        <v>127</v>
      </c>
      <c r="K18" s="87" t="s">
        <v>126</v>
      </c>
      <c r="L18" s="87" t="s">
        <v>132</v>
      </c>
      <c r="M18" s="87" t="s">
        <v>131</v>
      </c>
      <c r="N18" s="87" t="s">
        <v>138</v>
      </c>
      <c r="O18" s="87" t="s">
        <v>137</v>
      </c>
    </row>
    <row r="19" spans="1:15" x14ac:dyDescent="0.25">
      <c r="A19" s="88">
        <v>19</v>
      </c>
      <c r="B19" s="88" t="s">
        <v>53</v>
      </c>
      <c r="C19" s="88" t="s">
        <v>36</v>
      </c>
      <c r="D19" s="88">
        <v>0.69903044631199995</v>
      </c>
      <c r="E19" s="88">
        <v>0.40297798012199998</v>
      </c>
      <c r="F19" s="88" t="s">
        <v>104</v>
      </c>
      <c r="G19" s="88" t="s">
        <v>118</v>
      </c>
      <c r="H19" s="88"/>
      <c r="I19" s="88"/>
      <c r="J19" s="88"/>
      <c r="K19" s="88"/>
      <c r="L19" s="88"/>
      <c r="M19" s="88"/>
    </row>
    <row r="20" spans="1:15" x14ac:dyDescent="0.25">
      <c r="A20">
        <v>20</v>
      </c>
      <c r="B20" t="s">
        <v>54</v>
      </c>
      <c r="C20" t="s">
        <v>36</v>
      </c>
      <c r="D20">
        <v>0.32485446959800002</v>
      </c>
      <c r="E20">
        <v>0.204037451392</v>
      </c>
      <c r="F20" t="s">
        <v>104</v>
      </c>
      <c r="G20" t="s">
        <v>119</v>
      </c>
    </row>
    <row r="21" spans="1:15" x14ac:dyDescent="0.25">
      <c r="A21">
        <v>22</v>
      </c>
      <c r="B21" t="s">
        <v>55</v>
      </c>
      <c r="C21" t="s">
        <v>36</v>
      </c>
      <c r="D21">
        <v>-0.43856128772000003</v>
      </c>
      <c r="E21">
        <v>0.318213047774</v>
      </c>
      <c r="F21" t="s">
        <v>104</v>
      </c>
      <c r="G21" t="s">
        <v>138</v>
      </c>
    </row>
    <row r="22" spans="1:15" x14ac:dyDescent="0.25">
      <c r="A22">
        <v>24</v>
      </c>
      <c r="B22" t="s">
        <v>56</v>
      </c>
      <c r="C22" t="s">
        <v>36</v>
      </c>
      <c r="D22">
        <v>0.239019734309</v>
      </c>
      <c r="E22">
        <v>0.118684885778</v>
      </c>
      <c r="F22" t="s">
        <v>121</v>
      </c>
      <c r="G22" t="s">
        <v>119</v>
      </c>
    </row>
    <row r="23" spans="1:15" x14ac:dyDescent="0.25">
      <c r="A23">
        <v>25</v>
      </c>
      <c r="B23" t="s">
        <v>57</v>
      </c>
      <c r="C23" t="s">
        <v>36</v>
      </c>
      <c r="D23">
        <v>-0.30115653367700002</v>
      </c>
      <c r="E23">
        <v>0.15726577946500001</v>
      </c>
      <c r="F23" t="s">
        <v>121</v>
      </c>
      <c r="G23" t="s">
        <v>132</v>
      </c>
    </row>
    <row r="24" spans="1:15" x14ac:dyDescent="0.25">
      <c r="A24">
        <v>26</v>
      </c>
      <c r="B24" t="s">
        <v>58</v>
      </c>
      <c r="C24" t="s">
        <v>36</v>
      </c>
      <c r="D24">
        <v>-0.56373515910799998</v>
      </c>
      <c r="E24">
        <v>0.25328633007399998</v>
      </c>
      <c r="F24" t="s">
        <v>121</v>
      </c>
      <c r="G24" t="s">
        <v>138</v>
      </c>
    </row>
    <row r="25" spans="1:15" x14ac:dyDescent="0.25">
      <c r="A25">
        <v>28</v>
      </c>
      <c r="B25" t="s">
        <v>59</v>
      </c>
      <c r="C25" t="s">
        <v>36</v>
      </c>
      <c r="D25">
        <v>0.31959884056900001</v>
      </c>
      <c r="E25">
        <v>0.22861927141800001</v>
      </c>
      <c r="F25" t="s">
        <v>122</v>
      </c>
      <c r="G25" t="s">
        <v>119</v>
      </c>
    </row>
    <row r="26" spans="1:15" x14ac:dyDescent="0.25">
      <c r="A26">
        <v>29</v>
      </c>
      <c r="B26" t="s">
        <v>60</v>
      </c>
      <c r="C26" t="s">
        <v>36</v>
      </c>
      <c r="D26">
        <v>0.57068696704599997</v>
      </c>
      <c r="E26">
        <v>0.28285417099100002</v>
      </c>
      <c r="F26" t="s">
        <v>122</v>
      </c>
      <c r="G26" t="s">
        <v>132</v>
      </c>
    </row>
    <row r="27" spans="1:15" x14ac:dyDescent="0.25">
      <c r="A27">
        <v>31</v>
      </c>
      <c r="B27" t="s">
        <v>61</v>
      </c>
      <c r="C27" t="s">
        <v>36</v>
      </c>
      <c r="D27">
        <v>2.9250059989500001</v>
      </c>
      <c r="E27">
        <v>1.2854634766599999</v>
      </c>
      <c r="F27" t="s">
        <v>105</v>
      </c>
      <c r="G27" t="s">
        <v>118</v>
      </c>
    </row>
    <row r="28" spans="1:15" x14ac:dyDescent="0.25">
      <c r="A28">
        <v>32</v>
      </c>
      <c r="B28" t="s">
        <v>62</v>
      </c>
      <c r="C28" t="s">
        <v>36</v>
      </c>
      <c r="D28">
        <v>1.2969669216299999</v>
      </c>
      <c r="E28">
        <v>0.553290083268</v>
      </c>
      <c r="F28" t="s">
        <v>105</v>
      </c>
      <c r="G28" t="s">
        <v>119</v>
      </c>
    </row>
    <row r="29" spans="1:15" x14ac:dyDescent="0.25">
      <c r="A29">
        <v>34</v>
      </c>
      <c r="B29" t="s">
        <v>63</v>
      </c>
      <c r="C29" t="s">
        <v>36</v>
      </c>
      <c r="D29">
        <v>-2.59112200624</v>
      </c>
      <c r="E29">
        <v>0.67748006502500002</v>
      </c>
      <c r="F29" t="s">
        <v>105</v>
      </c>
      <c r="G29" t="s">
        <v>138</v>
      </c>
    </row>
    <row r="30" spans="1:15" x14ac:dyDescent="0.25">
      <c r="A30">
        <v>35</v>
      </c>
      <c r="B30" t="s">
        <v>64</v>
      </c>
      <c r="C30" t="s">
        <v>36</v>
      </c>
      <c r="D30">
        <v>-1.0636437007299999</v>
      </c>
      <c r="E30">
        <v>0.67287579243399998</v>
      </c>
      <c r="F30" t="s">
        <v>106</v>
      </c>
      <c r="G30" t="s">
        <v>118</v>
      </c>
    </row>
    <row r="31" spans="1:15" x14ac:dyDescent="0.25">
      <c r="A31">
        <v>36</v>
      </c>
      <c r="B31" t="s">
        <v>65</v>
      </c>
      <c r="C31" t="s">
        <v>36</v>
      </c>
      <c r="D31">
        <v>-0.53660640919000002</v>
      </c>
      <c r="E31">
        <v>0.28655587340499999</v>
      </c>
      <c r="F31" t="s">
        <v>106</v>
      </c>
      <c r="G31" t="s">
        <v>119</v>
      </c>
    </row>
    <row r="32" spans="1:15" x14ac:dyDescent="0.25">
      <c r="A32">
        <v>37</v>
      </c>
      <c r="B32" t="s">
        <v>66</v>
      </c>
      <c r="C32" t="s">
        <v>36</v>
      </c>
      <c r="D32">
        <v>0.28589368992800002</v>
      </c>
      <c r="E32">
        <v>0.26930228656600003</v>
      </c>
      <c r="F32" t="s">
        <v>106</v>
      </c>
      <c r="G32" t="s">
        <v>132</v>
      </c>
    </row>
    <row r="33" spans="1:7" x14ac:dyDescent="0.25">
      <c r="A33">
        <v>38</v>
      </c>
      <c r="B33" t="s">
        <v>67</v>
      </c>
      <c r="C33" t="s">
        <v>36</v>
      </c>
      <c r="D33">
        <v>0.64783551265499995</v>
      </c>
      <c r="E33">
        <v>0.37530750296900001</v>
      </c>
      <c r="F33" t="s">
        <v>106</v>
      </c>
      <c r="G33" t="s">
        <v>138</v>
      </c>
    </row>
    <row r="34" spans="1:7" x14ac:dyDescent="0.25">
      <c r="A34">
        <v>41</v>
      </c>
      <c r="B34" t="s">
        <v>68</v>
      </c>
      <c r="C34" t="s">
        <v>36</v>
      </c>
      <c r="D34">
        <v>-0.47288768158</v>
      </c>
      <c r="E34">
        <v>0.28996962859499997</v>
      </c>
      <c r="F34" t="s">
        <v>133</v>
      </c>
      <c r="G34" t="s">
        <v>132</v>
      </c>
    </row>
    <row r="35" spans="1:7" x14ac:dyDescent="0.25">
      <c r="A35">
        <v>42</v>
      </c>
      <c r="B35" t="s">
        <v>69</v>
      </c>
      <c r="C35" t="s">
        <v>36</v>
      </c>
      <c r="D35">
        <v>-1.73045435445</v>
      </c>
      <c r="E35">
        <v>0.60204136834499999</v>
      </c>
      <c r="F35" t="s">
        <v>133</v>
      </c>
      <c r="G35" t="s">
        <v>138</v>
      </c>
    </row>
    <row r="36" spans="1:7" x14ac:dyDescent="0.25">
      <c r="A36">
        <v>43</v>
      </c>
      <c r="B36" t="s">
        <v>70</v>
      </c>
      <c r="C36" t="s">
        <v>36</v>
      </c>
      <c r="D36">
        <v>2.0718120356499998</v>
      </c>
      <c r="E36">
        <v>0.25112785750200001</v>
      </c>
      <c r="F36" t="s">
        <v>107</v>
      </c>
      <c r="G36" t="s">
        <v>118</v>
      </c>
    </row>
    <row r="37" spans="1:7" x14ac:dyDescent="0.25">
      <c r="A37">
        <v>44</v>
      </c>
      <c r="B37" t="s">
        <v>71</v>
      </c>
      <c r="C37" t="s">
        <v>36</v>
      </c>
      <c r="D37">
        <v>0.60728378971399999</v>
      </c>
      <c r="E37">
        <v>0.181439147627</v>
      </c>
      <c r="F37" t="s">
        <v>107</v>
      </c>
      <c r="G37" t="s">
        <v>119</v>
      </c>
    </row>
    <row r="38" spans="1:7" x14ac:dyDescent="0.25">
      <c r="A38">
        <v>45</v>
      </c>
      <c r="B38" t="s">
        <v>72</v>
      </c>
      <c r="C38" t="s">
        <v>36</v>
      </c>
      <c r="D38">
        <v>-0.71462161389500001</v>
      </c>
      <c r="E38">
        <v>0.32036605145399999</v>
      </c>
      <c r="F38" t="s">
        <v>107</v>
      </c>
      <c r="G38" t="s">
        <v>132</v>
      </c>
    </row>
    <row r="39" spans="1:7" x14ac:dyDescent="0.25">
      <c r="A39">
        <v>46</v>
      </c>
      <c r="B39" t="s">
        <v>73</v>
      </c>
      <c r="C39" t="s">
        <v>36</v>
      </c>
      <c r="D39">
        <v>-1.4356778668800001</v>
      </c>
      <c r="E39">
        <v>0.571538197034</v>
      </c>
      <c r="F39" t="s">
        <v>107</v>
      </c>
      <c r="G39" t="s">
        <v>138</v>
      </c>
    </row>
    <row r="40" spans="1:7" x14ac:dyDescent="0.25">
      <c r="A40">
        <v>47</v>
      </c>
      <c r="B40" t="s">
        <v>74</v>
      </c>
      <c r="C40" t="s">
        <v>36</v>
      </c>
      <c r="D40">
        <v>-1.45349726543</v>
      </c>
      <c r="E40">
        <v>0.40356684826</v>
      </c>
      <c r="F40" t="s">
        <v>108</v>
      </c>
      <c r="G40" t="s">
        <v>118</v>
      </c>
    </row>
    <row r="41" spans="1:7" x14ac:dyDescent="0.25">
      <c r="A41">
        <v>48</v>
      </c>
      <c r="B41" t="s">
        <v>75</v>
      </c>
      <c r="C41" t="s">
        <v>36</v>
      </c>
      <c r="D41">
        <v>-1.0930755785699999</v>
      </c>
      <c r="E41">
        <v>0.126439275741</v>
      </c>
      <c r="F41" t="s">
        <v>108</v>
      </c>
      <c r="G41" t="s">
        <v>119</v>
      </c>
    </row>
    <row r="42" spans="1:7" x14ac:dyDescent="0.25">
      <c r="A42">
        <v>49</v>
      </c>
      <c r="B42" t="s">
        <v>76</v>
      </c>
      <c r="C42" t="s">
        <v>36</v>
      </c>
      <c r="D42">
        <v>0.14078168516299999</v>
      </c>
      <c r="E42">
        <v>0.12041492006899999</v>
      </c>
      <c r="F42" t="s">
        <v>108</v>
      </c>
      <c r="G42" t="s">
        <v>132</v>
      </c>
    </row>
    <row r="43" spans="1:7" x14ac:dyDescent="0.25">
      <c r="A43">
        <v>50</v>
      </c>
      <c r="B43" t="s">
        <v>77</v>
      </c>
      <c r="C43" t="s">
        <v>36</v>
      </c>
      <c r="D43">
        <v>0.188609995585</v>
      </c>
      <c r="E43">
        <v>0.169738586315</v>
      </c>
      <c r="F43" t="s">
        <v>108</v>
      </c>
      <c r="G43" t="s">
        <v>138</v>
      </c>
    </row>
    <row r="44" spans="1:7" x14ac:dyDescent="0.25">
      <c r="A44">
        <v>51</v>
      </c>
      <c r="B44" t="s">
        <v>78</v>
      </c>
      <c r="C44" t="s">
        <v>36</v>
      </c>
      <c r="D44">
        <v>-0.58492078305700002</v>
      </c>
      <c r="E44">
        <v>0.39231975258899998</v>
      </c>
      <c r="F44" t="s">
        <v>109</v>
      </c>
      <c r="G44" t="s">
        <v>118</v>
      </c>
    </row>
    <row r="45" spans="1:7" x14ac:dyDescent="0.25">
      <c r="A45">
        <v>52</v>
      </c>
      <c r="B45" t="s">
        <v>79</v>
      </c>
      <c r="C45" t="s">
        <v>36</v>
      </c>
      <c r="D45">
        <v>-1.0058660612699999</v>
      </c>
      <c r="E45">
        <v>0.1591759079</v>
      </c>
      <c r="F45" t="s">
        <v>109</v>
      </c>
      <c r="G45" t="s">
        <v>119</v>
      </c>
    </row>
    <row r="46" spans="1:7" x14ac:dyDescent="0.25">
      <c r="A46">
        <v>53</v>
      </c>
      <c r="B46" t="s">
        <v>80</v>
      </c>
      <c r="C46" t="s">
        <v>36</v>
      </c>
      <c r="D46">
        <v>0.22559840834</v>
      </c>
      <c r="E46">
        <v>0.13586187288400001</v>
      </c>
      <c r="F46" t="s">
        <v>109</v>
      </c>
      <c r="G46" t="s">
        <v>132</v>
      </c>
    </row>
    <row r="47" spans="1:7" x14ac:dyDescent="0.25">
      <c r="A47">
        <v>54</v>
      </c>
      <c r="B47" t="s">
        <v>81</v>
      </c>
      <c r="C47" t="s">
        <v>36</v>
      </c>
      <c r="D47">
        <v>0.34302043279099997</v>
      </c>
      <c r="E47">
        <v>0.18564049817600001</v>
      </c>
      <c r="F47" t="s">
        <v>109</v>
      </c>
      <c r="G47" t="s">
        <v>138</v>
      </c>
    </row>
    <row r="48" spans="1:7" x14ac:dyDescent="0.25">
      <c r="A48">
        <v>55</v>
      </c>
      <c r="B48" t="s">
        <v>82</v>
      </c>
      <c r="C48" t="s">
        <v>36</v>
      </c>
      <c r="D48">
        <v>-0.53538167154600003</v>
      </c>
      <c r="E48">
        <v>0.46253383393000003</v>
      </c>
      <c r="F48" t="s">
        <v>110</v>
      </c>
      <c r="G48" t="s">
        <v>118</v>
      </c>
    </row>
    <row r="49" spans="1:13" x14ac:dyDescent="0.25">
      <c r="A49">
        <v>56</v>
      </c>
      <c r="B49" t="s">
        <v>83</v>
      </c>
      <c r="C49" t="s">
        <v>36</v>
      </c>
      <c r="D49">
        <v>-0.52697142353899995</v>
      </c>
      <c r="E49">
        <v>0.21878082256199999</v>
      </c>
      <c r="F49" t="s">
        <v>110</v>
      </c>
      <c r="G49" t="s">
        <v>119</v>
      </c>
    </row>
    <row r="50" spans="1:13" x14ac:dyDescent="0.25">
      <c r="A50">
        <v>57</v>
      </c>
      <c r="B50" t="s">
        <v>84</v>
      </c>
      <c r="C50" t="s">
        <v>36</v>
      </c>
      <c r="D50">
        <v>0.21517789340999999</v>
      </c>
      <c r="E50">
        <v>0.24686726698100001</v>
      </c>
      <c r="F50" t="s">
        <v>110</v>
      </c>
      <c r="G50" t="s">
        <v>132</v>
      </c>
    </row>
    <row r="51" spans="1:13" x14ac:dyDescent="0.25">
      <c r="A51">
        <v>58</v>
      </c>
      <c r="B51" t="s">
        <v>85</v>
      </c>
      <c r="C51" t="s">
        <v>36</v>
      </c>
      <c r="D51">
        <v>-0.978212790971</v>
      </c>
      <c r="E51">
        <v>0.55972952825599998</v>
      </c>
      <c r="F51" t="s">
        <v>110</v>
      </c>
      <c r="G51" t="s">
        <v>138</v>
      </c>
    </row>
    <row r="52" spans="1:13" x14ac:dyDescent="0.25">
      <c r="A52">
        <v>59</v>
      </c>
      <c r="B52" t="s">
        <v>86</v>
      </c>
      <c r="C52" t="s">
        <v>36</v>
      </c>
      <c r="D52">
        <v>-0.42495698544999999</v>
      </c>
      <c r="E52" s="86">
        <v>9.3174665093100004E-2</v>
      </c>
      <c r="F52" t="s">
        <v>111</v>
      </c>
      <c r="G52" t="s">
        <v>118</v>
      </c>
    </row>
    <row r="53" spans="1:13" s="87" customFormat="1" x14ac:dyDescent="0.25">
      <c r="A53" s="87">
        <v>60</v>
      </c>
      <c r="B53" s="87" t="s">
        <v>87</v>
      </c>
      <c r="C53" s="87" t="s">
        <v>36</v>
      </c>
      <c r="D53" s="87">
        <v>-0.11124462416</v>
      </c>
      <c r="E53" s="89">
        <v>1.9324554676499999E-2</v>
      </c>
      <c r="F53" s="87" t="s">
        <v>123</v>
      </c>
      <c r="G53" s="87" t="s">
        <v>119</v>
      </c>
      <c r="H53" s="87" t="s">
        <v>127</v>
      </c>
      <c r="I53" s="87" t="s">
        <v>128</v>
      </c>
      <c r="J53" s="87" t="s">
        <v>132</v>
      </c>
      <c r="K53" s="87" t="s">
        <v>134</v>
      </c>
      <c r="L53" s="87" t="s">
        <v>138</v>
      </c>
      <c r="M53" s="87" t="s">
        <v>139</v>
      </c>
    </row>
    <row r="54" spans="1:13" x14ac:dyDescent="0.25">
      <c r="A54">
        <v>63</v>
      </c>
      <c r="B54" t="s">
        <v>88</v>
      </c>
      <c r="C54" t="s">
        <v>36</v>
      </c>
      <c r="D54">
        <v>-1.2627495896200001</v>
      </c>
      <c r="E54">
        <v>1.15568726918</v>
      </c>
      <c r="F54" t="s">
        <v>112</v>
      </c>
      <c r="G54" t="s">
        <v>118</v>
      </c>
    </row>
    <row r="55" spans="1:13" x14ac:dyDescent="0.25">
      <c r="A55">
        <v>69</v>
      </c>
      <c r="B55" t="s">
        <v>89</v>
      </c>
      <c r="C55" t="s">
        <v>36</v>
      </c>
      <c r="D55">
        <v>-0.182881856812</v>
      </c>
      <c r="E55" s="86">
        <v>9.1832192679999994E-2</v>
      </c>
      <c r="F55" t="s">
        <v>113</v>
      </c>
      <c r="G55" t="s">
        <v>118</v>
      </c>
    </row>
    <row r="56" spans="1:13" s="87" customFormat="1" x14ac:dyDescent="0.25">
      <c r="A56" s="87">
        <v>72</v>
      </c>
      <c r="B56" s="87" t="s">
        <v>90</v>
      </c>
      <c r="C56" s="87" t="s">
        <v>36</v>
      </c>
      <c r="D56" s="87">
        <v>0.14811075420100001</v>
      </c>
      <c r="E56" s="89">
        <v>5.9982749063499999E-2</v>
      </c>
      <c r="F56" s="87" t="s">
        <v>124</v>
      </c>
      <c r="G56" s="87" t="s">
        <v>119</v>
      </c>
      <c r="H56" s="87" t="s">
        <v>127</v>
      </c>
      <c r="I56" s="87" t="s">
        <v>129</v>
      </c>
      <c r="J56" s="87" t="s">
        <v>132</v>
      </c>
      <c r="K56" s="87" t="s">
        <v>135</v>
      </c>
      <c r="L56" s="87" t="s">
        <v>138</v>
      </c>
      <c r="M56" s="87" t="s">
        <v>140</v>
      </c>
    </row>
    <row r="57" spans="1:13" x14ac:dyDescent="0.25">
      <c r="A57">
        <v>73</v>
      </c>
      <c r="B57" t="s">
        <v>91</v>
      </c>
      <c r="C57" t="s">
        <v>36</v>
      </c>
      <c r="D57" s="86">
        <v>7.1458236224400005E-4</v>
      </c>
      <c r="E57" s="86">
        <v>1.9087285637099999E-4</v>
      </c>
      <c r="F57" t="s">
        <v>114</v>
      </c>
      <c r="G57" t="s">
        <v>118</v>
      </c>
    </row>
    <row r="58" spans="1:13" x14ac:dyDescent="0.25">
      <c r="A58">
        <v>75</v>
      </c>
      <c r="B58" t="s">
        <v>92</v>
      </c>
      <c r="C58" t="s">
        <v>36</v>
      </c>
      <c r="D58">
        <v>0.29597958689600001</v>
      </c>
      <c r="E58" s="86">
        <v>7.8942367252999995E-2</v>
      </c>
      <c r="F58" t="s">
        <v>115</v>
      </c>
      <c r="G58" t="s">
        <v>118</v>
      </c>
    </row>
    <row r="59" spans="1:13" s="87" customFormat="1" x14ac:dyDescent="0.25">
      <c r="A59" s="87">
        <v>76</v>
      </c>
      <c r="B59" s="87" t="s">
        <v>93</v>
      </c>
      <c r="C59" s="87" t="s">
        <v>36</v>
      </c>
      <c r="D59" s="87">
        <v>0.19796492273399999</v>
      </c>
      <c r="E59" s="89">
        <v>3.4156307751499998E-2</v>
      </c>
      <c r="F59" s="87" t="s">
        <v>125</v>
      </c>
      <c r="G59" s="87" t="s">
        <v>119</v>
      </c>
      <c r="H59" s="87" t="s">
        <v>127</v>
      </c>
      <c r="I59" s="87" t="s">
        <v>130</v>
      </c>
      <c r="J59" s="87" t="s">
        <v>132</v>
      </c>
      <c r="K59" s="87" t="s">
        <v>136</v>
      </c>
      <c r="L59" s="87" t="s">
        <v>138</v>
      </c>
      <c r="M59" s="87" t="s">
        <v>141</v>
      </c>
    </row>
    <row r="60" spans="1:13" x14ac:dyDescent="0.25">
      <c r="A60">
        <v>77</v>
      </c>
      <c r="B60" t="s">
        <v>94</v>
      </c>
      <c r="C60" t="s">
        <v>36</v>
      </c>
      <c r="D60">
        <v>0.27817460170199998</v>
      </c>
      <c r="E60">
        <v>0.17839332841300001</v>
      </c>
      <c r="F60" t="s">
        <v>117</v>
      </c>
      <c r="G60" t="s">
        <v>118</v>
      </c>
    </row>
    <row r="61" spans="1:13" x14ac:dyDescent="0.25">
      <c r="A61">
        <v>83</v>
      </c>
      <c r="B61" t="s">
        <v>95</v>
      </c>
      <c r="C61" t="s">
        <v>36</v>
      </c>
      <c r="D61">
        <v>-0.77256225305799997</v>
      </c>
      <c r="E61">
        <v>0.454505526996</v>
      </c>
      <c r="F61" t="s">
        <v>116</v>
      </c>
      <c r="G61" t="s">
        <v>118</v>
      </c>
    </row>
  </sheetData>
  <sortState ref="A2:O61">
    <sortCondition ref="A2:A6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92" t="s">
        <v>165</v>
      </c>
    </row>
    <row r="2" spans="1:10" x14ac:dyDescent="0.25">
      <c r="A2">
        <v>1</v>
      </c>
      <c r="B2" t="s">
        <v>166</v>
      </c>
    </row>
    <row r="3" spans="1:10" x14ac:dyDescent="0.25">
      <c r="A3">
        <v>2</v>
      </c>
      <c r="B3" t="s">
        <v>167</v>
      </c>
    </row>
    <row r="4" spans="1:10" x14ac:dyDescent="0.25">
      <c r="A4">
        <v>3</v>
      </c>
      <c r="B4" t="s">
        <v>168</v>
      </c>
    </row>
    <row r="5" spans="1:10" x14ac:dyDescent="0.25">
      <c r="A5">
        <v>4</v>
      </c>
      <c r="B5" t="s">
        <v>169</v>
      </c>
    </row>
    <row r="8" spans="1:10" x14ac:dyDescent="0.25">
      <c r="A8" t="s">
        <v>154</v>
      </c>
      <c r="B8" t="s">
        <v>155</v>
      </c>
      <c r="C8" t="s">
        <v>156</v>
      </c>
    </row>
    <row r="9" spans="1:10" x14ac:dyDescent="0.25">
      <c r="A9" t="s">
        <v>157</v>
      </c>
      <c r="B9" t="s">
        <v>158</v>
      </c>
      <c r="C9" t="s">
        <v>159</v>
      </c>
      <c r="D9" t="s">
        <v>160</v>
      </c>
      <c r="E9">
        <v>4</v>
      </c>
      <c r="F9" s="95">
        <v>0.46995370370370365</v>
      </c>
      <c r="G9" t="s">
        <v>161</v>
      </c>
      <c r="H9">
        <v>3</v>
      </c>
      <c r="I9" t="s">
        <v>162</v>
      </c>
      <c r="J9">
        <v>12</v>
      </c>
    </row>
    <row r="10" spans="1:10" x14ac:dyDescent="0.25">
      <c r="A10" t="s">
        <v>163</v>
      </c>
    </row>
    <row r="11" spans="1:10" x14ac:dyDescent="0.25">
      <c r="B11">
        <v>1</v>
      </c>
      <c r="C11" t="s">
        <v>35</v>
      </c>
      <c r="D11" t="s">
        <v>36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37</v>
      </c>
      <c r="D12" t="s">
        <v>36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38</v>
      </c>
      <c r="D13" t="s">
        <v>36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39</v>
      </c>
      <c r="D14" t="s">
        <v>36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40</v>
      </c>
      <c r="D15" t="s">
        <v>36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41</v>
      </c>
      <c r="D16" t="s">
        <v>36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42</v>
      </c>
      <c r="D17" t="s">
        <v>36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43</v>
      </c>
      <c r="D18" t="s">
        <v>36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44</v>
      </c>
      <c r="D19" t="s">
        <v>36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45</v>
      </c>
      <c r="D20" t="s">
        <v>36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46</v>
      </c>
      <c r="D21" t="s">
        <v>36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47</v>
      </c>
      <c r="D22" t="s">
        <v>36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48</v>
      </c>
      <c r="D23" t="s">
        <v>36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49</v>
      </c>
      <c r="D24" t="s">
        <v>36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50</v>
      </c>
      <c r="D25" t="s">
        <v>36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51</v>
      </c>
      <c r="D26" t="s">
        <v>36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52</v>
      </c>
      <c r="D27" t="s">
        <v>36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53</v>
      </c>
      <c r="D28" t="s">
        <v>36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54</v>
      </c>
      <c r="D29" t="s">
        <v>36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55</v>
      </c>
      <c r="D30" t="s">
        <v>36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56</v>
      </c>
      <c r="D31" t="s">
        <v>36</v>
      </c>
      <c r="E31">
        <v>0.239019734309</v>
      </c>
      <c r="F31">
        <v>0.118684885778</v>
      </c>
    </row>
    <row r="32" spans="2:6" x14ac:dyDescent="0.25">
      <c r="B32">
        <v>25</v>
      </c>
      <c r="C32" t="s">
        <v>57</v>
      </c>
      <c r="D32" t="s">
        <v>36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58</v>
      </c>
      <c r="D33" t="s">
        <v>36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59</v>
      </c>
      <c r="D34" t="s">
        <v>36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60</v>
      </c>
      <c r="D35" t="s">
        <v>36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61</v>
      </c>
      <c r="D36" t="s">
        <v>36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62</v>
      </c>
      <c r="D37" t="s">
        <v>36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63</v>
      </c>
      <c r="D38" t="s">
        <v>36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64</v>
      </c>
      <c r="D39" t="s">
        <v>36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65</v>
      </c>
      <c r="D40" t="s">
        <v>36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66</v>
      </c>
      <c r="D41" t="s">
        <v>36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67</v>
      </c>
      <c r="D42" t="s">
        <v>36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68</v>
      </c>
      <c r="D43" t="s">
        <v>36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69</v>
      </c>
      <c r="D44" t="s">
        <v>36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70</v>
      </c>
      <c r="D45" t="s">
        <v>36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71</v>
      </c>
      <c r="D46" t="s">
        <v>36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72</v>
      </c>
      <c r="D47" t="s">
        <v>36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73</v>
      </c>
      <c r="D48" t="s">
        <v>36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74</v>
      </c>
      <c r="D49" t="s">
        <v>36</v>
      </c>
      <c r="E49">
        <v>-1.45349726543</v>
      </c>
      <c r="F49">
        <v>0.40356684826</v>
      </c>
    </row>
    <row r="50" spans="2:6" x14ac:dyDescent="0.25">
      <c r="B50">
        <v>48</v>
      </c>
      <c r="C50" t="s">
        <v>75</v>
      </c>
      <c r="D50" t="s">
        <v>36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76</v>
      </c>
      <c r="D51" t="s">
        <v>36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77</v>
      </c>
      <c r="D52" t="s">
        <v>36</v>
      </c>
      <c r="E52">
        <v>0.188609995585</v>
      </c>
      <c r="F52">
        <v>0.169738586315</v>
      </c>
    </row>
    <row r="53" spans="2:6" x14ac:dyDescent="0.25">
      <c r="B53">
        <v>51</v>
      </c>
      <c r="C53" t="s">
        <v>78</v>
      </c>
      <c r="D53" t="s">
        <v>36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79</v>
      </c>
      <c r="D54" t="s">
        <v>36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80</v>
      </c>
      <c r="D55" t="s">
        <v>36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81</v>
      </c>
      <c r="D56" t="s">
        <v>36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82</v>
      </c>
      <c r="D57" t="s">
        <v>36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83</v>
      </c>
      <c r="D58" t="s">
        <v>36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84</v>
      </c>
      <c r="D59" t="s">
        <v>36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85</v>
      </c>
      <c r="D60" t="s">
        <v>36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86</v>
      </c>
      <c r="D61" t="s">
        <v>36</v>
      </c>
      <c r="E61">
        <v>-0.42495698544999999</v>
      </c>
      <c r="F61" s="86">
        <v>9.3174665093100004E-2</v>
      </c>
    </row>
    <row r="62" spans="2:6" x14ac:dyDescent="0.25">
      <c r="B62">
        <v>60</v>
      </c>
      <c r="C62" t="s">
        <v>87</v>
      </c>
      <c r="D62" t="s">
        <v>36</v>
      </c>
      <c r="E62">
        <v>-0.11124462416</v>
      </c>
      <c r="F62" s="86">
        <v>1.9324554676499999E-2</v>
      </c>
    </row>
    <row r="63" spans="2:6" x14ac:dyDescent="0.25">
      <c r="B63">
        <v>63</v>
      </c>
      <c r="C63" t="s">
        <v>88</v>
      </c>
      <c r="D63" t="s">
        <v>36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89</v>
      </c>
      <c r="D64" t="s">
        <v>36</v>
      </c>
      <c r="E64">
        <v>-0.182881856812</v>
      </c>
      <c r="F64" s="86">
        <v>9.1832192679999994E-2</v>
      </c>
    </row>
    <row r="65" spans="2:11" x14ac:dyDescent="0.25">
      <c r="B65">
        <v>72</v>
      </c>
      <c r="C65" t="s">
        <v>90</v>
      </c>
      <c r="D65" t="s">
        <v>36</v>
      </c>
      <c r="E65">
        <v>0.14811075420100001</v>
      </c>
      <c r="F65" s="86">
        <v>5.9982749063499999E-2</v>
      </c>
    </row>
    <row r="66" spans="2:11" x14ac:dyDescent="0.25">
      <c r="B66">
        <v>73</v>
      </c>
      <c r="C66" t="s">
        <v>91</v>
      </c>
      <c r="D66" t="s">
        <v>36</v>
      </c>
      <c r="E66" s="86">
        <v>7.1458236224400005E-4</v>
      </c>
      <c r="F66" s="86">
        <v>1.9087285637099999E-4</v>
      </c>
    </row>
    <row r="67" spans="2:11" x14ac:dyDescent="0.25">
      <c r="B67">
        <v>75</v>
      </c>
      <c r="C67" t="s">
        <v>92</v>
      </c>
      <c r="D67" t="s">
        <v>36</v>
      </c>
      <c r="E67">
        <v>0.29597958689600001</v>
      </c>
      <c r="F67" s="86">
        <v>7.8942367252999995E-2</v>
      </c>
    </row>
    <row r="68" spans="2:11" x14ac:dyDescent="0.25">
      <c r="B68">
        <v>76</v>
      </c>
      <c r="C68" t="s">
        <v>93</v>
      </c>
      <c r="D68" t="s">
        <v>36</v>
      </c>
      <c r="E68">
        <v>0.19796492273399999</v>
      </c>
      <c r="F68" s="86">
        <v>3.4156307751499998E-2</v>
      </c>
    </row>
    <row r="69" spans="2:11" x14ac:dyDescent="0.25">
      <c r="B69">
        <v>77</v>
      </c>
      <c r="C69" t="s">
        <v>94</v>
      </c>
      <c r="D69" t="s">
        <v>36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95</v>
      </c>
      <c r="D70" t="s">
        <v>36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86">
        <v>-5314.5725053400001</v>
      </c>
      <c r="D72" s="86">
        <v>-6344.40425082</v>
      </c>
      <c r="E72" s="86">
        <v>-3915.8071334400001</v>
      </c>
    </row>
    <row r="73" spans="2:11" x14ac:dyDescent="0.25">
      <c r="B73">
        <v>8</v>
      </c>
      <c r="C73" t="s">
        <v>164</v>
      </c>
      <c r="D73" t="s">
        <v>161</v>
      </c>
      <c r="E73">
        <v>3</v>
      </c>
      <c r="F73" t="s">
        <v>162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A62"/>
  <sheetViews>
    <sheetView workbookViewId="0">
      <selection activeCell="D10" sqref="D10"/>
    </sheetView>
  </sheetViews>
  <sheetFormatPr defaultRowHeight="15" x14ac:dyDescent="0.25"/>
  <cols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92" t="s">
        <v>172</v>
      </c>
    </row>
    <row r="2" spans="1:27" x14ac:dyDescent="0.25">
      <c r="C2" t="s">
        <v>142</v>
      </c>
      <c r="K2" t="s">
        <v>174</v>
      </c>
      <c r="Z2" t="s">
        <v>170</v>
      </c>
      <c r="AA2" t="s">
        <v>171</v>
      </c>
    </row>
    <row r="3" spans="1:27" x14ac:dyDescent="0.25">
      <c r="A3" s="92" t="s">
        <v>147</v>
      </c>
      <c r="X3" s="96">
        <v>1</v>
      </c>
      <c r="Y3" s="96" t="s">
        <v>35</v>
      </c>
      <c r="Z3" s="100">
        <f>VehAvailCoefficient!E11</f>
        <v>-3.7471395627100001</v>
      </c>
      <c r="AA3" s="99">
        <f>V6</f>
        <v>-3.7465289288921642</v>
      </c>
    </row>
    <row r="4" spans="1:27" ht="15.75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96">
        <v>2</v>
      </c>
      <c r="Y4" s="96" t="s">
        <v>37</v>
      </c>
      <c r="Z4" s="100">
        <f>VehAvailCoefficient!E12</f>
        <v>-2.1297115852199999</v>
      </c>
      <c r="AA4" s="99">
        <f t="shared" ref="AA4:AA19" si="0">V7</f>
        <v>-2.1475797433720616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93" t="s">
        <v>149</v>
      </c>
      <c r="R5" s="93" t="s">
        <v>98</v>
      </c>
      <c r="S5" s="93" t="s">
        <v>150</v>
      </c>
      <c r="T5" s="93" t="s">
        <v>151</v>
      </c>
      <c r="U5" s="93" t="s">
        <v>152</v>
      </c>
      <c r="V5" s="93" t="s">
        <v>153</v>
      </c>
      <c r="X5" s="96">
        <v>3</v>
      </c>
      <c r="Y5" s="96" t="s">
        <v>38</v>
      </c>
      <c r="Z5" s="100">
        <f>VehAvailCoefficient!E13</f>
        <v>-3.96633437255</v>
      </c>
      <c r="AA5" s="99">
        <f t="shared" si="0"/>
        <v>-3.9858464374956588</v>
      </c>
    </row>
    <row r="6" spans="1:27" x14ac:dyDescent="0.25">
      <c r="A6" s="3">
        <v>1</v>
      </c>
      <c r="B6" s="4">
        <f>Vehicles_by_HHDrivers!B16</f>
        <v>33345.05203516347</v>
      </c>
      <c r="C6" s="4">
        <f>Vehicles_by_HHDrivers!C16</f>
        <v>145233.36778845458</v>
      </c>
      <c r="D6" s="4">
        <f>Vehicles_by_HHDrivers!D16</f>
        <v>20432.509501777815</v>
      </c>
      <c r="E6" s="4">
        <f>Vehicles_by_HHDrivers!E16</f>
        <v>3264.84888142815</v>
      </c>
      <c r="F6" s="4">
        <f>Vehicles_by_HHDrivers!F16</f>
        <v>1310.2217931760199</v>
      </c>
      <c r="G6" s="4">
        <f>SUM(B6:F6)</f>
        <v>203586.00000000006</v>
      </c>
      <c r="I6" s="3">
        <v>1</v>
      </c>
      <c r="J6" s="4">
        <f>Vehicles_by_HHDrivers!R16</f>
        <v>33413</v>
      </c>
      <c r="K6" s="4">
        <f>Vehicles_by_HHDrivers!S16</f>
        <v>145979</v>
      </c>
      <c r="L6" s="4">
        <f>Vehicles_by_HHDrivers!T16</f>
        <v>20856</v>
      </c>
      <c r="M6" s="4">
        <f>Vehicles_by_HHDrivers!U16</f>
        <v>3338</v>
      </c>
      <c r="N6" s="4">
        <f>Vehicles_by_HHDrivers!V16</f>
        <v>0</v>
      </c>
      <c r="O6" s="4">
        <f>SUM(J6:N6)</f>
        <v>203586</v>
      </c>
      <c r="Q6">
        <v>1</v>
      </c>
      <c r="R6" t="s">
        <v>99</v>
      </c>
      <c r="S6" s="97">
        <f>Z3</f>
        <v>-3.7471395627100001</v>
      </c>
      <c r="T6" s="94">
        <f>B15/J15</f>
        <v>0.99796642130797775</v>
      </c>
      <c r="U6" s="97">
        <f>LN(T6)-LN($T$22)</f>
        <v>6.1063381783581618E-4</v>
      </c>
      <c r="V6" s="97">
        <f>S6+U6</f>
        <v>-3.7465289288921642</v>
      </c>
      <c r="X6" s="96">
        <v>4</v>
      </c>
      <c r="Y6" s="96" t="s">
        <v>39</v>
      </c>
      <c r="Z6" s="100">
        <f>VehAvailCoefficient!E14</f>
        <v>-11.219392631330001</v>
      </c>
      <c r="AA6" s="99">
        <f t="shared" si="0"/>
        <v>-12.151921742881035</v>
      </c>
    </row>
    <row r="7" spans="1:27" x14ac:dyDescent="0.25">
      <c r="A7" s="3">
        <v>2</v>
      </c>
      <c r="B7" s="4">
        <f>Vehicles_by_HHDrivers!B17</f>
        <v>3998.9881452220425</v>
      </c>
      <c r="C7" s="4">
        <f>Vehicles_by_HHDrivers!C17</f>
        <v>44258.017274007405</v>
      </c>
      <c r="D7" s="4">
        <f>Vehicles_by_HHDrivers!D17</f>
        <v>180426.94136427419</v>
      </c>
      <c r="E7" s="4">
        <f>Vehicles_by_HHDrivers!E17</f>
        <v>46797.188050055986</v>
      </c>
      <c r="F7" s="4">
        <f>Vehicles_by_HHDrivers!F17</f>
        <v>15208.865166440402</v>
      </c>
      <c r="G7" s="4">
        <f t="shared" ref="G7:G10" si="1">SUM(B7:F7)</f>
        <v>290690</v>
      </c>
      <c r="I7" s="3">
        <v>2</v>
      </c>
      <c r="J7" s="4">
        <f>Vehicles_by_HHDrivers!R17</f>
        <v>3939</v>
      </c>
      <c r="K7" s="4">
        <f>Vehicles_by_HHDrivers!S17</f>
        <v>45629</v>
      </c>
      <c r="L7" s="4">
        <f>Vehicles_by_HHDrivers!T17</f>
        <v>178373</v>
      </c>
      <c r="M7" s="4">
        <f>Vehicles_by_HHDrivers!U17</f>
        <v>47280</v>
      </c>
      <c r="N7" s="4">
        <f>Vehicles_by_HHDrivers!V17</f>
        <v>15469</v>
      </c>
      <c r="O7" s="4">
        <f t="shared" ref="O7:O10" si="2">SUM(J7:N7)</f>
        <v>290690</v>
      </c>
      <c r="Q7">
        <v>2</v>
      </c>
      <c r="R7" t="s">
        <v>99</v>
      </c>
      <c r="S7" s="97">
        <f t="shared" ref="S7:S22" si="3">Z4</f>
        <v>-2.1297115852199999</v>
      </c>
      <c r="T7" s="94">
        <f>D15/L15</f>
        <v>0.97969454841665771</v>
      </c>
      <c r="U7" s="97">
        <f t="shared" ref="U7:U22" si="4">LN(T7)-LN($T$22)</f>
        <v>-1.7868158152061553E-2</v>
      </c>
      <c r="V7" s="97">
        <f t="shared" ref="V7:V22" si="5">S7+U7</f>
        <v>-2.1475797433720616</v>
      </c>
      <c r="X7" s="96">
        <v>5</v>
      </c>
      <c r="Y7" s="96" t="s">
        <v>40</v>
      </c>
      <c r="Z7" s="100">
        <f>VehAvailCoefficient!E15</f>
        <v>-5.0125223934900003</v>
      </c>
      <c r="AA7" s="99">
        <f t="shared" si="0"/>
        <v>-4.9947616290155423</v>
      </c>
    </row>
    <row r="8" spans="1:27" x14ac:dyDescent="0.25">
      <c r="A8" s="3">
        <v>3</v>
      </c>
      <c r="B8" s="4">
        <f>Vehicles_by_HHDrivers!B18</f>
        <v>803.50778008884345</v>
      </c>
      <c r="C8" s="4">
        <f>Vehicles_by_HHDrivers!C18</f>
        <v>5153.7050978061798</v>
      </c>
      <c r="D8" s="4">
        <f>Vehicles_by_HHDrivers!D18</f>
        <v>17715.990996394488</v>
      </c>
      <c r="E8" s="4">
        <f>Vehicles_by_HHDrivers!E18</f>
        <v>37341.525259616596</v>
      </c>
      <c r="F8" s="4">
        <f>Vehicles_by_HHDrivers!F18</f>
        <v>12300.270866093902</v>
      </c>
      <c r="G8" s="4">
        <f t="shared" si="1"/>
        <v>73315</v>
      </c>
      <c r="I8" s="3">
        <v>3</v>
      </c>
      <c r="J8" s="4">
        <f>Vehicles_by_HHDrivers!R18</f>
        <v>787</v>
      </c>
      <c r="K8" s="4">
        <f>Vehicles_by_HHDrivers!S18</f>
        <v>4974</v>
      </c>
      <c r="L8" s="4">
        <f>Vehicles_by_HHDrivers!T18</f>
        <v>17789</v>
      </c>
      <c r="M8" s="4">
        <f>Vehicles_by_HHDrivers!U18</f>
        <v>37915</v>
      </c>
      <c r="N8" s="4">
        <f>Vehicles_by_HHDrivers!V18</f>
        <v>11850</v>
      </c>
      <c r="O8" s="4">
        <f t="shared" si="2"/>
        <v>73315</v>
      </c>
      <c r="Q8">
        <v>3</v>
      </c>
      <c r="R8" t="s">
        <v>99</v>
      </c>
      <c r="S8" s="97">
        <f t="shared" si="3"/>
        <v>-3.96633437255</v>
      </c>
      <c r="T8" s="94">
        <f>E15/M15</f>
        <v>0.97808534494552113</v>
      </c>
      <c r="U8" s="97">
        <f t="shared" si="4"/>
        <v>-1.9512064945658859E-2</v>
      </c>
      <c r="V8" s="97">
        <f t="shared" si="5"/>
        <v>-3.9858464374956588</v>
      </c>
      <c r="X8" s="96">
        <v>6</v>
      </c>
      <c r="Y8" s="96" t="s">
        <v>41</v>
      </c>
      <c r="Z8" s="100">
        <f>VehAvailCoefficient!E16</f>
        <v>-1.8563745465099999</v>
      </c>
      <c r="AA8" s="99">
        <f t="shared" si="0"/>
        <v>-1.8842352063880128</v>
      </c>
    </row>
    <row r="9" spans="1:27" x14ac:dyDescent="0.25">
      <c r="A9" s="5" t="s">
        <v>3</v>
      </c>
      <c r="B9" s="4">
        <f>Vehicles_by_HHDrivers!B19</f>
        <v>144.03467708523084</v>
      </c>
      <c r="C9" s="4">
        <f>Vehicles_by_HHDrivers!C19</f>
        <v>3979.2852547539965</v>
      </c>
      <c r="D9" s="4">
        <f>Vehicles_by_HHDrivers!D19</f>
        <v>4056.9851896163477</v>
      </c>
      <c r="E9" s="4">
        <f>Vehicles_by_HHDrivers!E19</f>
        <v>14247.352593640147</v>
      </c>
      <c r="F9" s="4">
        <f>Vehicles_by_HHDrivers!F19</f>
        <v>10546.342284904282</v>
      </c>
      <c r="G9" s="6">
        <f t="shared" si="1"/>
        <v>32974.000000000007</v>
      </c>
      <c r="I9" s="5" t="s">
        <v>3</v>
      </c>
      <c r="J9" s="4">
        <f>Vehicles_by_HHDrivers!R19</f>
        <v>113</v>
      </c>
      <c r="K9" s="4">
        <f>Vehicles_by_HHDrivers!S19</f>
        <v>3613</v>
      </c>
      <c r="L9" s="4">
        <f>Vehicles_by_HHDrivers!T19</f>
        <v>3749</v>
      </c>
      <c r="M9" s="4">
        <f>Vehicles_by_HHDrivers!U19</f>
        <v>13228</v>
      </c>
      <c r="N9" s="4">
        <f>Vehicles_by_HHDrivers!V19</f>
        <v>12271</v>
      </c>
      <c r="O9" s="6">
        <f t="shared" si="2"/>
        <v>32974</v>
      </c>
      <c r="Q9">
        <v>4</v>
      </c>
      <c r="R9" t="s">
        <v>99</v>
      </c>
      <c r="S9" s="97">
        <f t="shared" si="3"/>
        <v>-11.219392631330001</v>
      </c>
      <c r="T9" s="94">
        <f>F15/M15</f>
        <v>0.3925170141330197</v>
      </c>
      <c r="U9" s="97">
        <f t="shared" si="4"/>
        <v>-0.9325291115510338</v>
      </c>
      <c r="V9" s="97">
        <f t="shared" si="5"/>
        <v>-12.151921742881035</v>
      </c>
      <c r="X9" s="96">
        <v>7</v>
      </c>
      <c r="Y9" s="96" t="s">
        <v>42</v>
      </c>
      <c r="Z9" s="100">
        <f>VehAvailCoefficient!E17</f>
        <v>-1.3964239432800001</v>
      </c>
      <c r="AA9" s="99">
        <f t="shared" si="0"/>
        <v>-1.4040419166213569</v>
      </c>
    </row>
    <row r="10" spans="1:27" ht="15.75" thickBot="1" x14ac:dyDescent="0.3">
      <c r="A10" s="7" t="s">
        <v>4</v>
      </c>
      <c r="B10" s="8">
        <f>SUM(B6:B9)</f>
        <v>38291.582637559593</v>
      </c>
      <c r="C10" s="8">
        <f t="shared" ref="C10:F10" si="6">SUM(C6:C9)</f>
        <v>198624.37541502216</v>
      </c>
      <c r="D10" s="8">
        <f t="shared" si="6"/>
        <v>222632.42705206285</v>
      </c>
      <c r="E10" s="8">
        <f t="shared" si="6"/>
        <v>101650.91478474087</v>
      </c>
      <c r="F10" s="8">
        <f t="shared" si="6"/>
        <v>39365.700110614605</v>
      </c>
      <c r="G10" s="8">
        <f t="shared" si="1"/>
        <v>600565.00000000012</v>
      </c>
      <c r="I10" s="7" t="s">
        <v>4</v>
      </c>
      <c r="J10" s="8">
        <f>SUM(J6:J9)</f>
        <v>38252</v>
      </c>
      <c r="K10" s="8">
        <f t="shared" ref="K10:N10" si="7">SUM(K6:K9)</f>
        <v>200195</v>
      </c>
      <c r="L10" s="8">
        <f t="shared" si="7"/>
        <v>220767</v>
      </c>
      <c r="M10" s="8">
        <f t="shared" si="7"/>
        <v>101761</v>
      </c>
      <c r="N10" s="8">
        <f t="shared" si="7"/>
        <v>39590</v>
      </c>
      <c r="O10" s="8">
        <f t="shared" si="2"/>
        <v>600565</v>
      </c>
      <c r="Q10">
        <v>5</v>
      </c>
      <c r="R10" t="s">
        <v>100</v>
      </c>
      <c r="S10" s="97">
        <f t="shared" si="3"/>
        <v>-5.0125223934900003</v>
      </c>
      <c r="T10" s="94">
        <f>B16/J16</f>
        <v>1.0152292828692666</v>
      </c>
      <c r="U10" s="97">
        <f t="shared" si="4"/>
        <v>1.7760764474457874E-2</v>
      </c>
      <c r="V10" s="97">
        <f t="shared" si="5"/>
        <v>-4.9947616290155423</v>
      </c>
      <c r="X10" s="96">
        <v>8</v>
      </c>
      <c r="Y10" s="96" t="s">
        <v>43</v>
      </c>
      <c r="Z10" s="100">
        <f>VehAvailCoefficient!E18</f>
        <v>-2.3942936803500001</v>
      </c>
      <c r="AA10" s="99">
        <f t="shared" si="0"/>
        <v>-2.4086069260947394</v>
      </c>
    </row>
    <row r="11" spans="1:27" x14ac:dyDescent="0.25">
      <c r="G11" s="4"/>
      <c r="O11" s="4"/>
      <c r="Q11">
        <v>6</v>
      </c>
      <c r="R11" t="s">
        <v>100</v>
      </c>
      <c r="S11" s="97">
        <f t="shared" si="3"/>
        <v>-1.8563745465099999</v>
      </c>
      <c r="T11" s="94">
        <f>C16/K16</f>
        <v>0.96995369773625095</v>
      </c>
      <c r="U11" s="97">
        <f t="shared" si="4"/>
        <v>-2.7860659878012992E-2</v>
      </c>
      <c r="V11" s="97">
        <f t="shared" si="5"/>
        <v>-1.8842352063880128</v>
      </c>
      <c r="X11" s="96">
        <v>9</v>
      </c>
      <c r="Y11" s="96" t="s">
        <v>44</v>
      </c>
      <c r="Z11" s="100">
        <f>VehAvailCoefficient!E19</f>
        <v>-4.9201833156500001</v>
      </c>
      <c r="AA11" s="99">
        <f t="shared" si="0"/>
        <v>-4.8967784131491481</v>
      </c>
    </row>
    <row r="12" spans="1:27" x14ac:dyDescent="0.25">
      <c r="A12" s="92" t="s">
        <v>148</v>
      </c>
      <c r="Q12">
        <v>7</v>
      </c>
      <c r="R12" t="s">
        <v>100</v>
      </c>
      <c r="S12" s="97">
        <f t="shared" si="3"/>
        <v>-1.3964239432800001</v>
      </c>
      <c r="T12" s="94">
        <f>E16/M16</f>
        <v>0.98978824132944121</v>
      </c>
      <c r="U12" s="97">
        <f t="shared" si="4"/>
        <v>-7.6179733413569012E-3</v>
      </c>
      <c r="V12" s="97">
        <f t="shared" si="5"/>
        <v>-1.4040419166213569</v>
      </c>
      <c r="X12" s="96">
        <v>10</v>
      </c>
      <c r="Y12" s="96" t="s">
        <v>45</v>
      </c>
      <c r="Z12" s="100">
        <f>VehAvailCoefficient!E20</f>
        <v>-2.29401614977</v>
      </c>
      <c r="AA12" s="99">
        <f t="shared" si="0"/>
        <v>-2.255878319640169</v>
      </c>
    </row>
    <row r="13" spans="1:27" ht="15.75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100</v>
      </c>
      <c r="S13" s="97">
        <f t="shared" si="3"/>
        <v>-2.3942936803500001</v>
      </c>
      <c r="T13" s="94">
        <f>F16/N16</f>
        <v>0.98318347446120624</v>
      </c>
      <c r="U13" s="97">
        <f t="shared" si="4"/>
        <v>-1.4313245744739068E-2</v>
      </c>
      <c r="V13" s="97">
        <f t="shared" si="5"/>
        <v>-2.4086069260947394</v>
      </c>
      <c r="X13" s="96">
        <v>11</v>
      </c>
      <c r="Y13" s="96" t="s">
        <v>46</v>
      </c>
      <c r="Z13" s="100">
        <f>VehAvailCoefficient!E21</f>
        <v>-1.4446352364099999</v>
      </c>
      <c r="AA13" s="99">
        <f t="shared" si="0"/>
        <v>-1.4461015642726427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101</v>
      </c>
      <c r="S14" s="97">
        <f t="shared" si="3"/>
        <v>-4.9201833156500001</v>
      </c>
      <c r="T14" s="94">
        <f>B17/J17</f>
        <v>1.0209755782577425</v>
      </c>
      <c r="U14" s="97">
        <f t="shared" si="4"/>
        <v>2.3404902500851716E-2</v>
      </c>
      <c r="V14" s="97">
        <f t="shared" si="5"/>
        <v>-4.8967784131491481</v>
      </c>
      <c r="X14" s="96">
        <v>12</v>
      </c>
      <c r="Y14" s="96" t="s">
        <v>47</v>
      </c>
      <c r="Z14" s="100">
        <f>VehAvailCoefficient!E22</f>
        <v>-0.81535992723999995</v>
      </c>
      <c r="AA14" s="99">
        <f t="shared" si="0"/>
        <v>-0.77542022801305244</v>
      </c>
    </row>
    <row r="15" spans="1:27" x14ac:dyDescent="0.25">
      <c r="A15" s="3">
        <v>1</v>
      </c>
      <c r="B15" s="17">
        <f>B6/$G$10</f>
        <v>5.5522802752680331E-2</v>
      </c>
      <c r="C15" s="17">
        <f t="shared" ref="C15:G15" si="8">C6/$G$10</f>
        <v>0.24182789171605829</v>
      </c>
      <c r="D15" s="17">
        <f t="shared" si="8"/>
        <v>3.4022144983103929E-2</v>
      </c>
      <c r="E15" s="17">
        <f t="shared" si="8"/>
        <v>5.4362956240009809E-3</v>
      </c>
      <c r="F15" s="17">
        <f t="shared" si="8"/>
        <v>2.1816486028590071E-3</v>
      </c>
      <c r="G15" s="17">
        <f t="shared" si="8"/>
        <v>0.33899078367870261</v>
      </c>
      <c r="I15" s="3">
        <v>1</v>
      </c>
      <c r="J15" s="17">
        <f>J6/$O$10</f>
        <v>5.5635942820510688E-2</v>
      </c>
      <c r="K15" s="17">
        <f t="shared" ref="K15:O15" si="9">K6/$O$10</f>
        <v>0.24306944294123034</v>
      </c>
      <c r="L15" s="17">
        <f t="shared" si="9"/>
        <v>3.472729846061625E-2</v>
      </c>
      <c r="M15" s="17">
        <f t="shared" si="9"/>
        <v>5.5580994563452744E-3</v>
      </c>
      <c r="N15" s="17">
        <f t="shared" si="9"/>
        <v>0</v>
      </c>
      <c r="O15" s="17">
        <f t="shared" si="9"/>
        <v>0.33899078367870256</v>
      </c>
      <c r="Q15">
        <v>10</v>
      </c>
      <c r="R15" t="s">
        <v>101</v>
      </c>
      <c r="S15" s="97">
        <f t="shared" si="3"/>
        <v>-2.29401614977</v>
      </c>
      <c r="T15" s="94">
        <f>C17/K17</f>
        <v>1.036128889788134</v>
      </c>
      <c r="U15" s="97">
        <f t="shared" si="4"/>
        <v>3.8137830129830901E-2</v>
      </c>
      <c r="V15" s="97">
        <f t="shared" si="5"/>
        <v>-2.255878319640169</v>
      </c>
      <c r="X15" s="96">
        <v>13</v>
      </c>
      <c r="Y15" s="96" t="s">
        <v>48</v>
      </c>
      <c r="Z15" s="100">
        <f>VehAvailCoefficient!E23</f>
        <v>-5.3216543706600001</v>
      </c>
      <c r="AA15" s="99">
        <f t="shared" si="0"/>
        <v>-5.0763418226567403</v>
      </c>
    </row>
    <row r="16" spans="1:27" x14ac:dyDescent="0.25">
      <c r="A16" s="3">
        <v>2</v>
      </c>
      <c r="B16" s="17">
        <f t="shared" ref="B16:G16" si="10">B7/$G$10</f>
        <v>6.6587099568273904E-3</v>
      </c>
      <c r="C16" s="17">
        <f t="shared" si="10"/>
        <v>7.3693966971114522E-2</v>
      </c>
      <c r="D16" s="17">
        <f t="shared" si="10"/>
        <v>0.30042866528065099</v>
      </c>
      <c r="E16" s="17">
        <f t="shared" si="10"/>
        <v>7.7921936926154498E-2</v>
      </c>
      <c r="F16" s="17">
        <f t="shared" si="10"/>
        <v>2.5324261597729471E-2</v>
      </c>
      <c r="G16" s="17">
        <f t="shared" si="10"/>
        <v>0.48402754073247684</v>
      </c>
      <c r="I16" s="3">
        <v>2</v>
      </c>
      <c r="J16" s="17">
        <f t="shared" ref="J16:O16" si="11">J7/$O$10</f>
        <v>6.5588237742792207E-3</v>
      </c>
      <c r="K16" s="17">
        <f t="shared" si="11"/>
        <v>7.5976788524139763E-2</v>
      </c>
      <c r="L16" s="17">
        <f t="shared" si="11"/>
        <v>0.29700865018773986</v>
      </c>
      <c r="M16" s="17">
        <f t="shared" si="11"/>
        <v>7.8725866475735345E-2</v>
      </c>
      <c r="N16" s="17">
        <f t="shared" si="11"/>
        <v>2.5757411770582703E-2</v>
      </c>
      <c r="O16" s="17">
        <f t="shared" si="11"/>
        <v>0.48402754073247689</v>
      </c>
      <c r="Q16">
        <v>11</v>
      </c>
      <c r="R16" t="s">
        <v>101</v>
      </c>
      <c r="S16" s="97">
        <f t="shared" si="3"/>
        <v>-1.4446352364099999</v>
      </c>
      <c r="T16" s="94">
        <f>D17/L17</f>
        <v>0.99589583430178685</v>
      </c>
      <c r="U16" s="97">
        <f t="shared" si="4"/>
        <v>-1.4663278626428824E-3</v>
      </c>
      <c r="V16" s="97">
        <f t="shared" si="5"/>
        <v>-1.4461015642726427</v>
      </c>
      <c r="X16" s="96">
        <v>14</v>
      </c>
      <c r="Y16" s="96" t="s">
        <v>49</v>
      </c>
      <c r="Z16" s="100">
        <f>VehAvailCoefficient!E24</f>
        <v>-1.1261276811700001</v>
      </c>
      <c r="AA16" s="99">
        <f t="shared" si="0"/>
        <v>-1.0269176313604627</v>
      </c>
    </row>
    <row r="17" spans="1:27" x14ac:dyDescent="0.25">
      <c r="A17" s="3">
        <v>3</v>
      </c>
      <c r="B17" s="17">
        <f t="shared" ref="B17:G17" si="12">B8/$G$10</f>
        <v>1.3379197590416413E-3</v>
      </c>
      <c r="C17" s="17">
        <f t="shared" si="12"/>
        <v>8.581427651971358E-3</v>
      </c>
      <c r="D17" s="17">
        <f t="shared" si="12"/>
        <v>2.9498873554726773E-2</v>
      </c>
      <c r="E17" s="17">
        <f t="shared" si="12"/>
        <v>6.2177325118208004E-2</v>
      </c>
      <c r="F17" s="17">
        <f t="shared" si="12"/>
        <v>2.0481165013102494E-2</v>
      </c>
      <c r="G17" s="17">
        <f t="shared" si="12"/>
        <v>0.12207671109705025</v>
      </c>
      <c r="I17" s="3">
        <v>3</v>
      </c>
      <c r="J17" s="17">
        <f t="shared" ref="J17:O17" si="13">J8/$O$10</f>
        <v>1.3104326758968637E-3</v>
      </c>
      <c r="K17" s="17">
        <f t="shared" si="13"/>
        <v>8.2822009274599751E-3</v>
      </c>
      <c r="L17" s="17">
        <f t="shared" si="13"/>
        <v>2.9620440751625551E-2</v>
      </c>
      <c r="M17" s="17">
        <f t="shared" si="13"/>
        <v>6.3132217162172294E-2</v>
      </c>
      <c r="N17" s="17">
        <f t="shared" si="13"/>
        <v>1.9731419579895597E-2</v>
      </c>
      <c r="O17" s="17">
        <f t="shared" si="13"/>
        <v>0.12207671109705028</v>
      </c>
      <c r="Q17">
        <v>12</v>
      </c>
      <c r="R17" t="s">
        <v>101</v>
      </c>
      <c r="S17" s="97">
        <f t="shared" si="3"/>
        <v>-0.81535992723999995</v>
      </c>
      <c r="T17" s="94">
        <f>F17/N17</f>
        <v>1.0379975414425233</v>
      </c>
      <c r="U17" s="97">
        <f t="shared" si="4"/>
        <v>3.9939699226947463E-2</v>
      </c>
      <c r="V17" s="97">
        <f t="shared" si="5"/>
        <v>-0.77542022801305244</v>
      </c>
      <c r="X17" s="96">
        <v>15</v>
      </c>
      <c r="Y17" s="96" t="s">
        <v>50</v>
      </c>
      <c r="Z17" s="100">
        <f>VehAvailCoefficient!E25</f>
        <v>-1.6372198765899999</v>
      </c>
      <c r="AA17" s="99">
        <f t="shared" si="0"/>
        <v>-1.5556225976628066</v>
      </c>
    </row>
    <row r="18" spans="1:27" x14ac:dyDescent="0.25">
      <c r="A18" s="5" t="s">
        <v>3</v>
      </c>
      <c r="B18" s="18">
        <f t="shared" ref="B18:G18" si="14">B9/$G$10</f>
        <v>2.3983195338594625E-4</v>
      </c>
      <c r="C18" s="18">
        <f t="shared" si="14"/>
        <v>6.6259026995479182E-3</v>
      </c>
      <c r="D18" s="18">
        <f t="shared" si="14"/>
        <v>6.755280759978265E-3</v>
      </c>
      <c r="E18" s="18">
        <f t="shared" si="14"/>
        <v>2.3723248263951686E-2</v>
      </c>
      <c r="F18" s="18">
        <f t="shared" si="14"/>
        <v>1.7560700814906429E-2</v>
      </c>
      <c r="G18" s="17">
        <f t="shared" si="14"/>
        <v>5.490496449177025E-2</v>
      </c>
      <c r="I18" s="5" t="s">
        <v>3</v>
      </c>
      <c r="J18" s="17">
        <f t="shared" ref="J18:O18" si="15">J9/$O$10</f>
        <v>1.8815615295596647E-4</v>
      </c>
      <c r="K18" s="17">
        <f t="shared" si="15"/>
        <v>6.0160015984947511E-3</v>
      </c>
      <c r="L18" s="17">
        <f t="shared" si="15"/>
        <v>6.242455021521401E-3</v>
      </c>
      <c r="M18" s="17">
        <f t="shared" si="15"/>
        <v>2.2025925586739156E-2</v>
      </c>
      <c r="N18" s="17">
        <f t="shared" si="15"/>
        <v>2.0432426132058978E-2</v>
      </c>
      <c r="O18" s="17">
        <f t="shared" si="15"/>
        <v>5.490496449177025E-2</v>
      </c>
      <c r="Q18">
        <v>13</v>
      </c>
      <c r="R18" t="s">
        <v>102</v>
      </c>
      <c r="S18" s="97">
        <f t="shared" si="3"/>
        <v>-5.3216543706600001</v>
      </c>
      <c r="T18" s="94">
        <f>B18/J18</f>
        <v>1.2746431600462904</v>
      </c>
      <c r="U18" s="97">
        <f t="shared" si="4"/>
        <v>0.24531254800326022</v>
      </c>
      <c r="V18" s="97">
        <f t="shared" si="5"/>
        <v>-5.0763418226567403</v>
      </c>
      <c r="X18" s="96">
        <v>16</v>
      </c>
      <c r="Y18" s="96" t="s">
        <v>51</v>
      </c>
      <c r="Z18" s="100">
        <f>VehAvailCoefficient!E26</f>
        <v>-0.59991414110999997</v>
      </c>
      <c r="AA18" s="99">
        <f t="shared" si="0"/>
        <v>-0.52303254663857601</v>
      </c>
    </row>
    <row r="19" spans="1:27" ht="15.75" thickBot="1" x14ac:dyDescent="0.3">
      <c r="A19" s="7" t="s">
        <v>4</v>
      </c>
      <c r="B19" s="19">
        <f>B10/$G$10</f>
        <v>6.3759264421935316E-2</v>
      </c>
      <c r="C19" s="19">
        <f t="shared" ref="C19:G19" si="16">C10/$G$10</f>
        <v>0.33072918903869208</v>
      </c>
      <c r="D19" s="19">
        <f t="shared" si="16"/>
        <v>0.37070496457845997</v>
      </c>
      <c r="E19" s="19">
        <f t="shared" si="16"/>
        <v>0.16925880593231515</v>
      </c>
      <c r="F19" s="19">
        <f t="shared" si="16"/>
        <v>6.5547776028597404E-2</v>
      </c>
      <c r="G19" s="19">
        <f t="shared" si="16"/>
        <v>1</v>
      </c>
      <c r="I19" s="7" t="s">
        <v>4</v>
      </c>
      <c r="J19" s="19">
        <f>J10/$O$10</f>
        <v>6.3693355423642739E-2</v>
      </c>
      <c r="K19" s="19">
        <f t="shared" ref="K19:N19" si="17">K10/$O$10</f>
        <v>0.33334443399132485</v>
      </c>
      <c r="L19" s="19">
        <f t="shared" si="17"/>
        <v>0.36759884442150309</v>
      </c>
      <c r="M19" s="19">
        <f t="shared" si="17"/>
        <v>0.16944210868099208</v>
      </c>
      <c r="N19" s="19">
        <f t="shared" si="17"/>
        <v>6.5921257482537271E-2</v>
      </c>
      <c r="O19" s="19">
        <f t="shared" ref="O19" si="18">SUM(J19:N19)</f>
        <v>1</v>
      </c>
      <c r="Q19">
        <v>14</v>
      </c>
      <c r="R19" t="s">
        <v>102</v>
      </c>
      <c r="S19" s="97">
        <f t="shared" si="3"/>
        <v>-1.1261276811700001</v>
      </c>
      <c r="T19" s="94">
        <f>C18/K18</f>
        <v>1.1013798103387753</v>
      </c>
      <c r="U19" s="97">
        <f t="shared" si="4"/>
        <v>9.9210049809537432E-2</v>
      </c>
      <c r="V19" s="97">
        <f t="shared" si="5"/>
        <v>-1.0269176313604627</v>
      </c>
      <c r="X19" s="96">
        <v>18</v>
      </c>
      <c r="Y19" s="96" t="s">
        <v>52</v>
      </c>
      <c r="Z19" s="100">
        <f>VehAvailCoefficient!E27</f>
        <v>0.39953921787000002</v>
      </c>
      <c r="AA19" s="99">
        <f t="shared" si="0"/>
        <v>0.39953921787000002</v>
      </c>
    </row>
    <row r="20" spans="1:27" x14ac:dyDescent="0.25">
      <c r="Q20">
        <v>15</v>
      </c>
      <c r="R20" t="s">
        <v>102</v>
      </c>
      <c r="S20" s="97">
        <f t="shared" si="3"/>
        <v>-1.6372198765899999</v>
      </c>
      <c r="T20" s="94">
        <f>D18/L18</f>
        <v>1.0821512909086013</v>
      </c>
      <c r="U20" s="97">
        <f t="shared" si="4"/>
        <v>8.1597278927193179E-2</v>
      </c>
      <c r="V20" s="97">
        <f t="shared" si="5"/>
        <v>-1.5556225976628066</v>
      </c>
      <c r="X20">
        <v>19</v>
      </c>
      <c r="Y20" t="s">
        <v>53</v>
      </c>
      <c r="Z20" s="98">
        <f>VehAvailCoefficient!E28</f>
        <v>0.69903044631199995</v>
      </c>
      <c r="AA20" s="99">
        <v>0.69903044631199995</v>
      </c>
    </row>
    <row r="21" spans="1:27" x14ac:dyDescent="0.25">
      <c r="Q21">
        <v>16</v>
      </c>
      <c r="R21" t="s">
        <v>102</v>
      </c>
      <c r="S21" s="97">
        <f t="shared" si="3"/>
        <v>-0.59991414110999997</v>
      </c>
      <c r="T21" s="94">
        <f>E18/M18</f>
        <v>1.0770602202630892</v>
      </c>
      <c r="U21" s="97">
        <f t="shared" si="4"/>
        <v>7.6881594471423953E-2</v>
      </c>
      <c r="V21" s="97">
        <f t="shared" si="5"/>
        <v>-0.52303254663857601</v>
      </c>
      <c r="X21">
        <v>20</v>
      </c>
      <c r="Y21" t="s">
        <v>54</v>
      </c>
      <c r="Z21" s="98">
        <f>VehAvailCoefficient!E29</f>
        <v>0.32485446959800002</v>
      </c>
      <c r="AA21" s="99">
        <v>0.32485446959800002</v>
      </c>
    </row>
    <row r="22" spans="1:27" ht="15.75" thickBot="1" x14ac:dyDescent="0.3">
      <c r="Q22" s="101">
        <v>18</v>
      </c>
      <c r="R22" s="104" t="s">
        <v>173</v>
      </c>
      <c r="S22" s="102">
        <f t="shared" si="3"/>
        <v>0.39953921787000002</v>
      </c>
      <c r="T22" s="103">
        <f>(C15+D16+E17+F18)/(K15+L16+M17+N18)</f>
        <v>0.99735721528189303</v>
      </c>
      <c r="U22" s="102">
        <f t="shared" si="4"/>
        <v>0</v>
      </c>
      <c r="V22" s="102">
        <f t="shared" si="5"/>
        <v>0.39953921787000002</v>
      </c>
      <c r="X22">
        <v>22</v>
      </c>
      <c r="Y22" t="s">
        <v>55</v>
      </c>
      <c r="Z22" s="98">
        <f>VehAvailCoefficient!E30</f>
        <v>-0.43856128772000003</v>
      </c>
      <c r="AA22" s="99">
        <v>-0.43856128772000003</v>
      </c>
    </row>
    <row r="23" spans="1:27" x14ac:dyDescent="0.25">
      <c r="X23">
        <v>24</v>
      </c>
      <c r="Y23" t="s">
        <v>56</v>
      </c>
      <c r="Z23" s="98">
        <f>VehAvailCoefficient!E31</f>
        <v>0.239019734309</v>
      </c>
      <c r="AA23" s="99">
        <v>0.239019734309</v>
      </c>
    </row>
    <row r="24" spans="1:27" x14ac:dyDescent="0.25">
      <c r="X24">
        <v>25</v>
      </c>
      <c r="Y24" t="s">
        <v>57</v>
      </c>
      <c r="Z24" s="98">
        <f>VehAvailCoefficient!E32</f>
        <v>-0.30115653367700002</v>
      </c>
      <c r="AA24" s="99">
        <v>-0.30115653367700002</v>
      </c>
    </row>
    <row r="25" spans="1:27" x14ac:dyDescent="0.25">
      <c r="X25">
        <v>26</v>
      </c>
      <c r="Y25" t="s">
        <v>58</v>
      </c>
      <c r="Z25" s="98">
        <f>VehAvailCoefficient!E33</f>
        <v>-0.56373515910799998</v>
      </c>
      <c r="AA25" s="99">
        <v>-0.56373515910799998</v>
      </c>
    </row>
    <row r="26" spans="1:27" x14ac:dyDescent="0.25">
      <c r="X26">
        <v>28</v>
      </c>
      <c r="Y26" t="s">
        <v>59</v>
      </c>
      <c r="Z26" s="98">
        <f>VehAvailCoefficient!E34</f>
        <v>0.31959884056900001</v>
      </c>
      <c r="AA26" s="99">
        <v>0.31959884056900001</v>
      </c>
    </row>
    <row r="27" spans="1:27" x14ac:dyDescent="0.25">
      <c r="X27">
        <v>29</v>
      </c>
      <c r="Y27" t="s">
        <v>60</v>
      </c>
      <c r="Z27" s="98">
        <f>VehAvailCoefficient!E35</f>
        <v>0.57068696704599997</v>
      </c>
      <c r="AA27" s="99">
        <v>0.57068696704599997</v>
      </c>
    </row>
    <row r="28" spans="1:27" x14ac:dyDescent="0.25">
      <c r="X28">
        <v>31</v>
      </c>
      <c r="Y28" t="s">
        <v>61</v>
      </c>
      <c r="Z28" s="98">
        <f>VehAvailCoefficient!E36</f>
        <v>2.9250059989500001</v>
      </c>
      <c r="AA28" s="99">
        <v>2.9250059989500001</v>
      </c>
    </row>
    <row r="29" spans="1:27" x14ac:dyDescent="0.25">
      <c r="X29">
        <v>32</v>
      </c>
      <c r="Y29" t="s">
        <v>62</v>
      </c>
      <c r="Z29" s="98">
        <f>VehAvailCoefficient!E37</f>
        <v>1.2969669216299999</v>
      </c>
      <c r="AA29" s="99">
        <v>1.2969669216299999</v>
      </c>
    </row>
    <row r="30" spans="1:27" x14ac:dyDescent="0.25">
      <c r="X30">
        <v>34</v>
      </c>
      <c r="Y30" t="s">
        <v>63</v>
      </c>
      <c r="Z30" s="98">
        <f>VehAvailCoefficient!E38</f>
        <v>-2.59112200624</v>
      </c>
      <c r="AA30" s="99">
        <v>-2.59112200624</v>
      </c>
    </row>
    <row r="31" spans="1:27" x14ac:dyDescent="0.25">
      <c r="X31">
        <v>35</v>
      </c>
      <c r="Y31" t="s">
        <v>64</v>
      </c>
      <c r="Z31" s="98">
        <f>VehAvailCoefficient!E39</f>
        <v>-1.0636437007299999</v>
      </c>
      <c r="AA31" s="99">
        <v>-1.0636437007299999</v>
      </c>
    </row>
    <row r="32" spans="1:27" x14ac:dyDescent="0.25">
      <c r="X32">
        <v>36</v>
      </c>
      <c r="Y32" t="s">
        <v>65</v>
      </c>
      <c r="Z32" s="98">
        <f>VehAvailCoefficient!E40</f>
        <v>-0.53660640919000002</v>
      </c>
      <c r="AA32" s="99">
        <v>-0.53660640919000002</v>
      </c>
    </row>
    <row r="33" spans="24:27" x14ac:dyDescent="0.25">
      <c r="X33">
        <v>37</v>
      </c>
      <c r="Y33" t="s">
        <v>66</v>
      </c>
      <c r="Z33" s="98">
        <f>VehAvailCoefficient!E41</f>
        <v>0.28589368992800002</v>
      </c>
      <c r="AA33" s="99">
        <v>0.28589368992800002</v>
      </c>
    </row>
    <row r="34" spans="24:27" x14ac:dyDescent="0.25">
      <c r="X34">
        <v>38</v>
      </c>
      <c r="Y34" t="s">
        <v>67</v>
      </c>
      <c r="Z34" s="98">
        <f>VehAvailCoefficient!E42</f>
        <v>0.64783551265499995</v>
      </c>
      <c r="AA34" s="99">
        <v>0.64783551265499995</v>
      </c>
    </row>
    <row r="35" spans="24:27" x14ac:dyDescent="0.25">
      <c r="X35">
        <v>41</v>
      </c>
      <c r="Y35" t="s">
        <v>68</v>
      </c>
      <c r="Z35" s="98">
        <f>VehAvailCoefficient!E43</f>
        <v>-0.47288768158</v>
      </c>
      <c r="AA35" s="99">
        <v>-0.47288768158</v>
      </c>
    </row>
    <row r="36" spans="24:27" x14ac:dyDescent="0.25">
      <c r="X36">
        <v>42</v>
      </c>
      <c r="Y36" t="s">
        <v>69</v>
      </c>
      <c r="Z36" s="98">
        <f>VehAvailCoefficient!E44</f>
        <v>-1.73045435445</v>
      </c>
      <c r="AA36" s="99">
        <v>-1.73045435445</v>
      </c>
    </row>
    <row r="37" spans="24:27" x14ac:dyDescent="0.25">
      <c r="X37">
        <v>43</v>
      </c>
      <c r="Y37" t="s">
        <v>70</v>
      </c>
      <c r="Z37" s="98">
        <f>VehAvailCoefficient!E45</f>
        <v>2.0718120356499998</v>
      </c>
      <c r="AA37" s="99">
        <v>2.0718120356499998</v>
      </c>
    </row>
    <row r="38" spans="24:27" x14ac:dyDescent="0.25">
      <c r="X38">
        <v>44</v>
      </c>
      <c r="Y38" t="s">
        <v>71</v>
      </c>
      <c r="Z38" s="98">
        <f>VehAvailCoefficient!E46</f>
        <v>0.60728378971399999</v>
      </c>
      <c r="AA38" s="99">
        <v>0.60728378971399999</v>
      </c>
    </row>
    <row r="39" spans="24:27" x14ac:dyDescent="0.25">
      <c r="X39">
        <v>45</v>
      </c>
      <c r="Y39" t="s">
        <v>72</v>
      </c>
      <c r="Z39" s="98">
        <f>VehAvailCoefficient!E47</f>
        <v>-0.71462161389500001</v>
      </c>
      <c r="AA39" s="99">
        <v>-0.71462161389500001</v>
      </c>
    </row>
    <row r="40" spans="24:27" x14ac:dyDescent="0.25">
      <c r="X40">
        <v>46</v>
      </c>
      <c r="Y40" t="s">
        <v>73</v>
      </c>
      <c r="Z40" s="98">
        <f>VehAvailCoefficient!E48</f>
        <v>-1.4356778668800001</v>
      </c>
      <c r="AA40" s="99">
        <v>-1.4356778668800001</v>
      </c>
    </row>
    <row r="41" spans="24:27" x14ac:dyDescent="0.25">
      <c r="X41">
        <v>47</v>
      </c>
      <c r="Y41" t="s">
        <v>74</v>
      </c>
      <c r="Z41" s="98">
        <f>VehAvailCoefficient!E49</f>
        <v>-1.45349726543</v>
      </c>
      <c r="AA41" s="99">
        <v>-1.45349726543</v>
      </c>
    </row>
    <row r="42" spans="24:27" x14ac:dyDescent="0.25">
      <c r="X42">
        <v>48</v>
      </c>
      <c r="Y42" t="s">
        <v>75</v>
      </c>
      <c r="Z42" s="98">
        <f>VehAvailCoefficient!E50</f>
        <v>-1.0930755785699999</v>
      </c>
      <c r="AA42" s="99">
        <v>-1.0930755785699999</v>
      </c>
    </row>
    <row r="43" spans="24:27" x14ac:dyDescent="0.25">
      <c r="X43">
        <v>49</v>
      </c>
      <c r="Y43" t="s">
        <v>76</v>
      </c>
      <c r="Z43" s="98">
        <f>VehAvailCoefficient!E51</f>
        <v>0.14078168516299999</v>
      </c>
      <c r="AA43" s="99">
        <v>0.14078168516299999</v>
      </c>
    </row>
    <row r="44" spans="24:27" x14ac:dyDescent="0.25">
      <c r="X44">
        <v>50</v>
      </c>
      <c r="Y44" t="s">
        <v>77</v>
      </c>
      <c r="Z44" s="98">
        <f>VehAvailCoefficient!E52</f>
        <v>0.188609995585</v>
      </c>
      <c r="AA44" s="99">
        <v>0.188609995585</v>
      </c>
    </row>
    <row r="45" spans="24:27" x14ac:dyDescent="0.25">
      <c r="X45">
        <v>51</v>
      </c>
      <c r="Y45" t="s">
        <v>78</v>
      </c>
      <c r="Z45" s="98">
        <f>VehAvailCoefficient!E53</f>
        <v>-0.58492078305700002</v>
      </c>
      <c r="AA45" s="99">
        <v>-0.58492078305700002</v>
      </c>
    </row>
    <row r="46" spans="24:27" x14ac:dyDescent="0.25">
      <c r="X46">
        <v>52</v>
      </c>
      <c r="Y46" t="s">
        <v>79</v>
      </c>
      <c r="Z46" s="98">
        <f>VehAvailCoefficient!E54</f>
        <v>-1.0058660612699999</v>
      </c>
      <c r="AA46" s="99">
        <v>-1.0058660612699999</v>
      </c>
    </row>
    <row r="47" spans="24:27" x14ac:dyDescent="0.25">
      <c r="X47">
        <v>53</v>
      </c>
      <c r="Y47" t="s">
        <v>80</v>
      </c>
      <c r="Z47" s="98">
        <f>VehAvailCoefficient!E55</f>
        <v>0.22559840834</v>
      </c>
      <c r="AA47" s="99">
        <v>0.22559840834</v>
      </c>
    </row>
    <row r="48" spans="24:27" x14ac:dyDescent="0.25">
      <c r="X48">
        <v>54</v>
      </c>
      <c r="Y48" t="s">
        <v>81</v>
      </c>
      <c r="Z48" s="98">
        <f>VehAvailCoefficient!E56</f>
        <v>0.34302043279099997</v>
      </c>
      <c r="AA48" s="99">
        <v>0.34302043279099997</v>
      </c>
    </row>
    <row r="49" spans="24:27" x14ac:dyDescent="0.25">
      <c r="X49">
        <v>55</v>
      </c>
      <c r="Y49" t="s">
        <v>82</v>
      </c>
      <c r="Z49" s="98">
        <f>VehAvailCoefficient!E57</f>
        <v>-0.53538167154600003</v>
      </c>
      <c r="AA49" s="99">
        <v>-0.53538167154600003</v>
      </c>
    </row>
    <row r="50" spans="24:27" x14ac:dyDescent="0.25">
      <c r="X50">
        <v>56</v>
      </c>
      <c r="Y50" t="s">
        <v>83</v>
      </c>
      <c r="Z50" s="98">
        <f>VehAvailCoefficient!E58</f>
        <v>-0.52697142353899995</v>
      </c>
      <c r="AA50" s="99">
        <v>-0.52697142353899995</v>
      </c>
    </row>
    <row r="51" spans="24:27" x14ac:dyDescent="0.25">
      <c r="X51">
        <v>57</v>
      </c>
      <c r="Y51" t="s">
        <v>84</v>
      </c>
      <c r="Z51" s="98">
        <f>VehAvailCoefficient!E59</f>
        <v>0.21517789340999999</v>
      </c>
      <c r="AA51" s="99">
        <v>0.21517789340999999</v>
      </c>
    </row>
    <row r="52" spans="24:27" x14ac:dyDescent="0.25">
      <c r="X52">
        <v>58</v>
      </c>
      <c r="Y52" t="s">
        <v>85</v>
      </c>
      <c r="Z52" s="98">
        <f>VehAvailCoefficient!E60</f>
        <v>-0.978212790971</v>
      </c>
      <c r="AA52" s="99">
        <v>-0.978212790971</v>
      </c>
    </row>
    <row r="53" spans="24:27" x14ac:dyDescent="0.25">
      <c r="X53">
        <v>59</v>
      </c>
      <c r="Y53" t="s">
        <v>86</v>
      </c>
      <c r="Z53" s="98">
        <f>VehAvailCoefficient!E61</f>
        <v>-0.42495698544999999</v>
      </c>
      <c r="AA53" s="99">
        <v>-0.42495698544999999</v>
      </c>
    </row>
    <row r="54" spans="24:27" x14ac:dyDescent="0.25">
      <c r="X54">
        <v>60</v>
      </c>
      <c r="Y54" t="s">
        <v>87</v>
      </c>
      <c r="Z54" s="98">
        <f>VehAvailCoefficient!E62</f>
        <v>-0.11124462416</v>
      </c>
      <c r="AA54" s="99">
        <v>-0.11124462416</v>
      </c>
    </row>
    <row r="55" spans="24:27" x14ac:dyDescent="0.25">
      <c r="X55">
        <v>63</v>
      </c>
      <c r="Y55" t="s">
        <v>88</v>
      </c>
      <c r="Z55" s="98">
        <f>VehAvailCoefficient!E63</f>
        <v>-1.2627495896200001</v>
      </c>
      <c r="AA55" s="99">
        <v>-1.2627495896200001</v>
      </c>
    </row>
    <row r="56" spans="24:27" x14ac:dyDescent="0.25">
      <c r="X56">
        <v>69</v>
      </c>
      <c r="Y56" t="s">
        <v>89</v>
      </c>
      <c r="Z56" s="98">
        <f>VehAvailCoefficient!E64</f>
        <v>-0.182881856812</v>
      </c>
      <c r="AA56" s="99">
        <v>-0.182881856812</v>
      </c>
    </row>
    <row r="57" spans="24:27" x14ac:dyDescent="0.25">
      <c r="X57">
        <v>72</v>
      </c>
      <c r="Y57" t="s">
        <v>90</v>
      </c>
      <c r="Z57" s="98">
        <f>VehAvailCoefficient!E65</f>
        <v>0.14811075420100001</v>
      </c>
      <c r="AA57" s="99">
        <v>0.14811075420100001</v>
      </c>
    </row>
    <row r="58" spans="24:27" x14ac:dyDescent="0.25">
      <c r="X58">
        <v>73</v>
      </c>
      <c r="Y58" t="s">
        <v>91</v>
      </c>
      <c r="Z58" s="98">
        <f>VehAvailCoefficient!E66</f>
        <v>7.1458236224400005E-4</v>
      </c>
      <c r="AA58" s="99">
        <v>7.1458236224400005E-4</v>
      </c>
    </row>
    <row r="59" spans="24:27" x14ac:dyDescent="0.25">
      <c r="X59">
        <v>75</v>
      </c>
      <c r="Y59" t="s">
        <v>92</v>
      </c>
      <c r="Z59" s="98">
        <f>VehAvailCoefficient!E67</f>
        <v>0.29597958689600001</v>
      </c>
      <c r="AA59" s="99">
        <v>0.29597958689600001</v>
      </c>
    </row>
    <row r="60" spans="24:27" x14ac:dyDescent="0.25">
      <c r="X60">
        <v>76</v>
      </c>
      <c r="Y60" t="s">
        <v>93</v>
      </c>
      <c r="Z60" s="98">
        <f>VehAvailCoefficient!E68</f>
        <v>0.19796492273399999</v>
      </c>
      <c r="AA60" s="99">
        <v>0.19796492273399999</v>
      </c>
    </row>
    <row r="61" spans="24:27" x14ac:dyDescent="0.25">
      <c r="X61">
        <v>77</v>
      </c>
      <c r="Y61" t="s">
        <v>94</v>
      </c>
      <c r="Z61" s="98">
        <f>VehAvailCoefficient!E69</f>
        <v>0.27817460170199998</v>
      </c>
      <c r="AA61" s="99">
        <v>0.27817460170199998</v>
      </c>
    </row>
    <row r="62" spans="24:27" x14ac:dyDescent="0.25">
      <c r="X62">
        <v>83</v>
      </c>
      <c r="Y62" t="s">
        <v>95</v>
      </c>
      <c r="Z62" s="98">
        <f>VehAvailCoefficient!E70</f>
        <v>-0.77256225305799997</v>
      </c>
      <c r="AA62" s="99">
        <v>-0.77256225305799997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2015-04-30T16:44:33Z</dcterms:modified>
</cp:coreProperties>
</file>