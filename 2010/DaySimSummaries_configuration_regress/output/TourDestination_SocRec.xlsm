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050" yWindow="-15" windowWidth="14190" windowHeight="10695" activeTab="2"/>
  </bookViews>
  <sheets>
    <sheet name="TLFD" sheetId="3" r:id="rId1"/>
    <sheet name="TDFD" sheetId="4" r:id="rId2"/>
    <sheet name="County_Flow" sheetId="1" r:id="rId3"/>
    <sheet name="Documentation" sheetId="5" r:id="rId4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45621"/>
</workbook>
</file>

<file path=xl/calcChain.xml><?xml version="1.0" encoding="utf-8"?>
<calcChain xmlns="http://schemas.openxmlformats.org/spreadsheetml/2006/main">
  <c r="H15" i="1" l="1"/>
  <c r="J13" i="1"/>
  <c r="S15" i="1" l="1"/>
  <c r="U13" i="1"/>
  <c r="S28" i="1" l="1"/>
  <c r="U26" i="1"/>
  <c r="S21" i="1"/>
  <c r="S22" i="1"/>
  <c r="S23" i="1"/>
  <c r="S24" i="1"/>
  <c r="S25" i="1"/>
  <c r="S26" i="1"/>
  <c r="S20" i="1"/>
  <c r="N26" i="1"/>
  <c r="O26" i="1"/>
  <c r="P26" i="1"/>
  <c r="Q26" i="1"/>
  <c r="R26" i="1"/>
  <c r="M26" i="1"/>
  <c r="J27" i="1"/>
  <c r="C26" i="1"/>
  <c r="D26" i="1"/>
  <c r="E26" i="1"/>
  <c r="F26" i="1"/>
  <c r="G26" i="1"/>
  <c r="H26" i="1"/>
  <c r="B26" i="1"/>
  <c r="W39" i="1"/>
  <c r="L39" i="1"/>
  <c r="A39" i="1"/>
  <c r="L26" i="1"/>
  <c r="A26" i="1"/>
  <c r="L13" i="1"/>
  <c r="AD32" i="1"/>
  <c r="S32" i="1"/>
  <c r="H32" i="1"/>
  <c r="S19" i="1"/>
  <c r="H19" i="1"/>
  <c r="S6" i="1"/>
  <c r="H6" i="1"/>
  <c r="J26" i="1" l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F15" i="1"/>
  <c r="G15" i="1"/>
  <c r="J10" i="1"/>
  <c r="J11" i="1"/>
  <c r="J12" i="1"/>
  <c r="H24" i="1" l="1"/>
  <c r="H23" i="1"/>
  <c r="H25" i="1"/>
  <c r="I28" i="1"/>
  <c r="U25" i="1"/>
  <c r="R25" i="1"/>
  <c r="Q25" i="1"/>
  <c r="P25" i="1"/>
  <c r="O25" i="1"/>
  <c r="N25" i="1"/>
  <c r="M25" i="1"/>
  <c r="G25" i="1"/>
  <c r="F25" i="1"/>
  <c r="E25" i="1"/>
  <c r="D25" i="1"/>
  <c r="C25" i="1"/>
  <c r="B25" i="1"/>
  <c r="J25" i="1" s="1"/>
  <c r="U24" i="1"/>
  <c r="R24" i="1"/>
  <c r="Q24" i="1"/>
  <c r="P24" i="1"/>
  <c r="O24" i="1"/>
  <c r="N24" i="1"/>
  <c r="M24" i="1"/>
  <c r="G24" i="1"/>
  <c r="F24" i="1"/>
  <c r="E24" i="1"/>
  <c r="D24" i="1"/>
  <c r="C24" i="1"/>
  <c r="B24" i="1"/>
  <c r="J24" i="1" s="1"/>
  <c r="U23" i="1"/>
  <c r="R23" i="1"/>
  <c r="Q23" i="1"/>
  <c r="P23" i="1"/>
  <c r="O23" i="1"/>
  <c r="N23" i="1"/>
  <c r="M23" i="1"/>
  <c r="G23" i="1"/>
  <c r="F23" i="1"/>
  <c r="E23" i="1"/>
  <c r="D23" i="1"/>
  <c r="C23" i="1"/>
  <c r="B23" i="1"/>
  <c r="J23" i="1" s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H22" i="1" l="1"/>
  <c r="U20" i="1"/>
  <c r="H20" i="1"/>
  <c r="U21" i="1"/>
  <c r="H21" i="1"/>
  <c r="B21" i="1"/>
  <c r="C21" i="1"/>
  <c r="J15" i="1"/>
  <c r="B22" i="1"/>
  <c r="D21" i="1"/>
  <c r="E21" i="1"/>
  <c r="F21" i="1"/>
  <c r="G21" i="1"/>
  <c r="F22" i="1"/>
  <c r="B20" i="1"/>
  <c r="E20" i="1"/>
  <c r="C22" i="1"/>
  <c r="D22" i="1"/>
  <c r="U15" i="1"/>
  <c r="U28" i="1" s="1"/>
  <c r="G22" i="1"/>
  <c r="F20" i="1"/>
  <c r="F28" i="1" s="1"/>
  <c r="U22" i="1"/>
  <c r="D20" i="1"/>
  <c r="G20" i="1"/>
  <c r="G28" i="1" s="1"/>
  <c r="E22" i="1"/>
  <c r="C20" i="1"/>
  <c r="F102" i="4"/>
  <c r="G101" i="4" s="1"/>
  <c r="B102" i="4"/>
  <c r="C102" i="4" s="1"/>
  <c r="F102" i="3"/>
  <c r="G101" i="3" s="1"/>
  <c r="B102" i="3"/>
  <c r="C14" i="3" s="1"/>
  <c r="S41" i="1" l="1"/>
  <c r="P39" i="1"/>
  <c r="Q39" i="1"/>
  <c r="R39" i="1"/>
  <c r="M39" i="1"/>
  <c r="S34" i="1"/>
  <c r="S35" i="1"/>
  <c r="S33" i="1"/>
  <c r="O39" i="1"/>
  <c r="S39" i="1"/>
  <c r="S37" i="1"/>
  <c r="N39" i="1"/>
  <c r="S38" i="1"/>
  <c r="U39" i="1"/>
  <c r="S36" i="1"/>
  <c r="H28" i="1"/>
  <c r="J21" i="1"/>
  <c r="O36" i="1"/>
  <c r="R41" i="1"/>
  <c r="Q41" i="1"/>
  <c r="O41" i="1"/>
  <c r="N41" i="1"/>
  <c r="R34" i="1"/>
  <c r="U35" i="1"/>
  <c r="Q36" i="1"/>
  <c r="Q38" i="1"/>
  <c r="M34" i="1"/>
  <c r="R36" i="1"/>
  <c r="N37" i="1"/>
  <c r="P35" i="1"/>
  <c r="M37" i="1"/>
  <c r="Q35" i="1"/>
  <c r="O37" i="1"/>
  <c r="O35" i="1"/>
  <c r="U41" i="1"/>
  <c r="T41" i="1"/>
  <c r="U37" i="1"/>
  <c r="R37" i="1"/>
  <c r="R35" i="1"/>
  <c r="P37" i="1"/>
  <c r="N35" i="1"/>
  <c r="O38" i="1"/>
  <c r="Q37" i="1"/>
  <c r="N38" i="1"/>
  <c r="M35" i="1"/>
  <c r="M38" i="1"/>
  <c r="E28" i="1"/>
  <c r="Q33" i="1"/>
  <c r="P36" i="1"/>
  <c r="N36" i="1"/>
  <c r="R38" i="1"/>
  <c r="Q34" i="1"/>
  <c r="M36" i="1"/>
  <c r="O34" i="1"/>
  <c r="M33" i="1"/>
  <c r="R33" i="1"/>
  <c r="J22" i="1"/>
  <c r="O33" i="1"/>
  <c r="C28" i="1"/>
  <c r="N33" i="1"/>
  <c r="P41" i="1"/>
  <c r="D28" i="1"/>
  <c r="P38" i="1"/>
  <c r="J20" i="1"/>
  <c r="B28" i="1"/>
  <c r="P33" i="1"/>
  <c r="U38" i="1"/>
  <c r="U34" i="1"/>
  <c r="M41" i="1"/>
  <c r="U33" i="1"/>
  <c r="N34" i="1"/>
  <c r="P34" i="1"/>
  <c r="U36" i="1"/>
  <c r="G11" i="4"/>
  <c r="G39" i="4"/>
  <c r="G15" i="4"/>
  <c r="C30" i="4"/>
  <c r="C54" i="4"/>
  <c r="C26" i="4"/>
  <c r="C46" i="4"/>
  <c r="G31" i="4"/>
  <c r="C14" i="4"/>
  <c r="C38" i="4"/>
  <c r="C22" i="4"/>
  <c r="C42" i="4"/>
  <c r="C58" i="4"/>
  <c r="C18" i="4"/>
  <c r="C34" i="4"/>
  <c r="C50" i="4"/>
  <c r="C62" i="4"/>
  <c r="C75" i="4"/>
  <c r="C13" i="4"/>
  <c r="C17" i="4"/>
  <c r="C21" i="4"/>
  <c r="C25" i="4"/>
  <c r="C29" i="4"/>
  <c r="C33" i="4"/>
  <c r="C37" i="4"/>
  <c r="C41" i="4"/>
  <c r="C45" i="4"/>
  <c r="C49" i="4"/>
  <c r="C53" i="4"/>
  <c r="C57" i="4"/>
  <c r="C61" i="4"/>
  <c r="C65" i="4"/>
  <c r="C71" i="4"/>
  <c r="C99" i="4"/>
  <c r="G27" i="4"/>
  <c r="G47" i="4"/>
  <c r="C66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87" i="4"/>
  <c r="G23" i="4"/>
  <c r="G43" i="4"/>
  <c r="C11" i="4"/>
  <c r="C15" i="4"/>
  <c r="C19" i="4"/>
  <c r="C23" i="4"/>
  <c r="C27" i="4"/>
  <c r="C31" i="4"/>
  <c r="C35" i="4"/>
  <c r="C39" i="4"/>
  <c r="C43" i="4"/>
  <c r="C47" i="4"/>
  <c r="C51" i="4"/>
  <c r="C55" i="4"/>
  <c r="C59" i="4"/>
  <c r="C63" i="4"/>
  <c r="C67" i="4"/>
  <c r="C83" i="4"/>
  <c r="G59" i="4"/>
  <c r="C73" i="4"/>
  <c r="C91" i="4"/>
  <c r="G19" i="4"/>
  <c r="G35" i="4"/>
  <c r="G51" i="4"/>
  <c r="C69" i="4"/>
  <c r="C79" i="4"/>
  <c r="C95" i="4"/>
  <c r="G13" i="4"/>
  <c r="G17" i="4"/>
  <c r="G21" i="4"/>
  <c r="G25" i="4"/>
  <c r="G29" i="4"/>
  <c r="G33" i="4"/>
  <c r="G37" i="4"/>
  <c r="G41" i="4"/>
  <c r="G45" i="4"/>
  <c r="G49" i="4"/>
  <c r="G53" i="4"/>
  <c r="G57" i="4"/>
  <c r="G61" i="4"/>
  <c r="G65" i="4"/>
  <c r="G69" i="4"/>
  <c r="G73" i="4"/>
  <c r="G77" i="4"/>
  <c r="G81" i="4"/>
  <c r="G85" i="4"/>
  <c r="G92" i="4"/>
  <c r="G102" i="4"/>
  <c r="G55" i="4"/>
  <c r="G63" i="4"/>
  <c r="G71" i="4"/>
  <c r="G83" i="4"/>
  <c r="G12" i="4"/>
  <c r="G16" i="4"/>
  <c r="G20" i="4"/>
  <c r="G24" i="4"/>
  <c r="G28" i="4"/>
  <c r="G32" i="4"/>
  <c r="G36" i="4"/>
  <c r="G40" i="4"/>
  <c r="G44" i="4"/>
  <c r="G48" i="4"/>
  <c r="G52" i="4"/>
  <c r="G56" i="4"/>
  <c r="G60" i="4"/>
  <c r="G64" i="4"/>
  <c r="G68" i="4"/>
  <c r="G72" i="4"/>
  <c r="G76" i="4"/>
  <c r="G80" i="4"/>
  <c r="G84" i="4"/>
  <c r="G90" i="4"/>
  <c r="G98" i="4"/>
  <c r="G67" i="4"/>
  <c r="G75" i="4"/>
  <c r="G79" i="4"/>
  <c r="G88" i="4"/>
  <c r="G96" i="4"/>
  <c r="G14" i="4"/>
  <c r="G18" i="4"/>
  <c r="G22" i="4"/>
  <c r="G26" i="4"/>
  <c r="G30" i="4"/>
  <c r="G34" i="4"/>
  <c r="G38" i="4"/>
  <c r="G42" i="4"/>
  <c r="G46" i="4"/>
  <c r="G50" i="4"/>
  <c r="G54" i="4"/>
  <c r="G58" i="4"/>
  <c r="G62" i="4"/>
  <c r="G66" i="4"/>
  <c r="G70" i="4"/>
  <c r="G74" i="4"/>
  <c r="G78" i="4"/>
  <c r="G82" i="4"/>
  <c r="G86" i="4"/>
  <c r="G94" i="4"/>
  <c r="G87" i="4"/>
  <c r="G89" i="4"/>
  <c r="G91" i="4"/>
  <c r="G93" i="4"/>
  <c r="G95" i="4"/>
  <c r="G97" i="4"/>
  <c r="G100" i="4"/>
  <c r="C70" i="4"/>
  <c r="C72" i="4"/>
  <c r="C74" i="4"/>
  <c r="C77" i="4"/>
  <c r="C81" i="4"/>
  <c r="C85" i="4"/>
  <c r="C89" i="4"/>
  <c r="C93" i="4"/>
  <c r="C97" i="4"/>
  <c r="C101" i="4"/>
  <c r="G99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C13" i="3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J28" i="1" l="1"/>
  <c r="H39" i="1" l="1"/>
  <c r="AD39" i="1" s="1"/>
  <c r="D39" i="1"/>
  <c r="Z39" i="1" s="1"/>
  <c r="C39" i="1"/>
  <c r="Y39" i="1" s="1"/>
  <c r="F39" i="1"/>
  <c r="AB39" i="1" s="1"/>
  <c r="B39" i="1"/>
  <c r="X39" i="1" s="1"/>
  <c r="E39" i="1"/>
  <c r="AA39" i="1" s="1"/>
  <c r="G39" i="1"/>
  <c r="AC39" i="1" s="1"/>
  <c r="J39" i="1"/>
  <c r="AF39" i="1" s="1"/>
  <c r="H38" i="1"/>
  <c r="AD38" i="1" s="1"/>
  <c r="H37" i="1"/>
  <c r="AD37" i="1" s="1"/>
  <c r="H36" i="1"/>
  <c r="AD36" i="1" s="1"/>
  <c r="H33" i="1"/>
  <c r="AD33" i="1" s="1"/>
  <c r="H34" i="1"/>
  <c r="AD34" i="1" s="1"/>
  <c r="H35" i="1"/>
  <c r="AD35" i="1" s="1"/>
  <c r="H41" i="1"/>
  <c r="AD41" i="1" s="1"/>
  <c r="J33" i="1"/>
  <c r="AF33" i="1" s="1"/>
  <c r="G41" i="1"/>
  <c r="AC41" i="1" s="1"/>
  <c r="F41" i="1"/>
  <c r="AB41" i="1" s="1"/>
  <c r="C41" i="1"/>
  <c r="Y41" i="1" s="1"/>
  <c r="E41" i="1"/>
  <c r="AA41" i="1" s="1"/>
  <c r="D41" i="1"/>
  <c r="Z41" i="1" s="1"/>
  <c r="B41" i="1"/>
  <c r="X41" i="1" s="1"/>
  <c r="G38" i="1"/>
  <c r="AC38" i="1" s="1"/>
  <c r="F38" i="1"/>
  <c r="AB38" i="1" s="1"/>
  <c r="E38" i="1"/>
  <c r="AA38" i="1" s="1"/>
  <c r="G37" i="1"/>
  <c r="AC37" i="1" s="1"/>
  <c r="B37" i="1"/>
  <c r="X37" i="1" s="1"/>
  <c r="E37" i="1"/>
  <c r="AA37" i="1" s="1"/>
  <c r="G36" i="1"/>
  <c r="AC36" i="1" s="1"/>
  <c r="B36" i="1"/>
  <c r="X36" i="1" s="1"/>
  <c r="C36" i="1"/>
  <c r="Y36" i="1" s="1"/>
  <c r="C37" i="1"/>
  <c r="Y37" i="1" s="1"/>
  <c r="D37" i="1"/>
  <c r="Z37" i="1" s="1"/>
  <c r="J41" i="1"/>
  <c r="AF41" i="1" s="1"/>
  <c r="D34" i="1"/>
  <c r="Z34" i="1" s="1"/>
  <c r="J37" i="1"/>
  <c r="AF37" i="1" s="1"/>
  <c r="G34" i="1"/>
  <c r="AC34" i="1" s="1"/>
  <c r="C34" i="1"/>
  <c r="Y34" i="1" s="1"/>
  <c r="F34" i="1"/>
  <c r="AB34" i="1" s="1"/>
  <c r="F36" i="1"/>
  <c r="AB36" i="1" s="1"/>
  <c r="E34" i="1"/>
  <c r="AA34" i="1" s="1"/>
  <c r="E36" i="1"/>
  <c r="AA36" i="1" s="1"/>
  <c r="D36" i="1"/>
  <c r="Z36" i="1" s="1"/>
  <c r="B35" i="1"/>
  <c r="X35" i="1" s="1"/>
  <c r="D38" i="1"/>
  <c r="Z38" i="1" s="1"/>
  <c r="B38" i="1"/>
  <c r="X38" i="1" s="1"/>
  <c r="I41" i="1"/>
  <c r="J36" i="1"/>
  <c r="AF36" i="1" s="1"/>
  <c r="F37" i="1"/>
  <c r="AB37" i="1" s="1"/>
  <c r="B34" i="1"/>
  <c r="X34" i="1" s="1"/>
  <c r="C38" i="1"/>
  <c r="Y38" i="1" s="1"/>
  <c r="J38" i="1"/>
  <c r="AF38" i="1" s="1"/>
  <c r="G33" i="1"/>
  <c r="AC33" i="1" s="1"/>
  <c r="G35" i="1"/>
  <c r="AC35" i="1" s="1"/>
  <c r="C35" i="1"/>
  <c r="Y35" i="1" s="1"/>
  <c r="E35" i="1"/>
  <c r="AA35" i="1" s="1"/>
  <c r="E33" i="1"/>
  <c r="AA33" i="1" s="1"/>
  <c r="J34" i="1"/>
  <c r="AF34" i="1" s="1"/>
  <c r="C33" i="1"/>
  <c r="Y33" i="1" s="1"/>
  <c r="D33" i="1"/>
  <c r="Z33" i="1" s="1"/>
  <c r="F33" i="1"/>
  <c r="AB33" i="1" s="1"/>
  <c r="F35" i="1"/>
  <c r="AB35" i="1" s="1"/>
  <c r="D35" i="1"/>
  <c r="Z35" i="1" s="1"/>
  <c r="B33" i="1"/>
  <c r="X33" i="1" s="1"/>
  <c r="J35" i="1"/>
  <c r="AF35" i="1" s="1"/>
</calcChain>
</file>

<file path=xl/sharedStrings.xml><?xml version="1.0" encoding="utf-8"?>
<sst xmlns="http://schemas.openxmlformats.org/spreadsheetml/2006/main" count="103" uniqueCount="56">
  <si>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</si>
  <si>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</si>
  <si>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</si>
  <si>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</si>
  <si>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</si>
  <si>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</si>
  <si>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</si>
  <si>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</si>
  <si>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</si>
  <si>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</si>
  <si>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</si>
  <si>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</si>
  <si>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</si>
  <si>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</si>
  <si>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</si>
  <si>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</si>
  <si>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</si>
  <si>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</si>
  <si>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</si>
  <si>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</si>
  <si>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</si>
  <si>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</si>
  <si>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</si>
  <si>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</si>
  <si>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One of 5 time periods was first assigned to each tour half based on arrival time at and departure time from the primary tour destination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</si>
  <si>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</si>
  <si>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</si>
  <si>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</si>
  <si>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</si>
  <si>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</si>
  <si>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</si>
  <si>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</si>
  <si>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</si>
  <si>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</si>
  <si>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</si>
  <si>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</si>
  <si>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</si>
  <si>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</si>
  <si>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SocioRec Tour Flows by County: DaySim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</si>
  <si>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</si>
  <si>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</si>
  <si>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</si>
  <si>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</si>
  <si>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</si>
  <si>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</si>
  <si>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</si>
  <si>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 &amp; CTPP (2000 and/or ACS?), 4-county Jacksonville Region only</t>
  </si>
  <si>
    <t>Table X. Observed Trip Lengths: Survey</t>
  </si>
  <si>
    <t>Survey</t>
  </si>
  <si>
    <t>Observed Sources: Survey (2009), 4-county Jacksonville Region only</t>
  </si>
  <si>
    <t>Table X. Observed Trip Durations: Survey</t>
  </si>
  <si>
    <t>Observed Sources: Survey &amp; CTPP, 6-county Tampa Region only</t>
  </si>
  <si>
    <t>Table X. Observed SocioRec Tour Flows by County: Survey</t>
  </si>
  <si>
    <t>Table X. Adjusted SocioRec Tour Flows by County: Survey</t>
  </si>
  <si>
    <t>Table X. Adjusted Observed SocioRec Tour Flows by County: Survey</t>
  </si>
  <si>
    <t>Table X. SocioRec Tour Flows by County: (DaySim-Survey)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</si>
</sst>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</cellStyleXfs>
  <cellXfs count="38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64" fontId="0" fillId="0" borderId="4" xfId="0" applyNumberFormat="1" applyBorder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8.9789995404716147E-2</c:v>
                </c:pt>
                <c:pt idx="1">
                  <c:v>0.14785309780469763</c:v>
                </c:pt>
                <c:pt idx="2">
                  <c:v>0.13247243953328561</c:v>
                </c:pt>
                <c:pt idx="3">
                  <c:v>0.11537554565927219</c:v>
                </c:pt>
                <c:pt idx="4">
                  <c:v>0.10818729609596059</c:v>
                </c:pt>
                <c:pt idx="5">
                  <c:v>5.8371260207177186E-2</c:v>
                </c:pt>
                <c:pt idx="6">
                  <c:v>6.0858851106352523E-2</c:v>
                </c:pt>
                <c:pt idx="7">
                  <c:v>3.0876372534040551E-2</c:v>
                </c:pt>
                <c:pt idx="8">
                  <c:v>4.9667519758733028E-2</c:v>
                </c:pt>
                <c:pt idx="9">
                  <c:v>2.8736351112438187E-2</c:v>
                </c:pt>
                <c:pt idx="10">
                  <c:v>3.055667366610184E-2</c:v>
                </c:pt>
                <c:pt idx="11">
                  <c:v>1.9497228564703817E-2</c:v>
                </c:pt>
                <c:pt idx="12">
                  <c:v>1.7994587020366944E-2</c:v>
                </c:pt>
                <c:pt idx="13">
                  <c:v>9.5153572793696458E-3</c:v>
                </c:pt>
                <c:pt idx="14">
                  <c:v>2.4253469276043545E-2</c:v>
                </c:pt>
                <c:pt idx="15">
                  <c:v>1.0209659616556906E-2</c:v>
                </c:pt>
                <c:pt idx="16">
                  <c:v>5.9594275050263773E-3</c:v>
                </c:pt>
                <c:pt idx="17">
                  <c:v>4.1019035104578362E-3</c:v>
                </c:pt>
                <c:pt idx="18">
                  <c:v>2.6880569051330682E-3</c:v>
                </c:pt>
                <c:pt idx="19">
                  <c:v>2.6141057111955155E-3</c:v>
                </c:pt>
                <c:pt idx="20">
                  <c:v>8.3843715792251486E-3</c:v>
                </c:pt>
                <c:pt idx="21">
                  <c:v>1.6750699605889584E-3</c:v>
                </c:pt>
                <c:pt idx="22">
                  <c:v>5.7906943138242876E-3</c:v>
                </c:pt>
                <c:pt idx="23">
                  <c:v>4.9070825711335919E-3</c:v>
                </c:pt>
                <c:pt idx="24">
                  <c:v>5.7526902502226356E-3</c:v>
                </c:pt>
                <c:pt idx="25">
                  <c:v>1.5030010674168919E-3</c:v>
                </c:pt>
                <c:pt idx="26">
                  <c:v>1.4198508788056299E-3</c:v>
                </c:pt>
                <c:pt idx="27">
                  <c:v>5.7151316475449613E-4</c:v>
                </c:pt>
                <c:pt idx="28">
                  <c:v>1.0423135452309669E-3</c:v>
                </c:pt>
                <c:pt idx="29">
                  <c:v>3.0566907130264429E-4</c:v>
                </c:pt>
                <c:pt idx="30">
                  <c:v>0</c:v>
                </c:pt>
                <c:pt idx="31">
                  <c:v>2.6363551719493965E-3</c:v>
                </c:pt>
                <c:pt idx="32">
                  <c:v>6.0766888268174012E-3</c:v>
                </c:pt>
                <c:pt idx="33">
                  <c:v>6.1344867257230682E-4</c:v>
                </c:pt>
                <c:pt idx="34">
                  <c:v>2.9101161247818384E-3</c:v>
                </c:pt>
                <c:pt idx="35">
                  <c:v>0</c:v>
                </c:pt>
                <c:pt idx="36">
                  <c:v>1.3265968689047032E-3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1.3976630184493191E-4</c:v>
                </c:pt>
                <c:pt idx="41">
                  <c:v>4.0383893019134229E-3</c:v>
                </c:pt>
                <c:pt idx="42">
                  <c:v>5.4370940166404043E-4</c:v>
                </c:pt>
                <c:pt idx="43">
                  <c:v>4.5808254976174325E-4</c:v>
                </c:pt>
                <c:pt idx="44">
                  <c:v>0</c:v>
                </c:pt>
                <c:pt idx="45">
                  <c:v>0</c:v>
                </c:pt>
                <c:pt idx="46">
                  <c:v>3.2539210565533916E-4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7.5598518572385809E-2</c:v>
                </c:pt>
                <c:pt idx="1">
                  <c:v>0.12116332583615992</c:v>
                </c:pt>
                <c:pt idx="2">
                  <c:v>0.12715240731987304</c:v>
                </c:pt>
                <c:pt idx="3">
                  <c:v>0.12469028709152957</c:v>
                </c:pt>
                <c:pt idx="4">
                  <c:v>0.10291039232898913</c:v>
                </c:pt>
                <c:pt idx="5">
                  <c:v>8.3509508251219375E-2</c:v>
                </c:pt>
                <c:pt idx="6">
                  <c:v>6.251395980614699E-2</c:v>
                </c:pt>
                <c:pt idx="7">
                  <c:v>4.7164665977550035E-2</c:v>
                </c:pt>
                <c:pt idx="8">
                  <c:v>3.3924276817112256E-2</c:v>
                </c:pt>
                <c:pt idx="9">
                  <c:v>2.5265301246123719E-2</c:v>
                </c:pt>
                <c:pt idx="10">
                  <c:v>2.1847421266693329E-2</c:v>
                </c:pt>
                <c:pt idx="11">
                  <c:v>2.0060566079878661E-2</c:v>
                </c:pt>
                <c:pt idx="12">
                  <c:v>1.9296997148303786E-2</c:v>
                </c:pt>
                <c:pt idx="13">
                  <c:v>1.5806396318247221E-2</c:v>
                </c:pt>
                <c:pt idx="14">
                  <c:v>1.5286961670917374E-2</c:v>
                </c:pt>
                <c:pt idx="15">
                  <c:v>1.3318304357537256E-2</c:v>
                </c:pt>
                <c:pt idx="16">
                  <c:v>1.1614558714295361E-2</c:v>
                </c:pt>
                <c:pt idx="17">
                  <c:v>9.7445939839079145E-3</c:v>
                </c:pt>
                <c:pt idx="18">
                  <c:v>8.9342759340733553E-3</c:v>
                </c:pt>
                <c:pt idx="19">
                  <c:v>7.8590462141005721E-3</c:v>
                </c:pt>
                <c:pt idx="20">
                  <c:v>6.7526504152880008E-3</c:v>
                </c:pt>
                <c:pt idx="21">
                  <c:v>6.373463122737213E-3</c:v>
                </c:pt>
                <c:pt idx="22">
                  <c:v>5.183957780351865E-3</c:v>
                </c:pt>
                <c:pt idx="23">
                  <c:v>4.4827210064565725E-3</c:v>
                </c:pt>
                <c:pt idx="24">
                  <c:v>3.6256538383623266E-3</c:v>
                </c:pt>
                <c:pt idx="25">
                  <c:v>3.599682105995834E-3</c:v>
                </c:pt>
                <c:pt idx="26">
                  <c:v>3.2672439317047324E-3</c:v>
                </c:pt>
                <c:pt idx="27">
                  <c:v>2.597173236649231E-3</c:v>
                </c:pt>
                <c:pt idx="28">
                  <c:v>2.3426502594576064E-3</c:v>
                </c:pt>
                <c:pt idx="29">
                  <c:v>1.9219081951204308E-3</c:v>
                </c:pt>
                <c:pt idx="30">
                  <c:v>1.8803534233340431E-3</c:v>
                </c:pt>
                <c:pt idx="31">
                  <c:v>1.6725795644021047E-3</c:v>
                </c:pt>
                <c:pt idx="32">
                  <c:v>1.168727956492154E-3</c:v>
                </c:pt>
                <c:pt idx="33">
                  <c:v>1.1271731847057663E-3</c:v>
                </c:pt>
                <c:pt idx="34">
                  <c:v>1.0388692946596925E-3</c:v>
                </c:pt>
                <c:pt idx="35">
                  <c:v>7.4798589215497853E-4</c:v>
                </c:pt>
                <c:pt idx="36">
                  <c:v>7.3240285273508312E-4</c:v>
                </c:pt>
                <c:pt idx="37">
                  <c:v>6.3371026974241233E-4</c:v>
                </c:pt>
                <c:pt idx="38">
                  <c:v>5.9215549795602464E-4</c:v>
                </c:pt>
                <c:pt idx="39">
                  <c:v>3.1685513487120616E-4</c:v>
                </c:pt>
                <c:pt idx="40">
                  <c:v>4.5190814317696621E-4</c:v>
                </c:pt>
                <c:pt idx="41">
                  <c:v>3.428268672376985E-4</c:v>
                </c:pt>
                <c:pt idx="42">
                  <c:v>2.4413428424502771E-4</c:v>
                </c:pt>
                <c:pt idx="43">
                  <c:v>2.4932863071832619E-4</c:v>
                </c:pt>
                <c:pt idx="44">
                  <c:v>2.0777385893193848E-4</c:v>
                </c:pt>
                <c:pt idx="45">
                  <c:v>1.4544170125235694E-4</c:v>
                </c:pt>
                <c:pt idx="46">
                  <c:v>9.8692582992670778E-5</c:v>
                </c:pt>
                <c:pt idx="47">
                  <c:v>8.8303890046073855E-5</c:v>
                </c:pt>
                <c:pt idx="48">
                  <c:v>1.0388692946596924E-4</c:v>
                </c:pt>
                <c:pt idx="49">
                  <c:v>7.7915197099476932E-5</c:v>
                </c:pt>
                <c:pt idx="50">
                  <c:v>2.0777385893193848E-5</c:v>
                </c:pt>
                <c:pt idx="51">
                  <c:v>2.597173236649231E-5</c:v>
                </c:pt>
                <c:pt idx="52">
                  <c:v>1.5583039419895387E-5</c:v>
                </c:pt>
                <c:pt idx="53">
                  <c:v>5.1943464732984619E-5</c:v>
                </c:pt>
                <c:pt idx="54">
                  <c:v>2.597173236649231E-5</c:v>
                </c:pt>
                <c:pt idx="55">
                  <c:v>2.0777385893193848E-5</c:v>
                </c:pt>
                <c:pt idx="56">
                  <c:v>1.5583039419895387E-5</c:v>
                </c:pt>
                <c:pt idx="57">
                  <c:v>3.1166078839790774E-5</c:v>
                </c:pt>
                <c:pt idx="58">
                  <c:v>1.5583039419895387E-5</c:v>
                </c:pt>
                <c:pt idx="59">
                  <c:v>5.1943464732984621E-6</c:v>
                </c:pt>
                <c:pt idx="60">
                  <c:v>1.0388692946596924E-5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707072"/>
        <c:axId val="153829952"/>
      </c:lineChart>
      <c:catAx>
        <c:axId val="192707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29952"/>
        <c:crosses val="autoZero"/>
        <c:auto val="1"/>
        <c:lblAlgn val="ctr"/>
        <c:lblOffset val="100"/>
        <c:tickLblSkip val="10"/>
        <c:noMultiLvlLbl val="0"/>
      </c:catAx>
      <c:valAx>
        <c:axId val="15382995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27070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1.1378675406787626E-2</c:v>
                </c:pt>
                <c:pt idx="3">
                  <c:v>8.5458177486068279E-2</c:v>
                </c:pt>
                <c:pt idx="4">
                  <c:v>5.3278668170767859E-2</c:v>
                </c:pt>
                <c:pt idx="5">
                  <c:v>6.9040991582340006E-2</c:v>
                </c:pt>
                <c:pt idx="6">
                  <c:v>6.0522440475068912E-2</c:v>
                </c:pt>
                <c:pt idx="7">
                  <c:v>9.5176874800915579E-2</c:v>
                </c:pt>
                <c:pt idx="8">
                  <c:v>8.0609253538280162E-2</c:v>
                </c:pt>
                <c:pt idx="9">
                  <c:v>6.1219157893469114E-2</c:v>
                </c:pt>
                <c:pt idx="10">
                  <c:v>6.6491962663815407E-2</c:v>
                </c:pt>
                <c:pt idx="11">
                  <c:v>4.5129895948110427E-2</c:v>
                </c:pt>
                <c:pt idx="12">
                  <c:v>4.7051244502532889E-2</c:v>
                </c:pt>
                <c:pt idx="13">
                  <c:v>2.5495967445754678E-2</c:v>
                </c:pt>
                <c:pt idx="14">
                  <c:v>2.7306965357864761E-2</c:v>
                </c:pt>
                <c:pt idx="15">
                  <c:v>3.1450375048726671E-2</c:v>
                </c:pt>
                <c:pt idx="16">
                  <c:v>1.9437542546711244E-2</c:v>
                </c:pt>
                <c:pt idx="17">
                  <c:v>2.6475621137665072E-2</c:v>
                </c:pt>
                <c:pt idx="18">
                  <c:v>1.9614688344347528E-2</c:v>
                </c:pt>
                <c:pt idx="19">
                  <c:v>1.191032183771666E-2</c:v>
                </c:pt>
                <c:pt idx="20">
                  <c:v>2.1481777835369399E-2</c:v>
                </c:pt>
                <c:pt idx="21">
                  <c:v>1.1344126358370905E-2</c:v>
                </c:pt>
                <c:pt idx="22">
                  <c:v>2.3293918624528558E-2</c:v>
                </c:pt>
                <c:pt idx="23">
                  <c:v>1.1903716924576853E-2</c:v>
                </c:pt>
                <c:pt idx="24">
                  <c:v>1.3139437214190759E-2</c:v>
                </c:pt>
                <c:pt idx="25">
                  <c:v>5.4181091017762523E-3</c:v>
                </c:pt>
                <c:pt idx="26">
                  <c:v>2.9305557593429666E-3</c:v>
                </c:pt>
                <c:pt idx="27">
                  <c:v>8.060736027482621E-3</c:v>
                </c:pt>
                <c:pt idx="28">
                  <c:v>3.6850650497322959E-3</c:v>
                </c:pt>
                <c:pt idx="29">
                  <c:v>1.6736420416707935E-3</c:v>
                </c:pt>
                <c:pt idx="30">
                  <c:v>3.0901545128538027E-3</c:v>
                </c:pt>
                <c:pt idx="31">
                  <c:v>2.8380787264320438E-3</c:v>
                </c:pt>
                <c:pt idx="32">
                  <c:v>2.7307719137025848E-3</c:v>
                </c:pt>
                <c:pt idx="33">
                  <c:v>5.2597874219064405E-3</c:v>
                </c:pt>
                <c:pt idx="34">
                  <c:v>6.5739156750849632E-3</c:v>
                </c:pt>
                <c:pt idx="35">
                  <c:v>0</c:v>
                </c:pt>
                <c:pt idx="36">
                  <c:v>6.5050549724336897E-3</c:v>
                </c:pt>
                <c:pt idx="37">
                  <c:v>4.6103314854488778E-3</c:v>
                </c:pt>
                <c:pt idx="38">
                  <c:v>8.8650590356339652E-4</c:v>
                </c:pt>
                <c:pt idx="39">
                  <c:v>1.6162322386742989E-4</c:v>
                </c:pt>
                <c:pt idx="40">
                  <c:v>5.3167438783670892E-4</c:v>
                </c:pt>
                <c:pt idx="41">
                  <c:v>3.8036965839355658E-3</c:v>
                </c:pt>
                <c:pt idx="42">
                  <c:v>8.0156010475182591E-4</c:v>
                </c:pt>
                <c:pt idx="43">
                  <c:v>1.5949041203854187E-3</c:v>
                </c:pt>
                <c:pt idx="44">
                  <c:v>5.4157109590478696E-4</c:v>
                </c:pt>
                <c:pt idx="45">
                  <c:v>2.1796947623990942E-3</c:v>
                </c:pt>
                <c:pt idx="46">
                  <c:v>0</c:v>
                </c:pt>
                <c:pt idx="47">
                  <c:v>2.2590061137192307E-4</c:v>
                </c:pt>
                <c:pt idx="48">
                  <c:v>0</c:v>
                </c:pt>
                <c:pt idx="49">
                  <c:v>0</c:v>
                </c:pt>
                <c:pt idx="50">
                  <c:v>1.093269784679616E-3</c:v>
                </c:pt>
                <c:pt idx="51">
                  <c:v>1.5500741966586427E-3</c:v>
                </c:pt>
                <c:pt idx="52">
                  <c:v>4.1717575021759301E-3</c:v>
                </c:pt>
                <c:pt idx="53">
                  <c:v>1.4860023044465261E-3</c:v>
                </c:pt>
                <c:pt idx="54">
                  <c:v>2.9101161247818397E-3</c:v>
                </c:pt>
                <c:pt idx="55">
                  <c:v>6.8510322578983188E-4</c:v>
                </c:pt>
                <c:pt idx="56">
                  <c:v>3.5485712798283183E-4</c:v>
                </c:pt>
                <c:pt idx="57">
                  <c:v>4.7205484844651602E-4</c:v>
                </c:pt>
                <c:pt idx="58">
                  <c:v>1.3976630184493196E-4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6.2280214214848559E-3</c:v>
                </c:pt>
                <c:pt idx="1">
                  <c:v>1.6040141909545651E-2</c:v>
                </c:pt>
                <c:pt idx="2">
                  <c:v>1.6554382210402199E-2</c:v>
                </c:pt>
                <c:pt idx="3">
                  <c:v>2.5571767688048329E-2</c:v>
                </c:pt>
                <c:pt idx="4">
                  <c:v>4.1882015614205501E-2</c:v>
                </c:pt>
                <c:pt idx="5">
                  <c:v>6.0264807783208758E-2</c:v>
                </c:pt>
                <c:pt idx="6">
                  <c:v>7.3629861259005697E-2</c:v>
                </c:pt>
                <c:pt idx="7">
                  <c:v>7.8403465667966979E-2</c:v>
                </c:pt>
                <c:pt idx="8">
                  <c:v>7.7411345491566974E-2</c:v>
                </c:pt>
                <c:pt idx="9">
                  <c:v>6.9848377026444419E-2</c:v>
                </c:pt>
                <c:pt idx="10">
                  <c:v>6.3957988125723966E-2</c:v>
                </c:pt>
                <c:pt idx="11">
                  <c:v>5.5195125625269459E-2</c:v>
                </c:pt>
                <c:pt idx="12">
                  <c:v>4.8458058249401352E-2</c:v>
                </c:pt>
                <c:pt idx="13">
                  <c:v>4.1570354825807593E-2</c:v>
                </c:pt>
                <c:pt idx="14">
                  <c:v>3.4599541858641052E-2</c:v>
                </c:pt>
                <c:pt idx="15">
                  <c:v>2.8771485115600182E-2</c:v>
                </c:pt>
                <c:pt idx="16">
                  <c:v>2.53328277502766E-2</c:v>
                </c:pt>
                <c:pt idx="17">
                  <c:v>2.1192933611057726E-2</c:v>
                </c:pt>
                <c:pt idx="18">
                  <c:v>1.8128269191811631E-2</c:v>
                </c:pt>
                <c:pt idx="19">
                  <c:v>1.5967421058919472E-2</c:v>
                </c:pt>
                <c:pt idx="20">
                  <c:v>1.4944134803679674E-2</c:v>
                </c:pt>
                <c:pt idx="21">
                  <c:v>1.3588410374148777E-2</c:v>
                </c:pt>
                <c:pt idx="22">
                  <c:v>1.2487208921809503E-2</c:v>
                </c:pt>
                <c:pt idx="23">
                  <c:v>1.1848304305593792E-2</c:v>
                </c:pt>
                <c:pt idx="24">
                  <c:v>1.0949682365713158E-2</c:v>
                </c:pt>
                <c:pt idx="25">
                  <c:v>9.8900356851602724E-3</c:v>
                </c:pt>
                <c:pt idx="26">
                  <c:v>9.3550179984105298E-3</c:v>
                </c:pt>
                <c:pt idx="27">
                  <c:v>8.5654773344691643E-3</c:v>
                </c:pt>
                <c:pt idx="28">
                  <c:v>7.8330744817340803E-3</c:v>
                </c:pt>
                <c:pt idx="29">
                  <c:v>7.0487281642660129E-3</c:v>
                </c:pt>
                <c:pt idx="30">
                  <c:v>6.8617316912272684E-3</c:v>
                </c:pt>
                <c:pt idx="31">
                  <c:v>5.9942758301864251E-3</c:v>
                </c:pt>
                <c:pt idx="32">
                  <c:v>5.7605302388879943E-3</c:v>
                </c:pt>
                <c:pt idx="33">
                  <c:v>5.4228977181235939E-3</c:v>
                </c:pt>
                <c:pt idx="34">
                  <c:v>4.4255831952502893E-3</c:v>
                </c:pt>
                <c:pt idx="35">
                  <c:v>4.3009188798911269E-3</c:v>
                </c:pt>
                <c:pt idx="36">
                  <c:v>3.7918729255078773E-3</c:v>
                </c:pt>
                <c:pt idx="37">
                  <c:v>3.6412368777822219E-3</c:v>
                </c:pt>
                <c:pt idx="38">
                  <c:v>3.407491286483791E-3</c:v>
                </c:pt>
                <c:pt idx="39">
                  <c:v>3.0594700727727942E-3</c:v>
                </c:pt>
                <c:pt idx="40">
                  <c:v>2.7633923237947817E-3</c:v>
                </c:pt>
                <c:pt idx="41">
                  <c:v>2.7166432055350958E-3</c:v>
                </c:pt>
                <c:pt idx="42">
                  <c:v>2.3270672200377111E-3</c:v>
                </c:pt>
                <c:pt idx="43">
                  <c:v>2.1972085582052494E-3</c:v>
                </c:pt>
                <c:pt idx="44">
                  <c:v>2.0102120851665049E-3</c:v>
                </c:pt>
                <c:pt idx="45">
                  <c:v>1.5998587137759262E-3</c:v>
                </c:pt>
                <c:pt idx="46">
                  <c:v>1.5375265560963448E-3</c:v>
                </c:pt>
                <c:pt idx="47">
                  <c:v>1.3141696577445108E-3</c:v>
                </c:pt>
                <c:pt idx="48">
                  <c:v>1.1998940353319448E-3</c:v>
                </c:pt>
                <c:pt idx="49">
                  <c:v>1.1583392635455571E-3</c:v>
                </c:pt>
                <c:pt idx="50">
                  <c:v>1.0596466805528862E-3</c:v>
                </c:pt>
                <c:pt idx="51">
                  <c:v>8.2590108925445548E-4</c:v>
                </c:pt>
                <c:pt idx="52">
                  <c:v>7.6876327804817238E-4</c:v>
                </c:pt>
                <c:pt idx="53">
                  <c:v>6.2332157679581546E-4</c:v>
                </c:pt>
                <c:pt idx="54">
                  <c:v>7.427915456816801E-4</c:v>
                </c:pt>
                <c:pt idx="55">
                  <c:v>6.2851592326911389E-4</c:v>
                </c:pt>
                <c:pt idx="56">
                  <c:v>5.1943464732984623E-4</c:v>
                </c:pt>
                <c:pt idx="57">
                  <c:v>4.8826856849005541E-4</c:v>
                </c:pt>
                <c:pt idx="58">
                  <c:v>4.1554771786387696E-4</c:v>
                </c:pt>
                <c:pt idx="59">
                  <c:v>3.6360425313089234E-4</c:v>
                </c:pt>
                <c:pt idx="60">
                  <c:v>3.3763252076440001E-4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039872"/>
        <c:axId val="153832256"/>
      </c:lineChart>
      <c:catAx>
        <c:axId val="1930398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2256"/>
        <c:crosses val="autoZero"/>
        <c:auto val="1"/>
        <c:lblAlgn val="ctr"/>
        <c:lblOffset val="100"/>
        <c:tickLblSkip val="10"/>
        <c:noMultiLvlLbl val="0"/>
      </c:catAx>
      <c:valAx>
        <c:axId val="15383225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30398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2"/>
  <sheetViews>
    <sheetView workbookViewId="0">
      <selection activeCell="I33" sqref="I33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46</v>
      </c>
    </row>
    <row r="3" spans="1:12" x14ac:dyDescent="0.25">
      <c r="A3" t="s">
        <v>6</v>
      </c>
    </row>
    <row r="4" spans="1:12" x14ac:dyDescent="0.25">
      <c r="A4" t="s">
        <v>5</v>
      </c>
    </row>
    <row r="5" spans="1:12" x14ac:dyDescent="0.25">
      <c r="A5" t="s">
        <v>7</v>
      </c>
    </row>
    <row r="6" spans="1:12" x14ac:dyDescent="0.25">
      <c r="A6" t="s">
        <v>8</v>
      </c>
    </row>
    <row r="7" spans="1:12" x14ac:dyDescent="0.25">
      <c r="A7" t="s">
        <v>13</v>
      </c>
    </row>
    <row r="9" spans="1:12" ht="15.75" thickBot="1" x14ac:dyDescent="0.3">
      <c r="A9" s="4" t="s">
        <v>47</v>
      </c>
      <c r="B9" s="1"/>
      <c r="E9" s="4" t="s">
        <v>14</v>
      </c>
      <c r="F9" s="1"/>
      <c r="G9" s="6"/>
      <c r="J9" s="10" t="s">
        <v>21</v>
      </c>
    </row>
    <row r="10" spans="1:12" x14ac:dyDescent="0.25">
      <c r="A10" s="2" t="s">
        <v>3</v>
      </c>
      <c r="B10" s="5" t="s">
        <v>48</v>
      </c>
      <c r="C10" s="5" t="s">
        <v>48</v>
      </c>
      <c r="E10" s="2" t="s">
        <v>3</v>
      </c>
      <c r="F10" s="5" t="s">
        <v>20</v>
      </c>
      <c r="G10" s="5" t="s">
        <v>20</v>
      </c>
      <c r="J10" s="2"/>
      <c r="K10" s="5" t="s">
        <v>48</v>
      </c>
      <c r="L10" s="5" t="s">
        <v>20</v>
      </c>
    </row>
    <row r="11" spans="1:12" x14ac:dyDescent="0.25">
      <c r="A11">
        <v>0</v>
      </c>
      <c r="B11" s="8" t="n">
        <v>17215.61517467827</v>
      </c>
      <c r="C11" s="11">
        <f>B11/B$102</f>
        <v>8.9789995404716147E-2</v>
      </c>
      <c r="E11" s="19">
        <v>0</v>
      </c>
      <c r="F11" s="109" t="n">
        <v>13733.0</v>
      </c>
      <c r="G11" s="11">
        <f>F11/F$102</f>
        <v>7.5598518572385809E-2</v>
      </c>
      <c r="K11" s="8" t="n">
        <v>6.222177872215132</v>
      </c>
      <c r="L11" s="8" t="n">
        <v>5.875039948065975</v>
      </c>
    </row>
    <row r="12" spans="1:12" x14ac:dyDescent="0.25">
      <c r="A12">
        <v>1</v>
      </c>
      <c r="B12" s="8" t="n">
        <v>28348.169779013588</v>
      </c>
      <c r="C12" s="11">
        <f>B12/B$102</f>
        <v>0.14785309780469763</v>
      </c>
      <c r="E12" s="20">
        <v>1</v>
      </c>
      <c r="F12" s="110" t="n">
        <v>27422.0</v>
      </c>
      <c r="G12" s="11">
        <f>F12/F$102</f>
        <v>0.12116332583615992</v>
      </c>
      <c r="K12" s="8"/>
      <c r="L12" s="379"/>
    </row>
    <row r="13" spans="1:12" x14ac:dyDescent="0.25">
      <c r="A13">
        <v>2</v>
      </c>
      <c r="B13" s="8" t="n">
        <v>25399.205445733827</v>
      </c>
      <c r="C13" s="11">
        <f t="shared" ref="C13:C76" si="0">B13/B$102</f>
        <v>0.13247243953328561</v>
      </c>
      <c r="E13" s="21">
        <v>2</v>
      </c>
      <c r="F13" s="111" t="n">
        <v>33357.0</v>
      </c>
      <c r="G13" s="11">
        <f t="shared" ref="G13:G76" si="1">F13/F$102</f>
        <v>0.12715240731987304</v>
      </c>
    </row>
    <row r="14" spans="1:12" x14ac:dyDescent="0.25">
      <c r="A14">
        <v>3</v>
      </c>
      <c r="B14" s="8" t="n">
        <v>22121.18383218255</v>
      </c>
      <c r="C14" s="11">
        <f t="shared" si="0"/>
        <v>0.11537554565927219</v>
      </c>
      <c r="E14" s="22">
        <v>3</v>
      </c>
      <c r="F14" s="112" t="n">
        <v>27373.0</v>
      </c>
      <c r="G14" s="11">
        <f t="shared" si="1"/>
        <v>0.12469028709152957</v>
      </c>
    </row>
    <row r="15" spans="1:12" x14ac:dyDescent="0.25">
      <c r="A15">
        <v>4</v>
      </c>
      <c r="B15" s="8" t="n">
        <v>20742.966384863</v>
      </c>
      <c r="C15" s="11">
        <f t="shared" si="0"/>
        <v>0.10818729609596059</v>
      </c>
      <c r="E15" s="23">
        <v>4</v>
      </c>
      <c r="F15" s="113" t="n">
        <v>21833.0</v>
      </c>
      <c r="G15" s="11">
        <f t="shared" si="1"/>
        <v>0.10291039232898913</v>
      </c>
    </row>
    <row r="16" spans="1:12" x14ac:dyDescent="0.25">
      <c r="A16">
        <v>5</v>
      </c>
      <c r="B16" s="8" t="n">
        <v>11191.63831625491</v>
      </c>
      <c r="C16" s="11">
        <f t="shared" si="0"/>
        <v>5.8371260207177186E-2</v>
      </c>
      <c r="E16" s="24">
        <v>5</v>
      </c>
      <c r="F16" s="114" t="n">
        <v>17413.0</v>
      </c>
      <c r="G16" s="11">
        <f t="shared" si="1"/>
        <v>8.3509508251219375E-2</v>
      </c>
    </row>
    <row r="17" spans="1:7" x14ac:dyDescent="0.25">
      <c r="A17">
        <v>6</v>
      </c>
      <c r="B17" s="8" t="n">
        <v>11668.58908832261</v>
      </c>
      <c r="C17" s="11">
        <f t="shared" si="0"/>
        <v>6.0858851106352523E-2</v>
      </c>
      <c r="E17" s="25">
        <v>6</v>
      </c>
      <c r="F17" s="115" t="n">
        <v>12498.0</v>
      </c>
      <c r="G17" s="11">
        <f t="shared" si="1"/>
        <v>6.251395980614699E-2</v>
      </c>
    </row>
    <row r="18" spans="1:7" x14ac:dyDescent="0.25">
      <c r="A18">
        <v>7</v>
      </c>
      <c r="B18" s="8" t="n">
        <v>5919.988581580085</v>
      </c>
      <c r="C18" s="11">
        <f t="shared" si="0"/>
        <v>3.0876372534040551E-2</v>
      </c>
      <c r="E18" s="26">
        <v>7</v>
      </c>
      <c r="F18" s="116" t="n">
        <v>9483.0</v>
      </c>
      <c r="G18" s="11">
        <f t="shared" si="1"/>
        <v>4.7164665977550035E-2</v>
      </c>
    </row>
    <row r="19" spans="1:7" x14ac:dyDescent="0.25">
      <c r="A19">
        <v>8</v>
      </c>
      <c r="B19" s="8" t="n">
        <v>9522.852774332207</v>
      </c>
      <c r="C19" s="11">
        <f t="shared" si="0"/>
        <v>4.9667519758733028E-2</v>
      </c>
      <c r="E19" s="27">
        <v>8</v>
      </c>
      <c r="F19" s="117" t="n">
        <v>6463.0</v>
      </c>
      <c r="G19" s="11">
        <f t="shared" si="1"/>
        <v>3.3924276817112256E-2</v>
      </c>
    </row>
    <row r="20" spans="1:7" x14ac:dyDescent="0.25">
      <c r="A20">
        <v>9</v>
      </c>
      <c r="B20" s="8" t="n">
        <v>5509.677999718321</v>
      </c>
      <c r="C20" s="11">
        <f t="shared" si="0"/>
        <v>2.8736351112438187E-2</v>
      </c>
      <c r="E20" s="28">
        <v>9</v>
      </c>
      <c r="F20" s="118" t="n">
        <v>4804.0</v>
      </c>
      <c r="G20" s="11">
        <f t="shared" si="1"/>
        <v>2.5265301246123719E-2</v>
      </c>
    </row>
    <row r="21" spans="1:7" x14ac:dyDescent="0.25">
      <c r="A21">
        <v>10</v>
      </c>
      <c r="B21" s="8" t="n">
        <v>5858.692079030938</v>
      </c>
      <c r="C21" s="11">
        <f t="shared" si="0"/>
        <v>3.055667366610184E-2</v>
      </c>
      <c r="E21" s="29">
        <v>10</v>
      </c>
      <c r="F21" s="119" t="n">
        <v>3944.0</v>
      </c>
      <c r="G21" s="11">
        <f t="shared" si="1"/>
        <v>2.1847421266693329E-2</v>
      </c>
    </row>
    <row r="22" spans="1:7" x14ac:dyDescent="0.25">
      <c r="A22">
        <v>11</v>
      </c>
      <c r="B22" s="8" t="n">
        <v>3738.2425784716725</v>
      </c>
      <c r="C22" s="11">
        <f t="shared" si="0"/>
        <v>1.9497228564703817E-2</v>
      </c>
      <c r="E22" s="30">
        <v>11</v>
      </c>
      <c r="F22" s="120" t="n">
        <v>3725.0</v>
      </c>
      <c r="G22" s="11">
        <f t="shared" si="1"/>
        <v>2.0060566079878661E-2</v>
      </c>
    </row>
    <row r="23" spans="1:7" x14ac:dyDescent="0.25">
      <c r="A23">
        <v>12</v>
      </c>
      <c r="B23" s="8" t="n">
        <v>3450.1381136458604</v>
      </c>
      <c r="C23" s="11">
        <f t="shared" si="0"/>
        <v>1.7994587020366944E-2</v>
      </c>
      <c r="E23" s="31">
        <v>12</v>
      </c>
      <c r="F23" s="121" t="n">
        <v>3381.0</v>
      </c>
      <c r="G23" s="11">
        <f t="shared" si="1"/>
        <v>1.9296997148303786E-2</v>
      </c>
    </row>
    <row r="24" spans="1:7" x14ac:dyDescent="0.25">
      <c r="A24">
        <v>13</v>
      </c>
      <c r="B24" s="8" t="n">
        <v>1824.3984581226216</v>
      </c>
      <c r="C24" s="11">
        <f t="shared" si="0"/>
        <v>9.5153572793696458E-3</v>
      </c>
      <c r="E24" s="32">
        <v>13</v>
      </c>
      <c r="F24" s="122" t="n">
        <v>2912.0</v>
      </c>
      <c r="G24" s="11">
        <f t="shared" si="1"/>
        <v>1.5806396318247221E-2</v>
      </c>
    </row>
    <row r="25" spans="1:7" x14ac:dyDescent="0.25">
      <c r="A25">
        <v>14</v>
      </c>
      <c r="B25" s="8" t="n">
        <v>4650.166110659113</v>
      </c>
      <c r="C25" s="11">
        <f t="shared" si="0"/>
        <v>2.4253469276043545E-2</v>
      </c>
      <c r="E25" s="33">
        <v>14</v>
      </c>
      <c r="F25" s="123" t="n">
        <v>2601.0</v>
      </c>
      <c r="G25" s="11">
        <f t="shared" si="1"/>
        <v>1.5286961670917374E-2</v>
      </c>
    </row>
    <row r="26" spans="1:7" x14ac:dyDescent="0.25">
      <c r="A26">
        <v>15</v>
      </c>
      <c r="B26" s="8" t="n">
        <v>1957.5184321021256</v>
      </c>
      <c r="C26" s="11">
        <f t="shared" si="0"/>
        <v>1.0209659616556906E-2</v>
      </c>
      <c r="E26" s="34">
        <v>15</v>
      </c>
      <c r="F26" s="124" t="n">
        <v>2152.0</v>
      </c>
      <c r="G26" s="11">
        <f t="shared" si="1"/>
        <v>1.3318304357537256E-2</v>
      </c>
    </row>
    <row r="27" spans="1:7" x14ac:dyDescent="0.25">
      <c r="A27">
        <v>16</v>
      </c>
      <c r="B27" s="8" t="n">
        <v>1142.6129395094995</v>
      </c>
      <c r="C27" s="11">
        <f t="shared" si="0"/>
        <v>5.9594275050263773E-3</v>
      </c>
      <c r="E27" s="35">
        <v>16</v>
      </c>
      <c r="F27" s="125" t="n">
        <v>1887.0</v>
      </c>
      <c r="G27" s="11">
        <f t="shared" si="1"/>
        <v>1.1614558714295361E-2</v>
      </c>
    </row>
    <row r="28" spans="1:7" x14ac:dyDescent="0.25">
      <c r="A28">
        <v>17</v>
      </c>
      <c r="B28" s="8" t="n">
        <v>786.4661536222209</v>
      </c>
      <c r="C28" s="11">
        <f t="shared" si="0"/>
        <v>4.1019035104578362E-3</v>
      </c>
      <c r="E28" s="36">
        <v>17</v>
      </c>
      <c r="F28" s="126" t="n">
        <v>1639.0</v>
      </c>
      <c r="G28" s="11">
        <f t="shared" si="1"/>
        <v>9.7445939839079145E-3</v>
      </c>
    </row>
    <row r="29" spans="1:7" x14ac:dyDescent="0.25">
      <c r="A29">
        <v>18</v>
      </c>
      <c r="B29" s="8" t="n">
        <v>515.3865198213043</v>
      </c>
      <c r="C29" s="11">
        <f t="shared" si="0"/>
        <v>2.6880569051330682E-3</v>
      </c>
      <c r="E29" s="37">
        <v>18</v>
      </c>
      <c r="F29" s="127" t="n">
        <v>1400.0</v>
      </c>
      <c r="G29" s="11">
        <f t="shared" si="1"/>
        <v>8.9342759340733553E-3</v>
      </c>
    </row>
    <row r="30" spans="1:7" x14ac:dyDescent="0.25">
      <c r="A30">
        <v>19</v>
      </c>
      <c r="B30" s="8" t="n">
        <v>501.2077096899693</v>
      </c>
      <c r="C30" s="11">
        <f t="shared" si="0"/>
        <v>2.6141057111955155E-3</v>
      </c>
      <c r="E30" s="38">
        <v>19</v>
      </c>
      <c r="F30" s="128" t="n">
        <v>1256.0</v>
      </c>
      <c r="G30" s="11">
        <f t="shared" si="1"/>
        <v>7.8590462141005721E-3</v>
      </c>
    </row>
    <row r="31" spans="1:7" x14ac:dyDescent="0.25">
      <c r="A31">
        <v>20</v>
      </c>
      <c r="B31" s="8" t="n">
        <v>1607.5523106872577</v>
      </c>
      <c r="C31" s="11">
        <f t="shared" si="0"/>
        <v>8.3843715792251486E-3</v>
      </c>
      <c r="E31" s="39">
        <v>20</v>
      </c>
      <c r="F31" s="129" t="n">
        <v>1075.0</v>
      </c>
      <c r="G31" s="11">
        <f t="shared" si="1"/>
        <v>6.7526504152880008E-3</v>
      </c>
    </row>
    <row r="32" spans="1:7" x14ac:dyDescent="0.25">
      <c r="A32">
        <v>21</v>
      </c>
      <c r="B32" s="8" t="n">
        <v>321.16450950000103</v>
      </c>
      <c r="C32" s="11">
        <f t="shared" si="0"/>
        <v>1.6750699605889584E-3</v>
      </c>
      <c r="E32" s="40">
        <v>21</v>
      </c>
      <c r="F32" s="130" t="n">
        <v>975.0</v>
      </c>
      <c r="G32" s="11">
        <f t="shared" si="1"/>
        <v>6.373463122737213E-3</v>
      </c>
    </row>
    <row r="33" spans="1:7" x14ac:dyDescent="0.25">
      <c r="A33">
        <v>22</v>
      </c>
      <c r="B33" s="8" t="n">
        <v>1110.2613877153672</v>
      </c>
      <c r="C33" s="11">
        <f t="shared" si="0"/>
        <v>5.7906943138242876E-3</v>
      </c>
      <c r="E33" s="41">
        <v>22</v>
      </c>
      <c r="F33" s="131" t="n">
        <v>836.0</v>
      </c>
      <c r="G33" s="11">
        <f t="shared" si="1"/>
        <v>5.183957780351865E-3</v>
      </c>
    </row>
    <row r="34" spans="1:7" x14ac:dyDescent="0.25">
      <c r="A34">
        <v>23</v>
      </c>
      <c r="B34" s="8" t="n">
        <v>940.8447432726962</v>
      </c>
      <c r="C34" s="11">
        <f t="shared" si="0"/>
        <v>4.9070825711335919E-3</v>
      </c>
      <c r="E34" s="42">
        <v>23</v>
      </c>
      <c r="F34" s="132" t="n">
        <v>643.0</v>
      </c>
      <c r="G34" s="11">
        <f t="shared" si="1"/>
        <v>4.4827210064565725E-3</v>
      </c>
    </row>
    <row r="35" spans="1:7" x14ac:dyDescent="0.25">
      <c r="A35">
        <v>24</v>
      </c>
      <c r="B35" s="8" t="n">
        <v>1102.9747926878138</v>
      </c>
      <c r="C35" s="11">
        <f t="shared" si="0"/>
        <v>5.7526902502226356E-3</v>
      </c>
      <c r="E35" s="43">
        <v>24</v>
      </c>
      <c r="F35" s="133" t="n">
        <v>563.0</v>
      </c>
      <c r="G35" s="11">
        <f t="shared" si="1"/>
        <v>3.6256538383623266E-3</v>
      </c>
    </row>
    <row r="36" spans="1:7" x14ac:dyDescent="0.25">
      <c r="A36">
        <v>25</v>
      </c>
      <c r="B36" s="8" t="n">
        <v>288.1733969040922</v>
      </c>
      <c r="C36" s="11">
        <f t="shared" si="0"/>
        <v>1.5030010674168919E-3</v>
      </c>
      <c r="E36" s="44">
        <v>25</v>
      </c>
      <c r="F36" s="134" t="n">
        <v>509.0</v>
      </c>
      <c r="G36" s="11">
        <f t="shared" si="1"/>
        <v>3.599682105995834E-3</v>
      </c>
    </row>
    <row r="37" spans="1:7" x14ac:dyDescent="0.25">
      <c r="A37">
        <v>26</v>
      </c>
      <c r="B37" s="8" t="n">
        <v>272.230845148953</v>
      </c>
      <c r="C37" s="11">
        <f t="shared" si="0"/>
        <v>1.4198508788056299E-3</v>
      </c>
      <c r="E37" s="45">
        <v>26</v>
      </c>
      <c r="F37" s="135" t="n">
        <v>434.0</v>
      </c>
      <c r="G37" s="11">
        <f t="shared" si="1"/>
        <v>3.2672439317047324E-3</v>
      </c>
    </row>
    <row r="38" spans="1:7" x14ac:dyDescent="0.25">
      <c r="A38">
        <v>27</v>
      </c>
      <c r="B38" s="8" t="n">
        <v>109.57736067730241</v>
      </c>
      <c r="C38" s="11">
        <f t="shared" si="0"/>
        <v>5.7151316475449613E-4</v>
      </c>
      <c r="E38" s="46">
        <v>27</v>
      </c>
      <c r="F38" s="136" t="n">
        <v>395.0</v>
      </c>
      <c r="G38" s="11">
        <f t="shared" si="1"/>
        <v>2.597173236649231E-3</v>
      </c>
    </row>
    <row r="39" spans="1:7" x14ac:dyDescent="0.25">
      <c r="A39">
        <v>28</v>
      </c>
      <c r="B39" s="8" t="n">
        <v>199.8448580509499</v>
      </c>
      <c r="C39" s="11">
        <f t="shared" si="0"/>
        <v>1.0423135452309669E-3</v>
      </c>
      <c r="E39" s="47">
        <v>28</v>
      </c>
      <c r="F39" s="137" t="n">
        <v>316.0</v>
      </c>
      <c r="G39" s="11">
        <f t="shared" si="1"/>
        <v>2.3426502594576064E-3</v>
      </c>
    </row>
    <row r="40" spans="1:7" x14ac:dyDescent="0.25">
      <c r="A40">
        <v>29</v>
      </c>
      <c r="B40" s="8" t="n">
        <v>58.606541615562</v>
      </c>
      <c r="C40" s="11">
        <f t="shared" si="0"/>
        <v>3.0566907130264429E-4</v>
      </c>
      <c r="E40" s="48">
        <v>29</v>
      </c>
      <c r="F40" s="138" t="n">
        <v>292.0</v>
      </c>
      <c r="G40" s="11">
        <f t="shared" si="1"/>
        <v>1.9219081951204308E-3</v>
      </c>
    </row>
    <row r="41" spans="1:7" x14ac:dyDescent="0.25">
      <c r="A41">
        <v>30</v>
      </c>
      <c r="B41" s="8" t="n">
        <v>0.0</v>
      </c>
      <c r="C41" s="11">
        <f t="shared" si="0"/>
        <v>0</v>
      </c>
      <c r="E41" s="49">
        <v>30</v>
      </c>
      <c r="F41" s="139" t="n">
        <v>234.0</v>
      </c>
      <c r="G41" s="11">
        <f t="shared" si="1"/>
        <v>1.8803534233340431E-3</v>
      </c>
    </row>
    <row r="42" spans="1:7" x14ac:dyDescent="0.25">
      <c r="A42">
        <v>31</v>
      </c>
      <c r="B42" s="8" t="n">
        <v>505.47364324366237</v>
      </c>
      <c r="C42" s="11">
        <f t="shared" si="0"/>
        <v>2.6363551719493965E-3</v>
      </c>
      <c r="E42" s="50">
        <v>31</v>
      </c>
      <c r="F42" s="140" t="n">
        <v>205.0</v>
      </c>
      <c r="G42" s="11">
        <f t="shared" si="1"/>
        <v>1.6725795644021047E-3</v>
      </c>
    </row>
    <row r="43" spans="1:7" x14ac:dyDescent="0.25">
      <c r="A43">
        <v>32</v>
      </c>
      <c r="B43" s="8" t="n">
        <v>1165.0956869662652</v>
      </c>
      <c r="C43" s="11">
        <f t="shared" si="0"/>
        <v>6.0766888268174012E-3</v>
      </c>
      <c r="E43" s="51">
        <v>32</v>
      </c>
      <c r="F43" s="141" t="n">
        <v>177.0</v>
      </c>
      <c r="G43" s="11">
        <f t="shared" si="1"/>
        <v>1.168727956492154E-3</v>
      </c>
    </row>
    <row r="44" spans="1:7" x14ac:dyDescent="0.25">
      <c r="A44">
        <v>33</v>
      </c>
      <c r="B44" s="8" t="n">
        <v>117.6177393574891</v>
      </c>
      <c r="C44" s="11">
        <f t="shared" si="0"/>
        <v>6.1344867257230682E-4</v>
      </c>
      <c r="E44" s="52">
        <v>33</v>
      </c>
      <c r="F44" s="142" t="n">
        <v>140.0</v>
      </c>
      <c r="G44" s="11">
        <f t="shared" si="1"/>
        <v>1.1271731847057663E-3</v>
      </c>
    </row>
    <row r="45" spans="1:7" x14ac:dyDescent="0.25">
      <c r="A45">
        <v>34</v>
      </c>
      <c r="B45" s="8" t="n">
        <v>557.962377568389</v>
      </c>
      <c r="C45" s="11">
        <f t="shared" si="0"/>
        <v>2.9101161247818384E-3</v>
      </c>
      <c r="E45" s="53">
        <v>34</v>
      </c>
      <c r="F45" s="143" t="n">
        <v>133.0</v>
      </c>
      <c r="G45" s="11">
        <f t="shared" si="1"/>
        <v>1.0388692946596925E-3</v>
      </c>
    </row>
    <row r="46" spans="1:7" x14ac:dyDescent="0.25">
      <c r="A46">
        <v>35</v>
      </c>
      <c r="B46" s="8" t="n">
        <v>0.0</v>
      </c>
      <c r="C46" s="11">
        <f t="shared" si="0"/>
        <v>0</v>
      </c>
      <c r="E46" s="54">
        <v>35</v>
      </c>
      <c r="F46" s="144" t="n">
        <v>89.0</v>
      </c>
      <c r="G46" s="11">
        <f t="shared" si="1"/>
        <v>7.4798589215497853E-4</v>
      </c>
    </row>
    <row r="47" spans="1:7" x14ac:dyDescent="0.25">
      <c r="A47">
        <v>36</v>
      </c>
      <c r="B47" s="8" t="n">
        <v>254.35106755553898</v>
      </c>
      <c r="C47" s="11">
        <f t="shared" si="0"/>
        <v>1.3265968689047032E-3</v>
      </c>
      <c r="E47" s="55">
        <v>36</v>
      </c>
      <c r="F47" s="145" t="n">
        <v>76.0</v>
      </c>
      <c r="G47" s="11">
        <f t="shared" si="1"/>
        <v>7.3240285273508312E-4</v>
      </c>
    </row>
    <row r="48" spans="1:7" x14ac:dyDescent="0.25">
      <c r="A48">
        <v>37</v>
      </c>
      <c r="B48" s="8" t="n">
        <v>0.0</v>
      </c>
      <c r="C48" s="11">
        <f t="shared" si="0"/>
        <v>0</v>
      </c>
      <c r="E48" s="56">
        <v>37</v>
      </c>
      <c r="F48" s="146" t="n">
        <v>64.0</v>
      </c>
      <c r="G48" s="11">
        <f t="shared" si="1"/>
        <v>6.3371026974241233E-4</v>
      </c>
    </row>
    <row r="49" spans="1:7" x14ac:dyDescent="0.25">
      <c r="A49">
        <v>38</v>
      </c>
      <c r="B49" s="8" t="n">
        <v>0.0</v>
      </c>
      <c r="C49" s="11">
        <f t="shared" si="0"/>
        <v>0</v>
      </c>
      <c r="E49" s="57">
        <v>38</v>
      </c>
      <c r="F49" s="147" t="n">
        <v>54.0</v>
      </c>
      <c r="G49" s="11">
        <f t="shared" si="1"/>
        <v>5.9215549795602464E-4</v>
      </c>
    </row>
    <row r="50" spans="1:7" x14ac:dyDescent="0.25">
      <c r="A50">
        <v>39</v>
      </c>
      <c r="B50" s="8" t="n">
        <v>0.0</v>
      </c>
      <c r="C50" s="11">
        <f t="shared" si="0"/>
        <v>0</v>
      </c>
      <c r="E50" s="58">
        <v>39</v>
      </c>
      <c r="F50" s="148" t="n">
        <v>42.0</v>
      </c>
      <c r="G50" s="11">
        <f t="shared" si="1"/>
        <v>3.1685513487120616E-4</v>
      </c>
    </row>
    <row r="51" spans="1:7" x14ac:dyDescent="0.25">
      <c r="A51">
        <v>40</v>
      </c>
      <c r="B51" s="8" t="n">
        <v>26.7976722362533</v>
      </c>
      <c r="C51" s="11">
        <f t="shared" si="0"/>
        <v>1.3976630184493191E-4</v>
      </c>
      <c r="E51" s="59">
        <v>40</v>
      </c>
      <c r="F51" s="149" t="n">
        <v>52.0</v>
      </c>
      <c r="G51" s="11">
        <f t="shared" si="1"/>
        <v>4.5190814317696621E-4</v>
      </c>
    </row>
    <row r="52" spans="1:7" x14ac:dyDescent="0.25">
      <c r="A52">
        <v>41</v>
      </c>
      <c r="B52" s="8" t="n">
        <v>774.288447548216</v>
      </c>
      <c r="C52" s="11">
        <f t="shared" si="0"/>
        <v>4.0383893019134229E-3</v>
      </c>
      <c r="E52" s="60">
        <v>41</v>
      </c>
      <c r="F52" s="150" t="n">
        <v>42.0</v>
      </c>
      <c r="G52" s="11">
        <f t="shared" si="1"/>
        <v>3.428268672376985E-4</v>
      </c>
    </row>
    <row r="53" spans="1:7" x14ac:dyDescent="0.25">
      <c r="A53">
        <v>42</v>
      </c>
      <c r="B53" s="8" t="n">
        <v>104.2464896418856</v>
      </c>
      <c r="C53" s="11">
        <f t="shared" si="0"/>
        <v>5.4370940166404043E-4</v>
      </c>
      <c r="E53" s="61">
        <v>42</v>
      </c>
      <c r="F53" s="151" t="n">
        <v>27.0</v>
      </c>
      <c r="G53" s="11">
        <f t="shared" si="1"/>
        <v>2.4413428424502771E-4</v>
      </c>
    </row>
    <row r="54" spans="1:7" x14ac:dyDescent="0.25">
      <c r="A54">
        <v>43</v>
      </c>
      <c r="B54" s="8" t="n">
        <v>87.8290822868153</v>
      </c>
      <c r="C54" s="11">
        <f t="shared" si="0"/>
        <v>4.5808254976174325E-4</v>
      </c>
      <c r="E54" s="62">
        <v>43</v>
      </c>
      <c r="F54" s="152" t="n">
        <v>19.0</v>
      </c>
      <c r="G54" s="11">
        <f t="shared" si="1"/>
        <v>2.4932863071832619E-4</v>
      </c>
    </row>
    <row r="55" spans="1:7" x14ac:dyDescent="0.25">
      <c r="A55">
        <v>44</v>
      </c>
      <c r="B55" s="8" t="n">
        <v>0.0</v>
      </c>
      <c r="C55" s="11">
        <f t="shared" si="0"/>
        <v>0</v>
      </c>
      <c r="E55" s="63">
        <v>44</v>
      </c>
      <c r="F55" s="153" t="n">
        <v>15.0</v>
      </c>
      <c r="G55" s="11">
        <f t="shared" si="1"/>
        <v>2.0777385893193848E-4</v>
      </c>
    </row>
    <row r="56" spans="1:7" x14ac:dyDescent="0.25">
      <c r="A56">
        <v>45</v>
      </c>
      <c r="B56" s="8" t="n">
        <v>0.0</v>
      </c>
      <c r="C56" s="11">
        <f t="shared" si="0"/>
        <v>0</v>
      </c>
      <c r="E56" s="64">
        <v>45</v>
      </c>
      <c r="F56" s="154" t="n">
        <v>19.0</v>
      </c>
      <c r="G56" s="11">
        <f t="shared" si="1"/>
        <v>1.4544170125235694E-4</v>
      </c>
    </row>
    <row r="57" spans="1:7" x14ac:dyDescent="0.25">
      <c r="A57">
        <v>46</v>
      </c>
      <c r="B57" s="8" t="n">
        <v>62.3880783888128</v>
      </c>
      <c r="C57" s="11">
        <f t="shared" si="0"/>
        <v>3.2539210565533916E-4</v>
      </c>
      <c r="E57" s="65">
        <v>46</v>
      </c>
      <c r="F57" s="155" t="n">
        <v>9.0</v>
      </c>
      <c r="G57" s="11">
        <f t="shared" si="1"/>
        <v>9.8692582992670778E-5</v>
      </c>
    </row>
    <row r="58" spans="1:7" x14ac:dyDescent="0.25">
      <c r="A58">
        <v>47</v>
      </c>
      <c r="B58" s="8" t="n">
        <v>0.0</v>
      </c>
      <c r="C58" s="11">
        <f t="shared" si="0"/>
        <v>0</v>
      </c>
      <c r="E58" s="66">
        <v>47</v>
      </c>
      <c r="F58" s="156" t="n">
        <v>4.0</v>
      </c>
      <c r="G58" s="11">
        <f t="shared" si="1"/>
        <v>8.8303890046073855E-5</v>
      </c>
    </row>
    <row r="59" spans="1:7" x14ac:dyDescent="0.25">
      <c r="A59">
        <v>48</v>
      </c>
      <c r="B59" s="8" t="n">
        <v>0.0</v>
      </c>
      <c r="C59" s="11">
        <f t="shared" si="0"/>
        <v>0</v>
      </c>
      <c r="E59" s="67">
        <v>48</v>
      </c>
      <c r="F59" s="157" t="n">
        <v>8.0</v>
      </c>
      <c r="G59" s="11">
        <f t="shared" si="1"/>
        <v>1.0388692946596924E-4</v>
      </c>
    </row>
    <row r="60" spans="1:7" x14ac:dyDescent="0.25">
      <c r="A60">
        <v>49</v>
      </c>
      <c r="B60" s="8" t="n">
        <v>0.0</v>
      </c>
      <c r="C60" s="11">
        <f t="shared" si="0"/>
        <v>0</v>
      </c>
      <c r="E60" s="68">
        <v>49</v>
      </c>
      <c r="F60" s="158" t="n">
        <v>5.0</v>
      </c>
      <c r="G60" s="11">
        <f t="shared" si="1"/>
        <v>7.7915197099476932E-5</v>
      </c>
    </row>
    <row r="61" spans="1:7" x14ac:dyDescent="0.25">
      <c r="A61">
        <v>50</v>
      </c>
      <c r="B61" s="8" t="n">
        <v>0.0</v>
      </c>
      <c r="C61" s="11">
        <f t="shared" si="0"/>
        <v>0</v>
      </c>
      <c r="E61" s="69">
        <v>50</v>
      </c>
      <c r="F61" s="159" t="n">
        <v>3.0</v>
      </c>
      <c r="G61" s="11">
        <f t="shared" si="1"/>
        <v>2.0777385893193848E-5</v>
      </c>
    </row>
    <row r="62" spans="1:7" x14ac:dyDescent="0.25">
      <c r="A62">
        <v>51</v>
      </c>
      <c r="B62" s="8" t="n">
        <v>0.0</v>
      </c>
      <c r="C62" s="11">
        <f t="shared" si="0"/>
        <v>0</v>
      </c>
      <c r="E62" s="70">
        <v>51</v>
      </c>
      <c r="F62" s="160" t="n">
        <v>6.0</v>
      </c>
      <c r="G62" s="11">
        <f t="shared" si="1"/>
        <v>2.597173236649231E-5</v>
      </c>
    </row>
    <row r="63" spans="1:7" x14ac:dyDescent="0.25">
      <c r="A63">
        <v>52</v>
      </c>
      <c r="B63" s="8" t="n">
        <v>0.0</v>
      </c>
      <c r="C63" s="11">
        <f t="shared" si="0"/>
        <v>0</v>
      </c>
      <c r="E63" s="71">
        <v>52</v>
      </c>
      <c r="F63" s="161" t="n">
        <v>1.0</v>
      </c>
      <c r="G63" s="11">
        <f t="shared" si="1"/>
        <v>1.5583039419895387E-5</v>
      </c>
    </row>
    <row r="64" spans="1:7" x14ac:dyDescent="0.25">
      <c r="A64">
        <v>53</v>
      </c>
      <c r="B64" s="8" t="n">
        <v>0.0</v>
      </c>
      <c r="C64" s="11">
        <f t="shared" si="0"/>
        <v>0</v>
      </c>
      <c r="E64" s="72">
        <v>53</v>
      </c>
      <c r="F64" s="162" t="n">
        <v>4.0</v>
      </c>
      <c r="G64" s="11">
        <f t="shared" si="1"/>
        <v>5.1943464732984619E-5</v>
      </c>
    </row>
    <row r="65" spans="1:7" x14ac:dyDescent="0.25">
      <c r="A65">
        <v>54</v>
      </c>
      <c r="B65" s="8" t="n">
        <v>0.0</v>
      </c>
      <c r="C65" s="11">
        <f t="shared" si="0"/>
        <v>0</v>
      </c>
      <c r="E65" s="73">
        <v>54</v>
      </c>
      <c r="F65" s="163" t="n">
        <v>3.0</v>
      </c>
      <c r="G65" s="11">
        <f t="shared" si="1"/>
        <v>2.597173236649231E-5</v>
      </c>
    </row>
    <row r="66" spans="1:7" x14ac:dyDescent="0.25">
      <c r="A66">
        <v>55</v>
      </c>
      <c r="B66" s="8" t="n">
        <v>0.0</v>
      </c>
      <c r="C66" s="11">
        <f t="shared" si="0"/>
        <v>0</v>
      </c>
      <c r="E66" s="74">
        <v>55</v>
      </c>
      <c r="F66" s="164" t="n">
        <v>1.0</v>
      </c>
      <c r="G66" s="11">
        <f t="shared" si="1"/>
        <v>2.0777385893193848E-5</v>
      </c>
    </row>
    <row r="67" spans="1:7" x14ac:dyDescent="0.25">
      <c r="A67">
        <v>56</v>
      </c>
      <c r="B67" s="8" t="n">
        <v>0.0</v>
      </c>
      <c r="C67" s="11">
        <f t="shared" si="0"/>
        <v>0</v>
      </c>
      <c r="E67" s="75">
        <v>56</v>
      </c>
      <c r="F67" s="165" t="n">
        <v>2.0</v>
      </c>
      <c r="G67" s="11">
        <f t="shared" si="1"/>
        <v>1.5583039419895387E-5</v>
      </c>
    </row>
    <row r="68" spans="1:7" x14ac:dyDescent="0.25">
      <c r="A68">
        <v>57</v>
      </c>
      <c r="B68" s="8" t="n">
        <v>0.0</v>
      </c>
      <c r="C68" s="11">
        <f t="shared" si="0"/>
        <v>0</v>
      </c>
      <c r="E68" s="76">
        <v>57</v>
      </c>
      <c r="F68" s="166" t="n">
        <v>0.0</v>
      </c>
      <c r="G68" s="11">
        <f t="shared" si="1"/>
        <v>3.1166078839790774E-5</v>
      </c>
    </row>
    <row r="69" spans="1:7" x14ac:dyDescent="0.25">
      <c r="A69">
        <v>58</v>
      </c>
      <c r="B69" s="8" t="n">
        <v>0.0</v>
      </c>
      <c r="C69" s="11">
        <f t="shared" si="0"/>
        <v>0</v>
      </c>
      <c r="E69" s="77">
        <v>58</v>
      </c>
      <c r="F69" s="167" t="n">
        <v>0.0</v>
      </c>
      <c r="G69" s="11">
        <f t="shared" si="1"/>
        <v>1.5583039419895387E-5</v>
      </c>
    </row>
    <row r="70" spans="1:7" x14ac:dyDescent="0.25">
      <c r="A70">
        <v>59</v>
      </c>
      <c r="B70" s="8" t="n">
        <v>0.0</v>
      </c>
      <c r="C70" s="11">
        <f t="shared" si="0"/>
        <v>0</v>
      </c>
      <c r="E70" s="78">
        <v>59</v>
      </c>
      <c r="F70" s="168" t="n">
        <v>2.0</v>
      </c>
      <c r="G70" s="11">
        <f t="shared" si="1"/>
        <v>5.1943464732984621E-6</v>
      </c>
    </row>
    <row r="71" spans="1:7" x14ac:dyDescent="0.25">
      <c r="A71">
        <v>60</v>
      </c>
      <c r="B71" s="8" t="n">
        <v>0.0</v>
      </c>
      <c r="C71" s="11">
        <f t="shared" si="0"/>
        <v>0</v>
      </c>
      <c r="E71" s="79">
        <v>60</v>
      </c>
      <c r="F71" s="169" t="n">
        <v>0.0</v>
      </c>
      <c r="G71" s="11">
        <f t="shared" si="1"/>
        <v>1.0388692946596924E-5</v>
      </c>
    </row>
    <row r="72" spans="1:7" x14ac:dyDescent="0.25">
      <c r="A72">
        <v>61</v>
      </c>
      <c r="B72" s="8" t="n">
        <v>0.0</v>
      </c>
      <c r="C72" s="11">
        <f t="shared" si="0"/>
        <v>0</v>
      </c>
      <c r="E72" s="80">
        <v>61</v>
      </c>
      <c r="F72" s="170" t="n">
        <v>1.0</v>
      </c>
      <c r="G72" s="11">
        <f t="shared" si="1"/>
        <v>1.0388692946596924E-5</v>
      </c>
    </row>
    <row r="73" spans="1:7" x14ac:dyDescent="0.25">
      <c r="A73">
        <v>62</v>
      </c>
      <c r="B73" s="8" t="n">
        <v>0.0</v>
      </c>
      <c r="C73" s="11">
        <f t="shared" si="0"/>
        <v>0</v>
      </c>
      <c r="E73" s="81">
        <v>62</v>
      </c>
      <c r="F73" s="171" t="n">
        <v>0.0</v>
      </c>
      <c r="G73" s="11">
        <f t="shared" si="1"/>
        <v>0</v>
      </c>
    </row>
    <row r="74" spans="1:7" x14ac:dyDescent="0.25">
      <c r="A74">
        <v>63</v>
      </c>
      <c r="B74" s="8" t="n">
        <v>0.0</v>
      </c>
      <c r="C74" s="11">
        <f t="shared" si="0"/>
        <v>0</v>
      </c>
      <c r="E74" s="82">
        <v>63</v>
      </c>
      <c r="F74" s="172" t="n">
        <v>0.0</v>
      </c>
      <c r="G74" s="11">
        <f t="shared" si="1"/>
        <v>1.0388692946596924E-5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83">
        <v>64</v>
      </c>
      <c r="F75" s="173" t="n">
        <v>0.0</v>
      </c>
      <c r="G75" s="11">
        <f t="shared" si="1"/>
        <v>0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84">
        <v>65</v>
      </c>
      <c r="F76" s="174" t="n">
        <v>0.0</v>
      </c>
      <c r="G76" s="11">
        <f t="shared" si="1"/>
        <v>0</v>
      </c>
    </row>
    <row r="77" spans="1:7" x14ac:dyDescent="0.25">
      <c r="A77">
        <v>66</v>
      </c>
      <c r="B77" s="8" t="n">
        <v>0.0</v>
      </c>
      <c r="C77" s="11">
        <f t="shared" ref="C77:C102" si="2">B77/B$102</f>
        <v>0</v>
      </c>
      <c r="E77" s="85">
        <v>66</v>
      </c>
      <c r="F77" s="175" t="n">
        <v>0.0</v>
      </c>
      <c r="G77" s="11">
        <f t="shared" ref="G77:G102" si="3">F77/F$102</f>
        <v>0</v>
      </c>
    </row>
    <row r="78" spans="1:7" x14ac:dyDescent="0.25">
      <c r="A78">
        <v>67</v>
      </c>
      <c r="B78" s="8" t="n">
        <v>0.0</v>
      </c>
      <c r="C78" s="11">
        <f t="shared" si="2"/>
        <v>0</v>
      </c>
      <c r="E78" s="86">
        <v>67</v>
      </c>
      <c r="F78" s="176" t="n">
        <v>0.0</v>
      </c>
      <c r="G78" s="11">
        <f t="shared" si="3"/>
        <v>5.1943464732984621E-6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87">
        <v>68</v>
      </c>
      <c r="F79" s="177" t="n">
        <v>0.0</v>
      </c>
      <c r="G79" s="11">
        <f t="shared" si="3"/>
        <v>0</v>
      </c>
    </row>
    <row r="80" spans="1:7" x14ac:dyDescent="0.25">
      <c r="A80">
        <v>69</v>
      </c>
      <c r="B80" s="8" t="n">
        <v>0.0</v>
      </c>
      <c r="C80" s="11">
        <f t="shared" si="2"/>
        <v>0</v>
      </c>
      <c r="E80" s="88">
        <v>69</v>
      </c>
      <c r="F80" s="178" t="n">
        <v>0.0</v>
      </c>
      <c r="G80" s="11">
        <f t="shared" si="3"/>
        <v>0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89">
        <v>70</v>
      </c>
      <c r="F81" s="179" t="n">
        <v>0.0</v>
      </c>
      <c r="G81" s="11">
        <f t="shared" si="3"/>
        <v>0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90">
        <v>71</v>
      </c>
      <c r="F82" s="180" t="n">
        <v>0.0</v>
      </c>
      <c r="G82" s="11">
        <f t="shared" si="3"/>
        <v>0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91">
        <v>72</v>
      </c>
      <c r="F83" s="181" t="n">
        <v>0.0</v>
      </c>
      <c r="G83" s="11">
        <f t="shared" si="3"/>
        <v>0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92">
        <v>73</v>
      </c>
      <c r="F84" s="182" t="n">
        <v>0.0</v>
      </c>
      <c r="G84" s="11">
        <f t="shared" si="3"/>
        <v>0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93">
        <v>74</v>
      </c>
      <c r="F85" s="183" t="n">
        <v>0.0</v>
      </c>
      <c r="G85" s="11">
        <f t="shared" si="3"/>
        <v>5.1943464732984621E-6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94">
        <v>75</v>
      </c>
      <c r="F86" s="184" t="n">
        <v>0.0</v>
      </c>
      <c r="G86" s="11">
        <f t="shared" si="3"/>
        <v>0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95">
        <v>76</v>
      </c>
      <c r="F87" s="185" t="n">
        <v>0.0</v>
      </c>
      <c r="G87" s="11">
        <f t="shared" si="3"/>
        <v>0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96">
        <v>77</v>
      </c>
      <c r="F88" s="186" t="n">
        <v>0.0</v>
      </c>
      <c r="G88" s="11">
        <f t="shared" si="3"/>
        <v>0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97">
        <v>78</v>
      </c>
      <c r="F89" s="187" t="n">
        <v>0.0</v>
      </c>
      <c r="G89" s="11">
        <f t="shared" si="3"/>
        <v>0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98">
        <v>79</v>
      </c>
      <c r="F90" s="188" t="n">
        <v>0.0</v>
      </c>
      <c r="G90" s="11">
        <f t="shared" si="3"/>
        <v>0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99">
        <v>80</v>
      </c>
      <c r="F91" s="189" t="n">
        <v>0.0</v>
      </c>
      <c r="G91" s="11">
        <f t="shared" si="3"/>
        <v>0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100">
        <v>81</v>
      </c>
      <c r="F92" s="190" t="n">
        <v>0.0</v>
      </c>
      <c r="G92" s="11">
        <f t="shared" si="3"/>
        <v>0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101">
        <v>82</v>
      </c>
      <c r="F93" s="191" t="n">
        <v>0.0</v>
      </c>
      <c r="G93" s="11">
        <f t="shared" si="3"/>
        <v>0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102">
        <v>83</v>
      </c>
      <c r="F94" s="192" t="n">
        <v>0.0</v>
      </c>
      <c r="G94" s="11">
        <f t="shared" si="3"/>
        <v>0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103">
        <v>84</v>
      </c>
      <c r="F95" s="193" t="n">
        <v>0.0</v>
      </c>
      <c r="G95" s="11">
        <f t="shared" si="3"/>
        <v>0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104">
        <v>85</v>
      </c>
      <c r="F96" s="194" t="n">
        <v>0.0</v>
      </c>
      <c r="G96" s="11">
        <f t="shared" si="3"/>
        <v>0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105">
        <v>86</v>
      </c>
      <c r="F97" s="195" t="n">
        <v>0.0</v>
      </c>
      <c r="G97" s="11">
        <f t="shared" si="3"/>
        <v>0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106">
        <v>87</v>
      </c>
      <c r="F98" s="196" t="n">
        <v>0.0</v>
      </c>
      <c r="G98" s="11">
        <f t="shared" si="3"/>
        <v>0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107">
        <v>88</v>
      </c>
      <c r="F99" s="197" t="n">
        <v>0.0</v>
      </c>
      <c r="G99" s="11">
        <f t="shared" si="3"/>
        <v>0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108">
        <v>89</v>
      </c>
      <c r="F100" s="198" t="n">
        <v>0.0</v>
      </c>
      <c r="G100" s="11">
        <f t="shared" si="3"/>
        <v>0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82">
        <v>90</v>
      </c>
      <c r="F101" s="382" t="n">
        <v>0.0</v>
      </c>
      <c r="G101" s="11">
        <f t="shared" si="3"/>
        <v>0</v>
      </c>
    </row>
    <row r="102" spans="1:7" x14ac:dyDescent="0.25">
      <c r="B102" s="8">
        <f>SUM(B11:B101)</f>
        <v>191731.99750240811</v>
      </c>
      <c r="C102" s="11">
        <f t="shared" si="2"/>
        <v>1</v>
      </c>
      <c r="F102" s="8">
        <f>SUM(F11:F101)</f>
        <v>192517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49</v>
      </c>
    </row>
    <row r="3" spans="1:12" x14ac:dyDescent="0.25">
      <c r="A3" t="s">
        <v>10</v>
      </c>
    </row>
    <row r="4" spans="1:12" x14ac:dyDescent="0.25">
      <c r="A4" t="s">
        <v>9</v>
      </c>
    </row>
    <row r="5" spans="1:12" x14ac:dyDescent="0.25">
      <c r="A5" t="s">
        <v>11</v>
      </c>
    </row>
    <row r="6" spans="1:12" x14ac:dyDescent="0.25">
      <c r="A6" t="s">
        <v>12</v>
      </c>
    </row>
    <row r="7" spans="1:12" x14ac:dyDescent="0.25">
      <c r="A7" t="s">
        <v>13</v>
      </c>
    </row>
    <row r="9" spans="1:12" ht="15.75" thickBot="1" x14ac:dyDescent="0.3">
      <c r="A9" s="4" t="s">
        <v>50</v>
      </c>
      <c r="B9" s="1"/>
      <c r="E9" s="4" t="s">
        <v>15</v>
      </c>
      <c r="F9" s="1"/>
      <c r="J9" s="10" t="s">
        <v>22</v>
      </c>
    </row>
    <row r="10" spans="1:12" x14ac:dyDescent="0.25">
      <c r="A10" s="2" t="s">
        <v>19</v>
      </c>
      <c r="B10" s="5" t="s">
        <v>4</v>
      </c>
      <c r="C10" s="5" t="s">
        <v>48</v>
      </c>
      <c r="E10" s="2" t="s">
        <v>19</v>
      </c>
      <c r="F10" s="5" t="s">
        <v>4</v>
      </c>
      <c r="G10" s="5" t="s">
        <v>48</v>
      </c>
      <c r="J10" s="2"/>
      <c r="K10" s="5" t="s">
        <v>48</v>
      </c>
      <c r="L10" s="5" t="s">
        <v>20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99">
        <v>0</v>
      </c>
      <c r="F11" s="289" t="n">
        <v>1207.0</v>
      </c>
      <c r="G11" s="11">
        <f>F11/F$102</f>
        <v>6.2280214214848559E-3</v>
      </c>
      <c r="K11" s="8" t="n">
        <v>12.654866177140065</v>
      </c>
      <c r="L11" s="8" t="n">
        <v>13.057252047905331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200">
        <v>1</v>
      </c>
      <c r="F12" s="290" t="n">
        <v>2986.0</v>
      </c>
      <c r="G12" s="11">
        <f>F12/F$102</f>
        <v>1.6040141909545651E-2</v>
      </c>
      <c r="K12" s="8"/>
      <c r="L12" s="380"/>
    </row>
    <row r="13" spans="1:12" x14ac:dyDescent="0.25">
      <c r="A13">
        <v>2</v>
      </c>
      <c r="B13" s="8" t="n">
        <v>2181.6561646749165</v>
      </c>
      <c r="C13" s="11">
        <f t="shared" ref="C13:C76" si="0">B13/B$102</f>
        <v>1.1378675406787626E-2</v>
      </c>
      <c r="E13" s="201">
        <v>2</v>
      </c>
      <c r="F13" s="291" t="n">
        <v>3212.0</v>
      </c>
      <c r="G13" s="11">
        <f t="shared" ref="G13:G76" si="1">F13/F$102</f>
        <v>1.6554382210402199E-2</v>
      </c>
    </row>
    <row r="14" spans="1:12" x14ac:dyDescent="0.25">
      <c r="A14">
        <v>3</v>
      </c>
      <c r="B14" s="8" t="n">
        <v>16385.067072319183</v>
      </c>
      <c r="C14" s="11">
        <f t="shared" si="0"/>
        <v>8.5458177486068279E-2</v>
      </c>
      <c r="E14" s="202">
        <v>3</v>
      </c>
      <c r="F14" s="292" t="n">
        <v>4827.0</v>
      </c>
      <c r="G14" s="11">
        <f t="shared" si="1"/>
        <v>2.5571767688048329E-2</v>
      </c>
    </row>
    <row r="15" spans="1:12" x14ac:dyDescent="0.25">
      <c r="A15">
        <v>4</v>
      </c>
      <c r="B15" s="8" t="n">
        <v>10215.225472649288</v>
      </c>
      <c r="C15" s="11">
        <f t="shared" si="0"/>
        <v>5.3278668170767859E-2</v>
      </c>
      <c r="E15" s="203">
        <v>4</v>
      </c>
      <c r="F15" s="293" t="n">
        <v>7876.0</v>
      </c>
      <c r="G15" s="11">
        <f t="shared" si="1"/>
        <v>4.1882015614205501E-2</v>
      </c>
    </row>
    <row r="16" spans="1:12" x14ac:dyDescent="0.25">
      <c r="A16">
        <v>5</v>
      </c>
      <c r="B16" s="8" t="n">
        <v>13237.367225628988</v>
      </c>
      <c r="C16" s="11">
        <f t="shared" si="0"/>
        <v>6.9040991582340006E-2</v>
      </c>
      <c r="E16" s="204">
        <v>5</v>
      </c>
      <c r="F16" s="294" t="n">
        <v>11121.0</v>
      </c>
      <c r="G16" s="11">
        <f t="shared" si="1"/>
        <v>6.0264807783208758E-2</v>
      </c>
    </row>
    <row r="17" spans="1:7" x14ac:dyDescent="0.25">
      <c r="A17">
        <v>6</v>
      </c>
      <c r="B17" s="8" t="n">
        <v>11604.08840600555</v>
      </c>
      <c r="C17" s="11">
        <f t="shared" si="0"/>
        <v>6.0522440475068912E-2</v>
      </c>
      <c r="E17" s="205">
        <v>6</v>
      </c>
      <c r="F17" s="295" t="n">
        <v>14486.0</v>
      </c>
      <c r="G17" s="11">
        <f t="shared" si="1"/>
        <v>7.3629861259005697E-2</v>
      </c>
    </row>
    <row r="18" spans="1:7" x14ac:dyDescent="0.25">
      <c r="A18">
        <v>7</v>
      </c>
      <c r="B18" s="8" t="n">
        <v>18248.452321616147</v>
      </c>
      <c r="C18" s="11">
        <f t="shared" si="0"/>
        <v>9.5176874800915579E-2</v>
      </c>
      <c r="E18" s="206">
        <v>7</v>
      </c>
      <c r="F18" s="296" t="n">
        <v>17187.0</v>
      </c>
      <c r="G18" s="11">
        <f t="shared" si="1"/>
        <v>7.8403465667966979E-2</v>
      </c>
    </row>
    <row r="19" spans="1:7" x14ac:dyDescent="0.25">
      <c r="A19">
        <v>8</v>
      </c>
      <c r="B19" s="8" t="n">
        <v>15455.373198072508</v>
      </c>
      <c r="C19" s="11">
        <f t="shared" si="0"/>
        <v>8.0609253538280162E-2</v>
      </c>
      <c r="E19" s="207">
        <v>8</v>
      </c>
      <c r="F19" s="297" t="n">
        <v>17154.0</v>
      </c>
      <c r="G19" s="11">
        <f t="shared" si="1"/>
        <v>7.7411345491566974E-2</v>
      </c>
    </row>
    <row r="20" spans="1:7" x14ac:dyDescent="0.25">
      <c r="A20">
        <v>9</v>
      </c>
      <c r="B20" s="8" t="n">
        <v>11737.671428330143</v>
      </c>
      <c r="C20" s="11">
        <f t="shared" si="0"/>
        <v>6.1219157893469114E-2</v>
      </c>
      <c r="E20" s="208">
        <v>9</v>
      </c>
      <c r="F20" s="298" t="n">
        <v>15217.0</v>
      </c>
      <c r="G20" s="11">
        <f t="shared" si="1"/>
        <v>6.9848377026444419E-2</v>
      </c>
    </row>
    <row r="21" spans="1:7" x14ac:dyDescent="0.25">
      <c r="A21">
        <v>10</v>
      </c>
      <c r="B21" s="8" t="n">
        <v>12748.636819388863</v>
      </c>
      <c r="C21" s="11">
        <f t="shared" si="0"/>
        <v>6.6491962663815407E-2</v>
      </c>
      <c r="E21" s="209">
        <v>10</v>
      </c>
      <c r="F21" s="299" t="n">
        <v>14038.0</v>
      </c>
      <c r="G21" s="11">
        <f t="shared" si="1"/>
        <v>6.3957988125723966E-2</v>
      </c>
    </row>
    <row r="22" spans="1:7" x14ac:dyDescent="0.25">
      <c r="A22">
        <v>11</v>
      </c>
      <c r="B22" s="8" t="n">
        <v>8652.845097207042</v>
      </c>
      <c r="C22" s="11">
        <f t="shared" si="0"/>
        <v>4.5129895948110427E-2</v>
      </c>
      <c r="E22" s="210">
        <v>11</v>
      </c>
      <c r="F22" s="300" t="n">
        <v>12239.0</v>
      </c>
      <c r="G22" s="11">
        <f t="shared" si="1"/>
        <v>5.5195125625269459E-2</v>
      </c>
    </row>
    <row r="23" spans="1:7" x14ac:dyDescent="0.25">
      <c r="A23">
        <v>12</v>
      </c>
      <c r="B23" s="8" t="n">
        <v>9021.229093444825</v>
      </c>
      <c r="C23" s="11">
        <f t="shared" si="0"/>
        <v>4.7051244502532889E-2</v>
      </c>
      <c r="E23" s="211">
        <v>12</v>
      </c>
      <c r="F23" s="301" t="n">
        <v>10804.0</v>
      </c>
      <c r="G23" s="11">
        <f t="shared" si="1"/>
        <v>4.8458058249401352E-2</v>
      </c>
    </row>
    <row r="24" spans="1:7" x14ac:dyDescent="0.25">
      <c r="A24">
        <v>13</v>
      </c>
      <c r="B24" s="8" t="n">
        <v>4888.392766630912</v>
      </c>
      <c r="C24" s="11">
        <f t="shared" si="0"/>
        <v>2.5495967445754678E-2</v>
      </c>
      <c r="E24" s="212">
        <v>13</v>
      </c>
      <c r="F24" s="302" t="n">
        <v>9013.0</v>
      </c>
      <c r="G24" s="11">
        <f t="shared" si="1"/>
        <v>4.1570354825807593E-2</v>
      </c>
    </row>
    <row r="25" spans="1:7" x14ac:dyDescent="0.25">
      <c r="A25">
        <v>14</v>
      </c>
      <c r="B25" s="8" t="n">
        <v>5235.619013792469</v>
      </c>
      <c r="C25" s="11">
        <f t="shared" si="0"/>
        <v>2.7306965357864761E-2</v>
      </c>
      <c r="E25" s="213">
        <v>14</v>
      </c>
      <c r="F25" s="303" t="n">
        <v>7698.0</v>
      </c>
      <c r="G25" s="11">
        <f t="shared" si="1"/>
        <v>3.4599541858641052E-2</v>
      </c>
    </row>
    <row r="26" spans="1:7" x14ac:dyDescent="0.25">
      <c r="A26">
        <v>15</v>
      </c>
      <c r="B26" s="8" t="n">
        <v>6030.043230292258</v>
      </c>
      <c r="C26" s="11">
        <f t="shared" si="0"/>
        <v>3.1450375048726671E-2</v>
      </c>
      <c r="E26" s="214">
        <v>15</v>
      </c>
      <c r="F26" s="304" t="n">
        <v>6460.0</v>
      </c>
      <c r="G26" s="11">
        <f t="shared" si="1"/>
        <v>2.8771485115600182E-2</v>
      </c>
    </row>
    <row r="27" spans="1:7" x14ac:dyDescent="0.25">
      <c r="A27">
        <v>16</v>
      </c>
      <c r="B27" s="8" t="n">
        <v>3726.79885901899</v>
      </c>
      <c r="C27" s="11">
        <f t="shared" si="0"/>
        <v>1.9437542546711244E-2</v>
      </c>
      <c r="E27" s="215">
        <v>16</v>
      </c>
      <c r="F27" s="305" t="n">
        <v>5623.0</v>
      </c>
      <c r="G27" s="11">
        <f t="shared" si="1"/>
        <v>2.53328277502766E-2</v>
      </c>
    </row>
    <row r="28" spans="1:7" x14ac:dyDescent="0.25">
      <c r="A28">
        <v>17</v>
      </c>
      <c r="B28" s="8" t="n">
        <v>5076.223725841501</v>
      </c>
      <c r="C28" s="11">
        <f t="shared" si="0"/>
        <v>2.6475621137665072E-2</v>
      </c>
      <c r="E28" s="216">
        <v>17</v>
      </c>
      <c r="F28" s="306" t="n">
        <v>4745.0</v>
      </c>
      <c r="G28" s="11">
        <f t="shared" si="1"/>
        <v>2.1192933611057726E-2</v>
      </c>
    </row>
    <row r="29" spans="1:7" x14ac:dyDescent="0.25">
      <c r="A29">
        <v>18</v>
      </c>
      <c r="B29" s="8" t="n">
        <v>3760.7633766489516</v>
      </c>
      <c r="C29" s="11">
        <f t="shared" si="0"/>
        <v>1.9614688344347528E-2</v>
      </c>
      <c r="E29" s="217">
        <v>18</v>
      </c>
      <c r="F29" s="307" t="n">
        <v>4012.0</v>
      </c>
      <c r="G29" s="11">
        <f t="shared" si="1"/>
        <v>1.8128269191811631E-2</v>
      </c>
    </row>
    <row r="30" spans="1:7" x14ac:dyDescent="0.25">
      <c r="A30">
        <v>19</v>
      </c>
      <c r="B30" s="8" t="n">
        <v>2283.5897968419663</v>
      </c>
      <c r="C30" s="11">
        <f t="shared" si="0"/>
        <v>1.191032183771666E-2</v>
      </c>
      <c r="E30" s="218">
        <v>19</v>
      </c>
      <c r="F30" s="308" t="n">
        <v>3608.0</v>
      </c>
      <c r="G30" s="11">
        <f t="shared" si="1"/>
        <v>1.5967421058919472E-2</v>
      </c>
    </row>
    <row r="31" spans="1:7" x14ac:dyDescent="0.25">
      <c r="A31">
        <v>20</v>
      </c>
      <c r="B31" s="8" t="n">
        <v>4118.744174278329</v>
      </c>
      <c r="C31" s="11">
        <f t="shared" si="0"/>
        <v>2.1481777835369399E-2</v>
      </c>
      <c r="E31" s="219">
        <v>20</v>
      </c>
      <c r="F31" s="309" t="n">
        <v>3221.0</v>
      </c>
      <c r="G31" s="11">
        <f t="shared" si="1"/>
        <v>1.4944134803679674E-2</v>
      </c>
    </row>
    <row r="32" spans="1:7" x14ac:dyDescent="0.25">
      <c r="A32">
        <v>21</v>
      </c>
      <c r="B32" s="8" t="n">
        <v>2175.0320066101713</v>
      </c>
      <c r="C32" s="11">
        <f t="shared" si="0"/>
        <v>1.1344126358370905E-2</v>
      </c>
      <c r="E32" s="220">
        <v>21</v>
      </c>
      <c r="F32" s="310" t="n">
        <v>2896.0</v>
      </c>
      <c r="G32" s="11">
        <f t="shared" si="1"/>
        <v>1.3588410374148777E-2</v>
      </c>
    </row>
    <row r="33" spans="1:7" x14ac:dyDescent="0.25">
      <c r="A33">
        <v>22</v>
      </c>
      <c r="B33" s="8" t="n">
        <v>4466.189547539405</v>
      </c>
      <c r="C33" s="11">
        <f t="shared" si="0"/>
        <v>2.3293918624528558E-2</v>
      </c>
      <c r="E33" s="221">
        <v>22</v>
      </c>
      <c r="F33" s="311" t="n">
        <v>2575.0</v>
      </c>
      <c r="G33" s="11">
        <f t="shared" si="1"/>
        <v>1.2487208921809503E-2</v>
      </c>
    </row>
    <row r="34" spans="1:7" x14ac:dyDescent="0.25">
      <c r="A34">
        <v>23</v>
      </c>
      <c r="B34" s="8" t="n">
        <v>2282.3234236523413</v>
      </c>
      <c r="C34" s="11">
        <f t="shared" si="0"/>
        <v>1.1903716924576853E-2</v>
      </c>
      <c r="E34" s="222">
        <v>23</v>
      </c>
      <c r="F34" s="312" t="n">
        <v>2275.0</v>
      </c>
      <c r="G34" s="11">
        <f t="shared" si="1"/>
        <v>1.1848304305593792E-2</v>
      </c>
    </row>
    <row r="35" spans="1:7" x14ac:dyDescent="0.25">
      <c r="A35">
        <v>24</v>
      </c>
      <c r="B35" s="8" t="n">
        <v>2519.2505431342697</v>
      </c>
      <c r="C35" s="11">
        <f t="shared" si="0"/>
        <v>1.3139437214190759E-2</v>
      </c>
      <c r="E35" s="223">
        <v>24</v>
      </c>
      <c r="F35" s="313" t="n">
        <v>2084.0</v>
      </c>
      <c r="G35" s="11">
        <f t="shared" si="1"/>
        <v>1.0949682365713158E-2</v>
      </c>
    </row>
    <row r="36" spans="1:7" x14ac:dyDescent="0.25">
      <c r="A36">
        <v>25</v>
      </c>
      <c r="B36" s="8" t="n">
        <v>1038.8248807695386</v>
      </c>
      <c r="C36" s="11">
        <f t="shared" si="0"/>
        <v>5.4181091017762523E-3</v>
      </c>
      <c r="E36" s="224">
        <v>25</v>
      </c>
      <c r="F36" s="314" t="n">
        <v>1904.0</v>
      </c>
      <c r="G36" s="11">
        <f t="shared" si="1"/>
        <v>9.8900356851602724E-3</v>
      </c>
    </row>
    <row r="37" spans="1:7" x14ac:dyDescent="0.25">
      <c r="A37">
        <v>26</v>
      </c>
      <c r="B37" s="8" t="n">
        <v>561.8813095310131</v>
      </c>
      <c r="C37" s="11">
        <f t="shared" si="0"/>
        <v>2.9305557593429666E-3</v>
      </c>
      <c r="E37" s="225">
        <v>26</v>
      </c>
      <c r="F37" s="315" t="n">
        <v>1706.0</v>
      </c>
      <c r="G37" s="11">
        <f t="shared" si="1"/>
        <v>9.3550179984105298E-3</v>
      </c>
    </row>
    <row r="38" spans="1:7" x14ac:dyDescent="0.25">
      <c r="A38">
        <v>27</v>
      </c>
      <c r="B38" s="8" t="n">
        <v>1545.501019888868</v>
      </c>
      <c r="C38" s="11">
        <f t="shared" si="0"/>
        <v>8.060736027482621E-3</v>
      </c>
      <c r="E38" s="226">
        <v>27</v>
      </c>
      <c r="F38" s="316" t="n">
        <v>1654.0</v>
      </c>
      <c r="G38" s="11">
        <f t="shared" si="1"/>
        <v>8.5654773344691643E-3</v>
      </c>
    </row>
    <row r="39" spans="1:7" x14ac:dyDescent="0.25">
      <c r="A39">
        <v>28</v>
      </c>
      <c r="B39" s="8" t="n">
        <v>706.5448829114837</v>
      </c>
      <c r="C39" s="11">
        <f t="shared" si="0"/>
        <v>3.6850650497322959E-3</v>
      </c>
      <c r="E39" s="227">
        <v>28</v>
      </c>
      <c r="F39" s="317" t="n">
        <v>1399.0</v>
      </c>
      <c r="G39" s="11">
        <f t="shared" si="1"/>
        <v>7.8330744817340803E-3</v>
      </c>
    </row>
    <row r="40" spans="1:7" x14ac:dyDescent="0.25">
      <c r="A40">
        <v>29</v>
      </c>
      <c r="B40" s="8" t="n">
        <v>320.89073175354963</v>
      </c>
      <c r="C40" s="11">
        <f t="shared" si="0"/>
        <v>1.6736420416707935E-3</v>
      </c>
      <c r="E40" s="228">
        <v>29</v>
      </c>
      <c r="F40" s="318" t="n">
        <v>1308.0</v>
      </c>
      <c r="G40" s="11">
        <f t="shared" si="1"/>
        <v>7.0487281642660129E-3</v>
      </c>
    </row>
    <row r="41" spans="1:7" x14ac:dyDescent="0.25">
      <c r="A41">
        <v>30</v>
      </c>
      <c r="B41" s="8" t="n">
        <v>592.4814973405402</v>
      </c>
      <c r="C41" s="11">
        <f t="shared" si="0"/>
        <v>3.0901545128538027E-3</v>
      </c>
      <c r="E41" s="229">
        <v>30</v>
      </c>
      <c r="F41" s="319" t="n">
        <v>1212.0</v>
      </c>
      <c r="G41" s="11">
        <f t="shared" si="1"/>
        <v>6.8617316912272684E-3</v>
      </c>
    </row>
    <row r="42" spans="1:7" x14ac:dyDescent="0.25">
      <c r="A42">
        <v>31</v>
      </c>
      <c r="B42" s="8" t="n">
        <v>544.150503287906</v>
      </c>
      <c r="C42" s="11">
        <f t="shared" si="0"/>
        <v>2.8380787264320438E-3</v>
      </c>
      <c r="E42" s="230">
        <v>31</v>
      </c>
      <c r="F42" s="320" t="n">
        <v>1030.0</v>
      </c>
      <c r="G42" s="11">
        <f t="shared" si="1"/>
        <v>5.9942758301864251E-3</v>
      </c>
    </row>
    <row r="43" spans="1:7" x14ac:dyDescent="0.25">
      <c r="A43">
        <v>32</v>
      </c>
      <c r="B43" s="8" t="n">
        <v>523.5763537376699</v>
      </c>
      <c r="C43" s="11">
        <f t="shared" si="0"/>
        <v>2.7307719137025848E-3</v>
      </c>
      <c r="E43" s="231">
        <v>32</v>
      </c>
      <c r="F43" s="321" t="n">
        <v>981.0</v>
      </c>
      <c r="G43" s="11">
        <f t="shared" si="1"/>
        <v>5.7605302388879943E-3</v>
      </c>
    </row>
    <row r="44" spans="1:7" x14ac:dyDescent="0.25">
      <c r="A44">
        <v>33</v>
      </c>
      <c r="B44" s="8" t="n">
        <v>1008.4695488401627</v>
      </c>
      <c r="C44" s="11">
        <f t="shared" si="0"/>
        <v>5.2597874219064405E-3</v>
      </c>
      <c r="E44" s="232">
        <v>33</v>
      </c>
      <c r="F44" s="322" t="n">
        <v>893.0</v>
      </c>
      <c r="G44" s="11">
        <f t="shared" si="1"/>
        <v>5.4228977181235939E-3</v>
      </c>
    </row>
    <row r="45" spans="1:7" x14ac:dyDescent="0.25">
      <c r="A45">
        <v>34</v>
      </c>
      <c r="B45" s="8" t="n">
        <v>1260.429983796431</v>
      </c>
      <c r="C45" s="11">
        <f t="shared" si="0"/>
        <v>6.5739156750849632E-3</v>
      </c>
      <c r="E45" s="233">
        <v>34</v>
      </c>
      <c r="F45" s="323" t="n">
        <v>774.0</v>
      </c>
      <c r="G45" s="11">
        <f t="shared" si="1"/>
        <v>4.4255831952502893E-3</v>
      </c>
    </row>
    <row r="46" spans="1:7" x14ac:dyDescent="0.25">
      <c r="A46">
        <v>35</v>
      </c>
      <c r="B46" s="8" t="n">
        <v>0.0</v>
      </c>
      <c r="C46" s="11">
        <f t="shared" si="0"/>
        <v>0</v>
      </c>
      <c r="E46" s="234">
        <v>35</v>
      </c>
      <c r="F46" s="324" t="n">
        <v>728.0</v>
      </c>
      <c r="G46" s="11">
        <f t="shared" si="1"/>
        <v>4.3009188798911269E-3</v>
      </c>
    </row>
    <row r="47" spans="1:7" x14ac:dyDescent="0.25">
      <c r="A47">
        <v>36</v>
      </c>
      <c r="B47" s="8" t="n">
        <v>1247.227183727683</v>
      </c>
      <c r="C47" s="11">
        <f t="shared" si="0"/>
        <v>6.5050549724336897E-3</v>
      </c>
      <c r="E47" s="235">
        <v>36</v>
      </c>
      <c r="F47" s="325" t="n">
        <v>674.0</v>
      </c>
      <c r="G47" s="11">
        <f t="shared" si="1"/>
        <v>3.7918729255078773E-3</v>
      </c>
    </row>
    <row r="48" spans="1:7" x14ac:dyDescent="0.25">
      <c r="A48">
        <v>37</v>
      </c>
      <c r="B48" s="8" t="n">
        <v>883.9480648533572</v>
      </c>
      <c r="C48" s="11">
        <f t="shared" si="0"/>
        <v>4.6103314854488778E-3</v>
      </c>
      <c r="E48" s="236">
        <v>37</v>
      </c>
      <c r="F48" s="326" t="n">
        <v>647.0</v>
      </c>
      <c r="G48" s="11">
        <f t="shared" si="1"/>
        <v>3.6412368777822219E-3</v>
      </c>
    </row>
    <row r="49" spans="1:7" x14ac:dyDescent="0.25">
      <c r="A49">
        <v>38</v>
      </c>
      <c r="B49" s="8" t="n">
        <v>169.9715476878871</v>
      </c>
      <c r="C49" s="11">
        <f t="shared" si="0"/>
        <v>8.8650590356339652E-4</v>
      </c>
      <c r="E49" s="237">
        <v>38</v>
      </c>
      <c r="F49" s="327" t="n">
        <v>552.0</v>
      </c>
      <c r="G49" s="11">
        <f t="shared" si="1"/>
        <v>3.407491286483791E-3</v>
      </c>
    </row>
    <row r="50" spans="1:7" x14ac:dyDescent="0.25">
      <c r="A50">
        <v>39</v>
      </c>
      <c r="B50" s="8" t="n">
        <v>30.9883435548812</v>
      </c>
      <c r="C50" s="11">
        <f t="shared" si="0"/>
        <v>1.6162322386742989E-4</v>
      </c>
      <c r="E50" s="238">
        <v>39</v>
      </c>
      <c r="F50" s="328" t="n">
        <v>513.0</v>
      </c>
      <c r="G50" s="11">
        <f t="shared" si="1"/>
        <v>3.0594700727727942E-3</v>
      </c>
    </row>
    <row r="51" spans="1:7" x14ac:dyDescent="0.25">
      <c r="A51">
        <v>40</v>
      </c>
      <c r="B51" s="8" t="n">
        <v>101.93899240080219</v>
      </c>
      <c r="C51" s="11">
        <f t="shared" si="0"/>
        <v>5.3167438783670892E-4</v>
      </c>
      <c r="E51" s="239">
        <v>40</v>
      </c>
      <c r="F51" s="329" t="n">
        <v>443.0</v>
      </c>
      <c r="G51" s="11">
        <f t="shared" si="1"/>
        <v>2.7633923237947817E-3</v>
      </c>
    </row>
    <row r="52" spans="1:7" x14ac:dyDescent="0.25">
      <c r="A52">
        <v>41</v>
      </c>
      <c r="B52" s="8" t="n">
        <v>729.2903439310518</v>
      </c>
      <c r="C52" s="11">
        <f t="shared" si="0"/>
        <v>3.8036965839355658E-3</v>
      </c>
      <c r="E52" s="240">
        <v>41</v>
      </c>
      <c r="F52" s="330" t="n">
        <v>437.0</v>
      </c>
      <c r="G52" s="11">
        <f t="shared" si="1"/>
        <v>2.7166432055350958E-3</v>
      </c>
    </row>
    <row r="53" spans="1:7" x14ac:dyDescent="0.25">
      <c r="A53">
        <v>42</v>
      </c>
      <c r="B53" s="8" t="n">
        <v>153.684720002307</v>
      </c>
      <c r="C53" s="11">
        <f t="shared" si="0"/>
        <v>8.0156010475182591E-4</v>
      </c>
      <c r="E53" s="241">
        <v>42</v>
      </c>
      <c r="F53" s="331" t="n">
        <v>405.0</v>
      </c>
      <c r="G53" s="11">
        <f t="shared" si="1"/>
        <v>2.3270672200377111E-3</v>
      </c>
    </row>
    <row r="54" spans="1:7" x14ac:dyDescent="0.25">
      <c r="A54">
        <v>43</v>
      </c>
      <c r="B54" s="8" t="n">
        <v>305.7941528263174</v>
      </c>
      <c r="C54" s="11">
        <f t="shared" si="0"/>
        <v>1.5949041203854187E-3</v>
      </c>
      <c r="E54" s="242">
        <v>43</v>
      </c>
      <c r="F54" s="332" t="n">
        <v>351.0</v>
      </c>
      <c r="G54" s="11">
        <f t="shared" si="1"/>
        <v>2.1972085582052494E-3</v>
      </c>
    </row>
    <row r="55" spans="1:7" x14ac:dyDescent="0.25">
      <c r="A55">
        <v>44</v>
      </c>
      <c r="B55" s="8" t="n">
        <v>103.836508007393</v>
      </c>
      <c r="C55" s="11">
        <f t="shared" si="0"/>
        <v>5.4157109590478696E-4</v>
      </c>
      <c r="E55" s="243">
        <v>44</v>
      </c>
      <c r="F55" s="333" t="n">
        <v>331.0</v>
      </c>
      <c r="G55" s="11">
        <f t="shared" si="1"/>
        <v>2.0102120851665049E-3</v>
      </c>
    </row>
    <row r="56" spans="1:7" x14ac:dyDescent="0.25">
      <c r="A56">
        <v>45</v>
      </c>
      <c r="B56" s="8" t="n">
        <v>417.917230740315</v>
      </c>
      <c r="C56" s="11">
        <f t="shared" si="0"/>
        <v>2.1796947623990942E-3</v>
      </c>
      <c r="E56" s="244">
        <v>45</v>
      </c>
      <c r="F56" s="334" t="n">
        <v>288.0</v>
      </c>
      <c r="G56" s="11">
        <f t="shared" si="1"/>
        <v>1.5998587137759262E-3</v>
      </c>
    </row>
    <row r="57" spans="1:7" x14ac:dyDescent="0.25">
      <c r="A57">
        <v>46</v>
      </c>
      <c r="B57" s="8" t="n">
        <v>0.0</v>
      </c>
      <c r="C57" s="11">
        <f t="shared" si="0"/>
        <v>0</v>
      </c>
      <c r="E57" s="245">
        <v>46</v>
      </c>
      <c r="F57" s="335" t="n">
        <v>233.0</v>
      </c>
      <c r="G57" s="11">
        <f t="shared" si="1"/>
        <v>1.5375265560963448E-3</v>
      </c>
    </row>
    <row r="58" spans="1:7" x14ac:dyDescent="0.25">
      <c r="A58">
        <v>47</v>
      </c>
      <c r="B58" s="8" t="n">
        <v>43.312375455354</v>
      </c>
      <c r="C58" s="11">
        <f t="shared" si="0"/>
        <v>2.2590061137192307E-4</v>
      </c>
      <c r="E58" s="246">
        <v>47</v>
      </c>
      <c r="F58" s="336" t="n">
        <v>222.0</v>
      </c>
      <c r="G58" s="11">
        <f t="shared" si="1"/>
        <v>1.3141696577445108E-3</v>
      </c>
    </row>
    <row r="59" spans="1:7" x14ac:dyDescent="0.25">
      <c r="A59">
        <v>48</v>
      </c>
      <c r="B59" s="8" t="n">
        <v>0.0</v>
      </c>
      <c r="C59" s="11">
        <f t="shared" si="0"/>
        <v>0</v>
      </c>
      <c r="E59" s="247">
        <v>48</v>
      </c>
      <c r="F59" s="337" t="n">
        <v>175.0</v>
      </c>
      <c r="G59" s="11">
        <f t="shared" si="1"/>
        <v>1.1998940353319448E-3</v>
      </c>
    </row>
    <row r="60" spans="1:7" x14ac:dyDescent="0.25">
      <c r="A60">
        <v>49</v>
      </c>
      <c r="B60" s="8" t="n">
        <v>0.0</v>
      </c>
      <c r="C60" s="11">
        <f t="shared" si="0"/>
        <v>0</v>
      </c>
      <c r="E60" s="248">
        <v>49</v>
      </c>
      <c r="F60" s="338" t="n">
        <v>179.0</v>
      </c>
      <c r="G60" s="11">
        <f t="shared" si="1"/>
        <v>1.1583392635455571E-3</v>
      </c>
    </row>
    <row r="61" spans="1:7" x14ac:dyDescent="0.25">
      <c r="A61">
        <v>50</v>
      </c>
      <c r="B61" s="8" t="n">
        <v>209.6147996256503</v>
      </c>
      <c r="C61" s="11">
        <f t="shared" si="0"/>
        <v>1.093269784679616E-3</v>
      </c>
      <c r="E61" s="249">
        <v>50</v>
      </c>
      <c r="F61" s="339" t="n">
        <v>146.0</v>
      </c>
      <c r="G61" s="11">
        <f t="shared" si="1"/>
        <v>1.0596466805528862E-3</v>
      </c>
    </row>
    <row r="62" spans="1:7" x14ac:dyDescent="0.25">
      <c r="A62">
        <v>51</v>
      </c>
      <c r="B62" s="8" t="n">
        <v>297.198822002302</v>
      </c>
      <c r="C62" s="11">
        <f t="shared" si="0"/>
        <v>1.5500741966586427E-3</v>
      </c>
      <c r="E62" s="250">
        <v>51</v>
      </c>
      <c r="F62" s="340" t="n">
        <v>126.0</v>
      </c>
      <c r="G62" s="11">
        <f t="shared" si="1"/>
        <v>8.2590108925445548E-4</v>
      </c>
    </row>
    <row r="63" spans="1:7" x14ac:dyDescent="0.25">
      <c r="A63">
        <v>52</v>
      </c>
      <c r="B63" s="8" t="n">
        <v>799.8593989878473</v>
      </c>
      <c r="C63" s="11">
        <f t="shared" si="0"/>
        <v>4.1717575021759301E-3</v>
      </c>
      <c r="E63" s="251">
        <v>52</v>
      </c>
      <c r="F63" s="341" t="n">
        <v>125.0</v>
      </c>
      <c r="G63" s="11">
        <f t="shared" si="1"/>
        <v>7.6876327804817238E-4</v>
      </c>
    </row>
    <row r="64" spans="1:7" x14ac:dyDescent="0.25">
      <c r="A64">
        <v>53</v>
      </c>
      <c r="B64" s="8" t="n">
        <v>284.9141901247139</v>
      </c>
      <c r="C64" s="11">
        <f t="shared" si="0"/>
        <v>1.4860023044465261E-3</v>
      </c>
      <c r="E64" s="252">
        <v>53</v>
      </c>
      <c r="F64" s="342" t="n">
        <v>100.0</v>
      </c>
      <c r="G64" s="11">
        <f t="shared" si="1"/>
        <v>6.2332157679581546E-4</v>
      </c>
    </row>
    <row r="65" spans="1:7" x14ac:dyDescent="0.25">
      <c r="A65">
        <v>54</v>
      </c>
      <c r="B65" s="8" t="n">
        <v>557.962377568389</v>
      </c>
      <c r="C65" s="11">
        <f t="shared" si="0"/>
        <v>2.9101161247818397E-3</v>
      </c>
      <c r="E65" s="253">
        <v>54</v>
      </c>
      <c r="F65" s="343" t="n">
        <v>77.0</v>
      </c>
      <c r="G65" s="11">
        <f t="shared" si="1"/>
        <v>7.427915456816801E-4</v>
      </c>
    </row>
    <row r="66" spans="1:7" x14ac:dyDescent="0.25">
      <c r="A66">
        <v>55</v>
      </c>
      <c r="B66" s="8" t="n">
        <v>131.3562099760277</v>
      </c>
      <c r="C66" s="11">
        <f t="shared" si="0"/>
        <v>6.8510322578983188E-4</v>
      </c>
      <c r="E66" s="254">
        <v>55</v>
      </c>
      <c r="F66" s="344" t="n">
        <v>85.0</v>
      </c>
      <c r="G66" s="11">
        <f t="shared" si="1"/>
        <v>6.2851592326911389E-4</v>
      </c>
    </row>
    <row r="67" spans="1:7" x14ac:dyDescent="0.25">
      <c r="A67">
        <v>56</v>
      </c>
      <c r="B67" s="8" t="n">
        <v>68.037465976116</v>
      </c>
      <c r="C67" s="11">
        <f t="shared" si="0"/>
        <v>3.5485712798283183E-4</v>
      </c>
      <c r="E67" s="255">
        <v>56</v>
      </c>
      <c r="F67" s="345" t="n">
        <v>76.0</v>
      </c>
      <c r="G67" s="11">
        <f t="shared" si="1"/>
        <v>5.1943464732984623E-4</v>
      </c>
    </row>
    <row r="68" spans="1:7" x14ac:dyDescent="0.25">
      <c r="A68">
        <v>57</v>
      </c>
      <c r="B68" s="8" t="n">
        <v>90.508019023347</v>
      </c>
      <c r="C68" s="11">
        <f t="shared" si="0"/>
        <v>4.7205484844651602E-4</v>
      </c>
      <c r="E68" s="256">
        <v>57</v>
      </c>
      <c r="F68" s="346" t="n">
        <v>51.0</v>
      </c>
      <c r="G68" s="11">
        <f t="shared" si="1"/>
        <v>4.8826856849005541E-4</v>
      </c>
    </row>
    <row r="69" spans="1:7" x14ac:dyDescent="0.25">
      <c r="A69">
        <v>58</v>
      </c>
      <c r="B69" s="8" t="n">
        <v>26.7976722362533</v>
      </c>
      <c r="C69" s="11">
        <f t="shared" si="0"/>
        <v>1.3976630184493196E-4</v>
      </c>
      <c r="E69" s="257">
        <v>58</v>
      </c>
      <c r="F69" s="347" t="n">
        <v>52.0</v>
      </c>
      <c r="G69" s="11">
        <f t="shared" si="1"/>
        <v>4.1554771786387696E-4</v>
      </c>
    </row>
    <row r="70" spans="1:7" x14ac:dyDescent="0.25">
      <c r="A70">
        <v>59</v>
      </c>
      <c r="B70" s="8" t="n">
        <v>0.0</v>
      </c>
      <c r="C70" s="11">
        <f t="shared" si="0"/>
        <v>0</v>
      </c>
      <c r="E70" s="258">
        <v>59</v>
      </c>
      <c r="F70" s="348" t="n">
        <v>54.0</v>
      </c>
      <c r="G70" s="11">
        <f t="shared" si="1"/>
        <v>3.6360425313089234E-4</v>
      </c>
    </row>
    <row r="71" spans="1:7" x14ac:dyDescent="0.25">
      <c r="A71">
        <v>60</v>
      </c>
      <c r="B71" s="8" t="n">
        <v>0.0</v>
      </c>
      <c r="C71" s="11">
        <f t="shared" si="0"/>
        <v>0</v>
      </c>
      <c r="E71" s="259">
        <v>60</v>
      </c>
      <c r="F71" s="349" t="n">
        <v>29.0</v>
      </c>
      <c r="G71" s="11">
        <f t="shared" si="1"/>
        <v>3.3763252076440001E-4</v>
      </c>
    </row>
    <row r="72" spans="1:7" x14ac:dyDescent="0.25">
      <c r="A72">
        <v>61</v>
      </c>
      <c r="B72" s="8" t="n">
        <v>317.395059971041</v>
      </c>
      <c r="C72" s="11">
        <f t="shared" si="0"/>
        <v>1.6554099686311083E-3</v>
      </c>
      <c r="E72" s="260">
        <v>61</v>
      </c>
      <c r="F72" s="350" t="n">
        <v>32.0</v>
      </c>
      <c r="G72" s="11">
        <f t="shared" si="1"/>
        <v>2.4413428424502771E-4</v>
      </c>
    </row>
    <row r="73" spans="1:7" x14ac:dyDescent="0.25">
      <c r="A73">
        <v>62</v>
      </c>
      <c r="B73" s="8" t="n">
        <v>129.517768035773</v>
      </c>
      <c r="C73" s="11">
        <f t="shared" si="0"/>
        <v>6.7551462313506828E-4</v>
      </c>
      <c r="E73" s="261">
        <v>62</v>
      </c>
      <c r="F73" s="351" t="n">
        <v>22.0</v>
      </c>
      <c r="G73" s="11">
        <f t="shared" si="1"/>
        <v>2.6491167013822155E-4</v>
      </c>
    </row>
    <row r="74" spans="1:7" x14ac:dyDescent="0.25">
      <c r="A74">
        <v>63</v>
      </c>
      <c r="B74" s="8" t="n">
        <v>87.8290822868153</v>
      </c>
      <c r="C74" s="11">
        <f t="shared" si="0"/>
        <v>4.5808254976174346E-4</v>
      </c>
      <c r="E74" s="262">
        <v>63</v>
      </c>
      <c r="F74" s="352" t="n">
        <v>21.0</v>
      </c>
      <c r="G74" s="11">
        <f t="shared" si="1"/>
        <v>2.0257951245864002E-4</v>
      </c>
    </row>
    <row r="75" spans="1:7" x14ac:dyDescent="0.25">
      <c r="A75">
        <v>64</v>
      </c>
      <c r="B75" s="8" t="n">
        <v>62.3880783888128</v>
      </c>
      <c r="C75" s="11">
        <f t="shared" si="0"/>
        <v>3.2539210565533927E-4</v>
      </c>
      <c r="E75" s="263">
        <v>64</v>
      </c>
      <c r="F75" s="353" t="n">
        <v>22.0</v>
      </c>
      <c r="G75" s="11">
        <f t="shared" si="1"/>
        <v>2.3374559129843078E-4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264">
        <v>65</v>
      </c>
      <c r="F76" s="354" t="n">
        <v>22.0</v>
      </c>
      <c r="G76" s="11">
        <f t="shared" si="1"/>
        <v>1.1946996888586462E-4</v>
      </c>
    </row>
    <row r="77" spans="1:7" x14ac:dyDescent="0.25">
      <c r="A77">
        <v>66</v>
      </c>
      <c r="B77" s="8" t="n">
        <v>327.375619541402</v>
      </c>
      <c r="C77" s="11">
        <f t="shared" ref="C77:C102" si="2">B77/B$102</f>
        <v>1.707464710147248E-3</v>
      </c>
      <c r="E77" s="265">
        <v>66</v>
      </c>
      <c r="F77" s="355" t="n">
        <v>20.0</v>
      </c>
      <c r="G77" s="11">
        <f t="shared" ref="G77:G102" si="3">F77/F$102</f>
        <v>1.7660778009214771E-4</v>
      </c>
    </row>
    <row r="78" spans="1:7" x14ac:dyDescent="0.25">
      <c r="A78">
        <v>67</v>
      </c>
      <c r="B78" s="8" t="n">
        <v>0.0</v>
      </c>
      <c r="C78" s="11">
        <f t="shared" si="2"/>
        <v>0</v>
      </c>
      <c r="E78" s="266">
        <v>67</v>
      </c>
      <c r="F78" s="356" t="n">
        <v>12.0</v>
      </c>
      <c r="G78" s="11">
        <f t="shared" si="3"/>
        <v>1.246643153591631E-4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267">
        <v>68</v>
      </c>
      <c r="F79" s="357" t="n">
        <v>15.0</v>
      </c>
      <c r="G79" s="11">
        <f t="shared" si="3"/>
        <v>1.2985866183246156E-4</v>
      </c>
    </row>
    <row r="80" spans="1:7" x14ac:dyDescent="0.25">
      <c r="A80">
        <v>69</v>
      </c>
      <c r="B80" s="8" t="n">
        <v>0.0</v>
      </c>
      <c r="C80" s="11">
        <f t="shared" si="2"/>
        <v>0</v>
      </c>
      <c r="E80" s="268">
        <v>69</v>
      </c>
      <c r="F80" s="358" t="n">
        <v>10.0</v>
      </c>
      <c r="G80" s="11">
        <f t="shared" si="3"/>
        <v>5.7137811206283081E-5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269">
        <v>70</v>
      </c>
      <c r="F81" s="359" t="n">
        <v>5.0</v>
      </c>
      <c r="G81" s="11">
        <f t="shared" si="3"/>
        <v>6.2332157679581549E-5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270">
        <v>71</v>
      </c>
      <c r="F82" s="360" t="n">
        <v>9.0</v>
      </c>
      <c r="G82" s="11">
        <f t="shared" si="3"/>
        <v>9.3498236519372316E-5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271">
        <v>72</v>
      </c>
      <c r="F83" s="361" t="n">
        <v>7.0</v>
      </c>
      <c r="G83" s="11">
        <f t="shared" si="3"/>
        <v>9.8692582992670778E-5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272">
        <v>73</v>
      </c>
      <c r="F84" s="362" t="n">
        <v>6.0</v>
      </c>
      <c r="G84" s="11">
        <f t="shared" si="3"/>
        <v>7.7915197099476932E-5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273">
        <v>74</v>
      </c>
      <c r="F85" s="363" t="n">
        <v>3.0</v>
      </c>
      <c r="G85" s="11">
        <f t="shared" si="3"/>
        <v>4.1554771786387697E-5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274">
        <v>75</v>
      </c>
      <c r="F86" s="364" t="n">
        <v>4.0</v>
      </c>
      <c r="G86" s="11">
        <f t="shared" si="3"/>
        <v>1.5583039419895387E-5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275">
        <v>76</v>
      </c>
      <c r="F87" s="365" t="n">
        <v>3.0</v>
      </c>
      <c r="G87" s="11">
        <f t="shared" si="3"/>
        <v>3.6360425313089236E-5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276">
        <v>77</v>
      </c>
      <c r="F88" s="366" t="n">
        <v>3.0</v>
      </c>
      <c r="G88" s="11">
        <f t="shared" si="3"/>
        <v>2.597173236649231E-5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277">
        <v>78</v>
      </c>
      <c r="F89" s="367" t="n">
        <v>2.0</v>
      </c>
      <c r="G89" s="11">
        <f t="shared" si="3"/>
        <v>4.1554771786387697E-5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278">
        <v>79</v>
      </c>
      <c r="F90" s="368" t="n">
        <v>1.0</v>
      </c>
      <c r="G90" s="11">
        <f t="shared" si="3"/>
        <v>2.0777385893193848E-5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279">
        <v>80</v>
      </c>
      <c r="F91" s="369" t="n">
        <v>0.0</v>
      </c>
      <c r="G91" s="11">
        <f t="shared" si="3"/>
        <v>1.0388692946596924E-5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280">
        <v>81</v>
      </c>
      <c r="F92" s="370" t="n">
        <v>1.0</v>
      </c>
      <c r="G92" s="11">
        <f t="shared" si="3"/>
        <v>2.0777385893193848E-5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281">
        <v>82</v>
      </c>
      <c r="F93" s="371" t="n">
        <v>0.0</v>
      </c>
      <c r="G93" s="11">
        <f t="shared" si="3"/>
        <v>5.1943464732984621E-6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282">
        <v>83</v>
      </c>
      <c r="F94" s="372" t="n">
        <v>1.0</v>
      </c>
      <c r="G94" s="11">
        <f t="shared" si="3"/>
        <v>2.597173236649231E-5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283">
        <v>84</v>
      </c>
      <c r="F95" s="373" t="n">
        <v>1.0</v>
      </c>
      <c r="G95" s="11">
        <f t="shared" si="3"/>
        <v>2.0777385893193848E-5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284">
        <v>85</v>
      </c>
      <c r="F96" s="374" t="n">
        <v>0.0</v>
      </c>
      <c r="G96" s="11">
        <f t="shared" si="3"/>
        <v>5.1943464732984621E-6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285">
        <v>86</v>
      </c>
      <c r="F97" s="375" t="n">
        <v>2.0</v>
      </c>
      <c r="G97" s="11">
        <f t="shared" si="3"/>
        <v>0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286">
        <v>87</v>
      </c>
      <c r="F98" s="376" t="n">
        <v>0.0</v>
      </c>
      <c r="G98" s="11">
        <f t="shared" si="3"/>
        <v>1.5583039419895387E-5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287">
        <v>88</v>
      </c>
      <c r="F99" s="377" t="n">
        <v>0.0</v>
      </c>
      <c r="G99" s="11">
        <f t="shared" si="3"/>
        <v>5.1943464732984621E-6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288">
        <v>89</v>
      </c>
      <c r="F100" s="378" t="n">
        <v>0.0</v>
      </c>
      <c r="G100" s="11">
        <f t="shared" si="3"/>
        <v>0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82">
        <v>90</v>
      </c>
      <c r="F101" s="382" t="n">
        <v>3.0</v>
      </c>
      <c r="G101" s="11">
        <f t="shared" si="3"/>
        <v>4.1554771786387697E-5</v>
      </c>
    </row>
    <row r="102" spans="1:7" x14ac:dyDescent="0.25">
      <c r="B102" s="8">
        <f>SUM(B11:B101)</f>
        <v>191731.99750240802</v>
      </c>
      <c r="C102" s="11">
        <f t="shared" si="2"/>
        <v>1</v>
      </c>
      <c r="F102" s="8">
        <f>SUM(F11:F101)</f>
        <v>192517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tabSelected="1" topLeftCell="H7" workbookViewId="0">
      <selection activeCell="X24" sqref="X24"/>
    </sheetView>
  </sheetViews>
  <sheetFormatPr defaultRowHeight="15" x14ac:dyDescent="0.25"/>
  <sheetData>
    <row r="1" spans="1:21" x14ac:dyDescent="0.25">
      <c r="A1" t="s">
        <v>2</v>
      </c>
    </row>
    <row r="2" spans="1:21" x14ac:dyDescent="0.25">
      <c r="A2" t="s">
        <v>51</v>
      </c>
    </row>
    <row r="3" spans="1:21" x14ac:dyDescent="0.25">
      <c r="A3" t="s">
        <v>18</v>
      </c>
    </row>
    <row r="5" spans="1:21" ht="15.75" thickBot="1" x14ac:dyDescent="0.3">
      <c r="A5" s="4" t="s">
        <v>52</v>
      </c>
      <c r="B5" s="1"/>
      <c r="C5" s="1"/>
      <c r="D5" s="1"/>
      <c r="E5" s="1"/>
      <c r="F5" s="1"/>
      <c r="G5" s="1"/>
      <c r="H5" s="1"/>
      <c r="I5" s="1"/>
      <c r="J5" s="1"/>
      <c r="L5" s="4" t="s">
        <v>38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16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17</v>
      </c>
      <c r="J6" s="3" t="s">
        <v>4</v>
      </c>
      <c r="L6" s="2" t="s">
        <v>16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17</v>
      </c>
      <c r="U6" s="3" t="s">
        <v>4</v>
      </c>
    </row>
    <row r="7" spans="1:21" x14ac:dyDescent="0.25">
      <c r="A7" s="384" t="s">
        <v>39</v>
      </c>
      <c r="B7" s="12" t="n">
        <v>20926.344356740272</v>
      </c>
      <c r="C7" s="12" t="n">
        <v>108.3457399554261</v>
      </c>
      <c r="D7" s="12" t="n">
        <v>327.375619541402</v>
      </c>
      <c r="E7" s="12" t="n">
        <v>0.0</v>
      </c>
      <c r="F7" s="12" t="n">
        <v>5433.836099466484</v>
      </c>
      <c r="G7" s="12" t="n">
        <v>100.0086330221781</v>
      </c>
      <c r="H7" s="12" t="n">
        <v>0.0</v>
      </c>
      <c r="I7" s="12"/>
      <c r="J7" s="12">
        <f>SUM(B7:I7)</f>
        <v>26895.910448725761</v>
      </c>
      <c r="K7" s="12"/>
      <c r="L7" t="str">
        <f>$A$7</f>
        <v>Williamson</v>
      </c>
      <c r="M7" s="381" t="n">
        <v>21738.0</v>
      </c>
      <c r="N7" s="381" t="n">
        <v>514.0</v>
      </c>
      <c r="O7" s="381" t="n">
        <v>8.0</v>
      </c>
      <c r="P7" s="381" t="n">
        <v>2.0</v>
      </c>
      <c r="Q7" s="381" t="n">
        <v>4265.0</v>
      </c>
      <c r="R7" s="381" t="n">
        <v>1180.0</v>
      </c>
      <c r="S7" s="381" t="n">
        <v>11.0</v>
      </c>
      <c r="T7" s="381"/>
      <c r="U7" s="12">
        <f>SUM(M7:T7)</f>
        <v>26006</v>
      </c>
    </row>
    <row r="8" spans="1:21" x14ac:dyDescent="0.25">
      <c r="A8" t="s">
        <v>40</v>
      </c>
      <c r="B8" s="12" t="n">
        <v>565.419936683428</v>
      </c>
      <c r="C8" s="12" t="n">
        <v>31299.349428980164</v>
      </c>
      <c r="D8" s="12" t="n">
        <v>27.1097203341421</v>
      </c>
      <c r="E8" s="12" t="n">
        <v>0.0</v>
      </c>
      <c r="F8" s="12" t="n">
        <v>1048.269698214453</v>
      </c>
      <c r="G8" s="12" t="n">
        <v>0.0</v>
      </c>
      <c r="H8" s="12" t="n">
        <v>587.8645048700172</v>
      </c>
      <c r="I8" s="12"/>
      <c r="J8" s="12">
        <f t="shared" ref="J8:J14" si="0">SUM(B8:I8)</f>
        <v>33528.013289082206</v>
      </c>
      <c r="K8" s="12"/>
      <c r="L8" t="str">
        <f>$A$8</f>
        <v>Rutherford</v>
      </c>
      <c r="M8" s="381" t="n">
        <v>628.0</v>
      </c>
      <c r="N8" s="381" t="n">
        <v>32413.0</v>
      </c>
      <c r="O8" s="381" t="n">
        <v>12.0</v>
      </c>
      <c r="P8" s="381" t="n">
        <v>1.0</v>
      </c>
      <c r="Q8" s="381" t="n">
        <v>2382.0</v>
      </c>
      <c r="R8" s="381" t="n">
        <v>35.0</v>
      </c>
      <c r="S8" s="381" t="n">
        <v>297.0</v>
      </c>
      <c r="T8" s="381"/>
      <c r="U8" s="12">
        <f t="shared" ref="U8:U14" si="1">SUM(M8:T8)</f>
        <v>33227</v>
      </c>
    </row>
    <row r="9" spans="1:21" x14ac:dyDescent="0.25">
      <c r="A9" t="s">
        <v>41</v>
      </c>
      <c r="B9" s="12" t="n">
        <v>160.3245809950349</v>
      </c>
      <c r="C9" s="12" t="n">
        <v>0.0</v>
      </c>
      <c r="D9" s="12" t="n">
        <v>22639.919592739818</v>
      </c>
      <c r="E9" s="12" t="n">
        <v>1077.919442775509</v>
      </c>
      <c r="F9" s="12" t="n">
        <v>1927.7926877014409</v>
      </c>
      <c r="G9" s="12" t="n">
        <v>0.0</v>
      </c>
      <c r="H9" s="12" t="n">
        <v>359.6731640966758</v>
      </c>
      <c r="I9" s="12"/>
      <c r="J9" s="12">
        <f t="shared" si="0"/>
        <v>26165.629468308478</v>
      </c>
      <c r="K9" s="13"/>
      <c r="L9" t="str">
        <f>$A$9</f>
        <v>Sumner</v>
      </c>
      <c r="M9" s="381" t="n">
        <v>51.0</v>
      </c>
      <c r="N9" s="381" t="n">
        <v>14.0</v>
      </c>
      <c r="O9" s="381" t="n">
        <v>18362.0</v>
      </c>
      <c r="P9" s="381" t="n">
        <v>858.0</v>
      </c>
      <c r="Q9" s="381" t="n">
        <v>3021.0</v>
      </c>
      <c r="R9" s="381" t="n">
        <v>0.0</v>
      </c>
      <c r="S9" s="381" t="n">
        <v>172.0</v>
      </c>
      <c r="T9" s="381"/>
      <c r="U9" s="12">
        <f t="shared" si="1"/>
        <v>21039</v>
      </c>
    </row>
    <row r="10" spans="1:21" x14ac:dyDescent="0.25">
      <c r="A10" t="s">
        <v>42</v>
      </c>
      <c r="B10" s="12" t="n">
        <v>129.517768035773</v>
      </c>
      <c r="C10" s="12" t="n">
        <v>0.0</v>
      </c>
      <c r="D10" s="12" t="n">
        <v>299.6523857954339</v>
      </c>
      <c r="E10" s="12" t="n">
        <v>5654.408666100613</v>
      </c>
      <c r="F10" s="12" t="n">
        <v>429.3779405308315</v>
      </c>
      <c r="G10" s="12" t="n">
        <v>0.0</v>
      </c>
      <c r="H10" s="12" t="n">
        <v>202.640724843502</v>
      </c>
      <c r="I10" s="12"/>
      <c r="J10" s="12">
        <f t="shared" si="0"/>
        <v>6715.5974853061534</v>
      </c>
      <c r="K10" s="13"/>
      <c r="L10" t="str">
        <f>$A$10</f>
        <v>Roberston</v>
      </c>
      <c r="M10" s="381" t="n">
        <v>31.0</v>
      </c>
      <c r="N10" s="381" t="n">
        <v>3.0</v>
      </c>
      <c r="O10" s="381" t="n">
        <v>802.0</v>
      </c>
      <c r="P10" s="381" t="n">
        <v>7119.0</v>
      </c>
      <c r="Q10" s="381" t="n">
        <v>1267.0</v>
      </c>
      <c r="R10" s="381" t="n">
        <v>0.0</v>
      </c>
      <c r="S10" s="381" t="n">
        <v>13.0</v>
      </c>
      <c r="T10" s="381"/>
      <c r="U10" s="12">
        <f t="shared" si="1"/>
        <v>8435</v>
      </c>
    </row>
    <row r="11" spans="1:21" x14ac:dyDescent="0.25">
      <c r="A11" t="s">
        <v>43</v>
      </c>
      <c r="B11" s="12" t="n">
        <v>4400.584598307861</v>
      </c>
      <c r="C11" s="12" t="n">
        <v>906.4687374174101</v>
      </c>
      <c r="D11" s="12" t="n">
        <v>3636.9595504095896</v>
      </c>
      <c r="E11" s="12" t="n">
        <v>0.0</v>
      </c>
      <c r="F11" s="12" t="n">
        <v>66937.2213563316</v>
      </c>
      <c r="G11" s="12" t="n">
        <v>104.2464896418856</v>
      </c>
      <c r="H11" s="12" t="n">
        <v>283.9362715714815</v>
      </c>
      <c r="I11" s="12"/>
      <c r="J11" s="12">
        <f t="shared" si="0"/>
        <v>76269.417003679831</v>
      </c>
      <c r="K11" s="13"/>
      <c r="L11" t="str">
        <f>$A$11</f>
        <v>Davidson</v>
      </c>
      <c r="M11" s="381" t="n">
        <v>4460.0</v>
      </c>
      <c r="N11" s="381" t="n">
        <v>1334.0</v>
      </c>
      <c r="O11" s="381" t="n">
        <v>618.0</v>
      </c>
      <c r="P11" s="381" t="n">
        <v>166.0</v>
      </c>
      <c r="Q11" s="381" t="n">
        <v>76534.0</v>
      </c>
      <c r="R11" s="381" t="n">
        <v>10.0</v>
      </c>
      <c r="S11" s="381" t="n">
        <v>773.0</v>
      </c>
      <c r="T11" s="381"/>
      <c r="U11" s="12">
        <f t="shared" si="1"/>
        <v>78286</v>
      </c>
    </row>
    <row r="12" spans="1:21" x14ac:dyDescent="0.25">
      <c r="A12" t="s">
        <v>44</v>
      </c>
      <c r="B12" s="12" t="n">
        <v>623.1994016144725</v>
      </c>
      <c r="C12" s="12" t="n">
        <v>0.0</v>
      </c>
      <c r="D12" s="12" t="n">
        <v>0.0</v>
      </c>
      <c r="E12" s="12" t="n">
        <v>0.0</v>
      </c>
      <c r="F12" s="12" t="n">
        <v>852.6509179360812</v>
      </c>
      <c r="G12" s="12" t="n">
        <v>7869.149026270742</v>
      </c>
      <c r="H12" s="12" t="n">
        <v>0.0</v>
      </c>
      <c r="I12" s="12"/>
      <c r="J12" s="12">
        <f t="shared" si="0"/>
        <v>9344.9993458212957</v>
      </c>
      <c r="K12" s="13"/>
      <c r="L12" t="str">
        <f>$A$12</f>
        <v>Maury</v>
      </c>
      <c r="M12" s="381" t="n">
        <v>790.0</v>
      </c>
      <c r="N12" s="381" t="n">
        <v>24.0</v>
      </c>
      <c r="O12" s="381" t="n">
        <v>0.0</v>
      </c>
      <c r="P12" s="381" t="n">
        <v>0.0</v>
      </c>
      <c r="Q12" s="381" t="n">
        <v>95.0</v>
      </c>
      <c r="R12" s="381" t="n">
        <v>10640.0</v>
      </c>
      <c r="S12" s="381" t="n">
        <v>0.0</v>
      </c>
      <c r="T12" s="381"/>
      <c r="U12" s="12">
        <f t="shared" si="1"/>
        <v>10731</v>
      </c>
    </row>
    <row r="13" spans="1:21" x14ac:dyDescent="0.25">
      <c r="A13" t="s">
        <v>45</v>
      </c>
      <c r="B13" s="12" t="n">
        <v>678.9569975727638</v>
      </c>
      <c r="C13" s="12" t="n">
        <v>379.143410418905</v>
      </c>
      <c r="D13" s="12" t="n">
        <v>138.210058113553</v>
      </c>
      <c r="E13" s="12" t="n">
        <v>0.0</v>
      </c>
      <c r="F13" s="12" t="n">
        <v>2519.3206559645523</v>
      </c>
      <c r="G13" s="12" t="n">
        <v>0.0</v>
      </c>
      <c r="H13" s="12" t="n">
        <v>9096.79933941452</v>
      </c>
      <c r="I13" s="12"/>
      <c r="J13" s="12">
        <f t="shared" si="0"/>
        <v>12812.430461484295</v>
      </c>
      <c r="K13" s="13"/>
      <c r="L13" t="str">
        <f>$A$13</f>
        <v>Wilson</v>
      </c>
      <c r="M13" s="381" t="n">
        <v>121.0</v>
      </c>
      <c r="N13" s="381" t="n">
        <v>567.0</v>
      </c>
      <c r="O13" s="381" t="n">
        <v>368.0</v>
      </c>
      <c r="P13" s="381" t="n">
        <v>13.0</v>
      </c>
      <c r="Q13" s="381" t="n">
        <v>3538.0</v>
      </c>
      <c r="R13" s="381" t="n">
        <v>4.0</v>
      </c>
      <c r="S13" s="381" t="n">
        <v>11497.0</v>
      </c>
      <c r="T13" s="381"/>
      <c r="U13" s="12">
        <f t="shared" si="1"/>
        <v>14793</v>
      </c>
    </row>
    <row r="14" spans="1:21" x14ac:dyDescent="0.25">
      <c r="A14" s="7" t="s">
        <v>17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383" t="s">
        <v>17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5.75" thickBot="1" x14ac:dyDescent="0.3">
      <c r="A15" s="1" t="s">
        <v>4</v>
      </c>
      <c r="B15" s="15">
        <f t="shared" ref="B15:J15" si="2">SUM(B7:B14)</f>
        <v>27484.347639949607</v>
      </c>
      <c r="C15" s="15">
        <f t="shared" si="2"/>
        <v>32693.307316771905</v>
      </c>
      <c r="D15" s="15">
        <f t="shared" si="2"/>
        <v>27069.226926933938</v>
      </c>
      <c r="E15" s="15">
        <f t="shared" si="2"/>
        <v>6732.3281088761223</v>
      </c>
      <c r="F15" s="15">
        <f t="shared" si="2"/>
        <v>79148.469356145448</v>
      </c>
      <c r="G15" s="15">
        <f t="shared" si="2"/>
        <v>8073.4041489348056</v>
      </c>
      <c r="H15" s="15">
        <f t="shared" si="2"/>
        <v>10530.914004796196</v>
      </c>
      <c r="I15" s="15">
        <f t="shared" si="2"/>
        <v>0</v>
      </c>
      <c r="J15" s="15">
        <f t="shared" si="2"/>
        <v>191731.99750240802</v>
      </c>
      <c r="K15" s="12"/>
      <c r="L15" s="15" t="s">
        <v>4</v>
      </c>
      <c r="M15" s="15">
        <f t="shared" ref="M15:U15" si="3">SUM(M7:M14)</f>
        <v>26425</v>
      </c>
      <c r="N15" s="15">
        <f t="shared" si="3"/>
        <v>32102</v>
      </c>
      <c r="O15" s="15">
        <f t="shared" si="3"/>
        <v>17943</v>
      </c>
      <c r="P15" s="15">
        <f t="shared" si="3"/>
        <v>7213</v>
      </c>
      <c r="Q15" s="15">
        <f t="shared" si="3"/>
        <v>87105</v>
      </c>
      <c r="R15" s="15">
        <f t="shared" si="3"/>
        <v>10934</v>
      </c>
      <c r="S15" s="15">
        <f t="shared" si="3"/>
        <v>10795</v>
      </c>
      <c r="T15" s="15">
        <f t="shared" si="3"/>
        <v>0</v>
      </c>
      <c r="U15" s="15">
        <f t="shared" si="3"/>
        <v>192517</v>
      </c>
    </row>
    <row r="18" spans="1:32" ht="15.75" thickBot="1" x14ac:dyDescent="0.3">
      <c r="A18" s="4" t="s">
        <v>53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38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16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17</v>
      </c>
      <c r="J19" s="3" t="s">
        <v>4</v>
      </c>
      <c r="L19" s="2" t="s">
        <v>16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17</v>
      </c>
      <c r="U19" s="3" t="s">
        <v>4</v>
      </c>
    </row>
    <row r="20" spans="1:32" x14ac:dyDescent="0.25">
      <c r="A20" t="str">
        <f>$A$7</f>
        <v>Williamson</v>
      </c>
      <c r="B20" s="12">
        <f t="shared" ref="B20:H20" si="4">($U7/$J7)*B7</f>
        <v>20233.950153086207</v>
      </c>
      <c r="C20" s="12">
        <f t="shared" si="4"/>
        <v>104.76088246398446</v>
      </c>
      <c r="D20" s="12">
        <f t="shared" si="4"/>
        <v>316.54367596234516</v>
      </c>
      <c r="E20" s="12">
        <f t="shared" si="4"/>
        <v>0</v>
      </c>
      <c r="F20" s="12">
        <f t="shared" si="4"/>
        <v>5254.0456614072446</v>
      </c>
      <c r="G20" s="12">
        <f t="shared" si="4"/>
        <v>96.699627080219628</v>
      </c>
      <c r="H20" s="12">
        <f t="shared" si="4"/>
        <v>0</v>
      </c>
      <c r="I20" s="12"/>
      <c r="J20" s="12">
        <f>SUM(B20:I20)</f>
        <v>26006</v>
      </c>
      <c r="K20" s="12"/>
      <c r="L20" t="str">
        <f>$A$7</f>
        <v>Williamson</v>
      </c>
      <c r="M20" s="12">
        <f t="shared" ref="M20:M26" si="5">M7</f>
        <v>19664</v>
      </c>
      <c r="N20" s="12">
        <f t="shared" ref="N20:U20" si="6">N7</f>
        <v>594</v>
      </c>
      <c r="O20" s="12">
        <f t="shared" si="6"/>
        <v>22</v>
      </c>
      <c r="P20" s="12">
        <f t="shared" si="6"/>
        <v>5</v>
      </c>
      <c r="Q20" s="12">
        <f t="shared" si="6"/>
        <v>4502</v>
      </c>
      <c r="R20" s="12">
        <f t="shared" si="6"/>
        <v>1197</v>
      </c>
      <c r="S20" s="12">
        <f t="shared" si="6"/>
        <v>22</v>
      </c>
      <c r="T20" s="12"/>
      <c r="U20" s="12">
        <f t="shared" si="6"/>
        <v>26006</v>
      </c>
    </row>
    <row r="21" spans="1:32" x14ac:dyDescent="0.25">
      <c r="A21" t="str">
        <f>$A$8</f>
        <v>Rutherford</v>
      </c>
      <c r="B21" s="12">
        <f t="shared" ref="B21:G25" si="7">($U8/$J8)*B8</f>
        <v>560.34361696873873</v>
      </c>
      <c r="C21" s="12">
        <f t="shared" si="7"/>
        <v>31018.345003322214</v>
      </c>
      <c r="D21" s="12">
        <f t="shared" si="7"/>
        <v>26.866330246768918</v>
      </c>
      <c r="E21" s="12">
        <f t="shared" si="7"/>
        <v>0</v>
      </c>
      <c r="F21" s="12">
        <f t="shared" si="7"/>
        <v>1038.8583708272888</v>
      </c>
      <c r="G21" s="12">
        <f t="shared" si="7"/>
        <v>0</v>
      </c>
      <c r="H21" s="12">
        <f t="shared" ref="H21:H26" si="8">($U8/$J8)*H8</f>
        <v>582.58667863498556</v>
      </c>
      <c r="I21" s="12"/>
      <c r="J21" s="12">
        <f t="shared" ref="J21:J27" si="9">SUM(B21:I21)</f>
        <v>33226.999999999993</v>
      </c>
      <c r="K21" s="12"/>
      <c r="L21" t="str">
        <f>$A$8</f>
        <v>Rutherford</v>
      </c>
      <c r="M21" s="12">
        <f t="shared" si="5"/>
        <v>822</v>
      </c>
      <c r="N21" s="12">
        <f t="shared" ref="N21:R25" si="10">N8</f>
        <v>29376</v>
      </c>
      <c r="O21" s="12">
        <f t="shared" si="10"/>
        <v>23</v>
      </c>
      <c r="P21" s="12">
        <f t="shared" si="10"/>
        <v>1</v>
      </c>
      <c r="Q21" s="12">
        <f t="shared" si="10"/>
        <v>2663</v>
      </c>
      <c r="R21" s="12">
        <f t="shared" si="10"/>
        <v>32</v>
      </c>
      <c r="S21" s="12">
        <f t="shared" ref="S21" si="11">S8</f>
        <v>310</v>
      </c>
      <c r="T21" s="12"/>
      <c r="U21" s="12">
        <f t="shared" ref="U21:U26" si="12">U8</f>
        <v>33227</v>
      </c>
    </row>
    <row r="22" spans="1:32" x14ac:dyDescent="0.25">
      <c r="A22" t="str">
        <f>$A$9</f>
        <v>Sumner</v>
      </c>
      <c r="B22" s="12">
        <f t="shared" si="7"/>
        <v>128.91220001567183</v>
      </c>
      <c r="C22" s="12">
        <f t="shared" si="7"/>
        <v>0</v>
      </c>
      <c r="D22" s="12">
        <f t="shared" si="7"/>
        <v>18204.082148628149</v>
      </c>
      <c r="E22" s="12">
        <f t="shared" si="7"/>
        <v>866.72278165605371</v>
      </c>
      <c r="F22" s="12">
        <f t="shared" si="7"/>
        <v>1550.0804368446411</v>
      </c>
      <c r="G22" s="12">
        <f t="shared" si="7"/>
        <v>0</v>
      </c>
      <c r="H22" s="12">
        <f t="shared" si="8"/>
        <v>289.20243285548423</v>
      </c>
      <c r="I22" s="12"/>
      <c r="J22" s="12">
        <f t="shared" si="9"/>
        <v>21039</v>
      </c>
      <c r="K22" s="13"/>
      <c r="L22" t="str">
        <f>$A$9</f>
        <v>Sumner</v>
      </c>
      <c r="M22" s="12">
        <f t="shared" si="5"/>
        <v>95</v>
      </c>
      <c r="N22" s="12">
        <f t="shared" si="10"/>
        <v>42</v>
      </c>
      <c r="O22" s="12">
        <f t="shared" si="10"/>
        <v>16138</v>
      </c>
      <c r="P22" s="12">
        <f t="shared" si="10"/>
        <v>844</v>
      </c>
      <c r="Q22" s="12">
        <f t="shared" si="10"/>
        <v>3667</v>
      </c>
      <c r="R22" s="12">
        <f t="shared" si="10"/>
        <v>1</v>
      </c>
      <c r="S22" s="12">
        <f t="shared" ref="S22" si="13">S9</f>
        <v>252</v>
      </c>
      <c r="T22" s="12"/>
      <c r="U22" s="12">
        <f t="shared" si="12"/>
        <v>21039</v>
      </c>
    </row>
    <row r="23" spans="1:32" x14ac:dyDescent="0.25">
      <c r="A23" t="str">
        <f>$A$10</f>
        <v>Roberston</v>
      </c>
      <c r="B23" s="12">
        <f t="shared" si="7"/>
        <v>162.67835822086062</v>
      </c>
      <c r="C23" s="12">
        <f t="shared" si="7"/>
        <v>0</v>
      </c>
      <c r="D23" s="12">
        <f t="shared" si="7"/>
        <v>376.37274713305078</v>
      </c>
      <c r="E23" s="12">
        <f t="shared" si="7"/>
        <v>7102.1137289594917</v>
      </c>
      <c r="F23" s="12">
        <f t="shared" si="7"/>
        <v>539.31209193256927</v>
      </c>
      <c r="G23" s="12">
        <f t="shared" si="7"/>
        <v>0</v>
      </c>
      <c r="H23" s="12">
        <f t="shared" si="8"/>
        <v>254.52307375402742</v>
      </c>
      <c r="I23" s="12"/>
      <c r="J23" s="12">
        <f>SUM(B23:I23)</f>
        <v>8435</v>
      </c>
      <c r="K23" s="13"/>
      <c r="L23" t="str">
        <f>$A$10</f>
        <v>Roberston</v>
      </c>
      <c r="M23" s="12">
        <f t="shared" si="5"/>
        <v>41</v>
      </c>
      <c r="N23" s="12">
        <f t="shared" si="10"/>
        <v>4</v>
      </c>
      <c r="O23" s="12">
        <f t="shared" si="10"/>
        <v>758</v>
      </c>
      <c r="P23" s="12">
        <f t="shared" si="10"/>
        <v>6202</v>
      </c>
      <c r="Q23" s="12">
        <f t="shared" si="10"/>
        <v>1413</v>
      </c>
      <c r="R23" s="12">
        <f t="shared" si="10"/>
        <v>2</v>
      </c>
      <c r="S23" s="12">
        <f t="shared" ref="S23" si="14">S10</f>
        <v>15</v>
      </c>
      <c r="T23" s="12"/>
      <c r="U23" s="12">
        <f t="shared" si="12"/>
        <v>8435</v>
      </c>
    </row>
    <row r="24" spans="1:32" x14ac:dyDescent="0.25">
      <c r="A24" t="str">
        <f>$A$11</f>
        <v>Davidson</v>
      </c>
      <c r="B24" s="12">
        <f t="shared" si="7"/>
        <v>4516.9371865856483</v>
      </c>
      <c r="C24" s="12">
        <f t="shared" si="7"/>
        <v>930.4360039101324</v>
      </c>
      <c r="D24" s="12">
        <f t="shared" si="7"/>
        <v>3733.1216960741663</v>
      </c>
      <c r="E24" s="12">
        <f t="shared" si="7"/>
        <v>0</v>
      </c>
      <c r="F24" s="12">
        <f t="shared" si="7"/>
        <v>68707.058700198861</v>
      </c>
      <c r="G24" s="12">
        <f t="shared" si="7"/>
        <v>107.00279363235337</v>
      </c>
      <c r="H24" s="12">
        <f t="shared" si="8"/>
        <v>291.44361959882997</v>
      </c>
      <c r="I24" s="12"/>
      <c r="J24" s="12">
        <f t="shared" si="9"/>
        <v>78285.999999999985</v>
      </c>
      <c r="K24" s="13"/>
      <c r="L24" t="str">
        <f>$A$11</f>
        <v>Davidson</v>
      </c>
      <c r="M24" s="12">
        <f t="shared" si="5"/>
        <v>4757</v>
      </c>
      <c r="N24" s="12">
        <f t="shared" si="10"/>
        <v>1391</v>
      </c>
      <c r="O24" s="12">
        <f t="shared" si="10"/>
        <v>594</v>
      </c>
      <c r="P24" s="12">
        <f t="shared" si="10"/>
        <v>142</v>
      </c>
      <c r="Q24" s="12">
        <f t="shared" si="10"/>
        <v>70691</v>
      </c>
      <c r="R24" s="12">
        <f t="shared" si="10"/>
        <v>25</v>
      </c>
      <c r="S24" s="12">
        <f t="shared" ref="S24" si="15">S11</f>
        <v>686</v>
      </c>
      <c r="T24" s="12"/>
      <c r="U24" s="12">
        <f t="shared" si="12"/>
        <v>78286</v>
      </c>
    </row>
    <row r="25" spans="1:32" x14ac:dyDescent="0.25">
      <c r="A25" t="str">
        <f>$A$12</f>
        <v>Maury</v>
      </c>
      <c r="B25" s="12">
        <f t="shared" si="7"/>
        <v>715.62902588273664</v>
      </c>
      <c r="C25" s="12">
        <f t="shared" si="7"/>
        <v>0</v>
      </c>
      <c r="D25" s="12">
        <f t="shared" si="7"/>
        <v>0</v>
      </c>
      <c r="E25" s="12">
        <f t="shared" si="7"/>
        <v>0</v>
      </c>
      <c r="F25" s="12">
        <f t="shared" si="7"/>
        <v>979.11157205842994</v>
      </c>
      <c r="G25" s="12">
        <f t="shared" si="7"/>
        <v>9036.2594020588349</v>
      </c>
      <c r="H25" s="12">
        <f t="shared" si="8"/>
        <v>0</v>
      </c>
      <c r="I25" s="12"/>
      <c r="J25" s="12">
        <f t="shared" si="9"/>
        <v>10731.000000000002</v>
      </c>
      <c r="K25" s="13"/>
      <c r="L25" t="str">
        <f>$A$12</f>
        <v>Maury</v>
      </c>
      <c r="M25" s="12">
        <f t="shared" si="5"/>
        <v>838</v>
      </c>
      <c r="N25" s="12">
        <f t="shared" si="10"/>
        <v>51</v>
      </c>
      <c r="O25" s="12">
        <f t="shared" si="10"/>
        <v>1</v>
      </c>
      <c r="P25" s="12">
        <f t="shared" si="10"/>
        <v>0</v>
      </c>
      <c r="Q25" s="12">
        <f t="shared" si="10"/>
        <v>165</v>
      </c>
      <c r="R25" s="12">
        <f t="shared" si="10"/>
        <v>9676</v>
      </c>
      <c r="S25" s="12">
        <f t="shared" ref="S25" si="16">S12</f>
        <v>0</v>
      </c>
      <c r="T25" s="12"/>
      <c r="U25" s="12">
        <f t="shared" si="12"/>
        <v>10731</v>
      </c>
    </row>
    <row r="26" spans="1:32" x14ac:dyDescent="0.25">
      <c r="A26" t="str">
        <f>$A$13</f>
        <v>Wilson</v>
      </c>
      <c r="B26" s="12">
        <f>($U13/$J13)*B13</f>
        <v>783.91144406885155</v>
      </c>
      <c r="C26" s="12">
        <f t="shared" ref="C26:G26" si="17">($U13/$J13)*C13</f>
        <v>437.75211012361729</v>
      </c>
      <c r="D26" s="12">
        <f t="shared" si="17"/>
        <v>159.57482819672089</v>
      </c>
      <c r="E26" s="12">
        <f t="shared" si="17"/>
        <v>0</v>
      </c>
      <c r="F26" s="12">
        <f t="shared" si="17"/>
        <v>2908.7619695354947</v>
      </c>
      <c r="G26" s="12">
        <f t="shared" si="17"/>
        <v>0</v>
      </c>
      <c r="H26" s="12">
        <f t="shared" si="8"/>
        <v>10502.999648075314</v>
      </c>
      <c r="I26" s="12"/>
      <c r="J26" s="12">
        <f t="shared" si="9"/>
        <v>14792.999999999998</v>
      </c>
      <c r="K26" s="13"/>
      <c r="L26" t="str">
        <f>$A$13</f>
        <v>Wilson</v>
      </c>
      <c r="M26" s="12">
        <f t="shared" si="5"/>
        <v>208</v>
      </c>
      <c r="N26" s="12">
        <f t="shared" ref="N26:S26" si="18">N13</f>
        <v>644</v>
      </c>
      <c r="O26" s="12">
        <f t="shared" si="18"/>
        <v>407</v>
      </c>
      <c r="P26" s="12">
        <f t="shared" si="18"/>
        <v>19</v>
      </c>
      <c r="Q26" s="12">
        <f t="shared" si="18"/>
        <v>4004</v>
      </c>
      <c r="R26" s="12">
        <f t="shared" si="18"/>
        <v>1</v>
      </c>
      <c r="S26" s="12">
        <f t="shared" si="18"/>
        <v>9510</v>
      </c>
      <c r="T26" s="12"/>
      <c r="U26" s="12">
        <f t="shared" si="12"/>
        <v>14793</v>
      </c>
    </row>
    <row r="27" spans="1:32" x14ac:dyDescent="0.25">
      <c r="A27" s="7" t="s">
        <v>17</v>
      </c>
      <c r="B27" s="14"/>
      <c r="C27" s="14"/>
      <c r="D27" s="14"/>
      <c r="E27" s="14"/>
      <c r="F27" s="14"/>
      <c r="G27" s="14"/>
      <c r="H27" s="12"/>
      <c r="I27" s="14"/>
      <c r="J27" s="12">
        <f t="shared" si="9"/>
        <v>0</v>
      </c>
      <c r="K27" s="12"/>
      <c r="L27" s="383" t="s">
        <v>17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5">
        <f t="shared" ref="B28:J28" si="19">SUM(B20:B27)</f>
        <v>27102.361984828709</v>
      </c>
      <c r="C28" s="15">
        <f t="shared" si="19"/>
        <v>32491.293999819947</v>
      </c>
      <c r="D28" s="15">
        <f t="shared" si="19"/>
        <v>22816.561426241198</v>
      </c>
      <c r="E28" s="15">
        <f t="shared" si="19"/>
        <v>7968.8365106155452</v>
      </c>
      <c r="F28" s="15">
        <f t="shared" si="19"/>
        <v>80977.22880280453</v>
      </c>
      <c r="G28" s="15">
        <f t="shared" si="19"/>
        <v>9239.9618227714072</v>
      </c>
      <c r="H28" s="15">
        <f t="shared" si="19"/>
        <v>11920.755452918642</v>
      </c>
      <c r="I28" s="15">
        <f t="shared" si="19"/>
        <v>0</v>
      </c>
      <c r="J28" s="15">
        <f t="shared" si="19"/>
        <v>192517</v>
      </c>
      <c r="K28" s="12"/>
      <c r="L28" s="15" t="s">
        <v>4</v>
      </c>
      <c r="M28" s="15">
        <f t="shared" ref="M28:U28" si="20">M15</f>
        <v>26425</v>
      </c>
      <c r="N28" s="15">
        <f t="shared" si="20"/>
        <v>32102</v>
      </c>
      <c r="O28" s="15">
        <f t="shared" si="20"/>
        <v>17943</v>
      </c>
      <c r="P28" s="15">
        <f t="shared" si="20"/>
        <v>7213</v>
      </c>
      <c r="Q28" s="15">
        <f t="shared" si="20"/>
        <v>87105</v>
      </c>
      <c r="R28" s="15">
        <f t="shared" si="20"/>
        <v>10934</v>
      </c>
      <c r="S28" s="15">
        <f t="shared" si="20"/>
        <v>10795</v>
      </c>
      <c r="T28" s="15"/>
      <c r="U28" s="15">
        <f t="shared" si="20"/>
        <v>192517</v>
      </c>
    </row>
    <row r="31" spans="1:32" ht="15.75" thickBot="1" x14ac:dyDescent="0.3">
      <c r="A31" s="4" t="s">
        <v>54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38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55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16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17</v>
      </c>
      <c r="J32" s="3" t="s">
        <v>4</v>
      </c>
      <c r="L32" s="2" t="s">
        <v>16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17</v>
      </c>
      <c r="U32" s="3" t="s">
        <v>4</v>
      </c>
      <c r="W32" s="2" t="s">
        <v>16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17</v>
      </c>
      <c r="AF32" s="3" t="s">
        <v>4</v>
      </c>
    </row>
    <row r="33" spans="1:32" x14ac:dyDescent="0.25">
      <c r="A33" t="str">
        <f>$A$7</f>
        <v>Williamson</v>
      </c>
      <c r="B33" s="16">
        <f t="shared" ref="B33:H33" si="21">B20/$J$28</f>
        <v>0.10510214761858021</v>
      </c>
      <c r="C33" s="16">
        <f t="shared" si="21"/>
        <v>5.4416432036643236E-4</v>
      </c>
      <c r="D33" s="16">
        <f t="shared" si="21"/>
        <v>1.6442375268799388E-3</v>
      </c>
      <c r="E33" s="16">
        <f t="shared" si="21"/>
        <v>0</v>
      </c>
      <c r="F33" s="16">
        <f t="shared" si="21"/>
        <v>2.7291333551879807E-2</v>
      </c>
      <c r="G33" s="16">
        <f t="shared" si="21"/>
        <v>5.0229136689341526E-4</v>
      </c>
      <c r="H33" s="16">
        <f t="shared" si="21"/>
        <v>0</v>
      </c>
      <c r="I33" s="12"/>
      <c r="J33" s="16">
        <f t="shared" ref="J33:J39" si="22">J20/$J$28</f>
        <v>0.1350841743845998</v>
      </c>
      <c r="K33" s="12"/>
      <c r="L33" t="str">
        <f>$A$7</f>
        <v>Williamson</v>
      </c>
      <c r="M33" s="16">
        <f t="shared" ref="M33:S33" si="23">M20/$U$28</f>
        <v>0.10214162905094096</v>
      </c>
      <c r="N33" s="16">
        <f t="shared" si="23"/>
        <v>3.0854418051392864E-3</v>
      </c>
      <c r="O33" s="16">
        <f t="shared" si="23"/>
        <v>1.1427562241256616E-4</v>
      </c>
      <c r="P33" s="16">
        <f t="shared" si="23"/>
        <v>2.597173236649231E-5</v>
      </c>
      <c r="Q33" s="16">
        <f t="shared" si="23"/>
        <v>2.3384947822789676E-2</v>
      </c>
      <c r="R33" s="16">
        <f t="shared" si="23"/>
        <v>6.2176327285382591E-3</v>
      </c>
      <c r="S33" s="16">
        <f t="shared" si="23"/>
        <v>1.1427562241256616E-4</v>
      </c>
      <c r="T33" s="16"/>
      <c r="U33" s="16">
        <f t="shared" ref="U33:U39" si="24">U20/$U$28</f>
        <v>0.1350841743845998</v>
      </c>
      <c r="W33" t="str">
        <f>$A$7</f>
        <v>Williamson</v>
      </c>
      <c r="X33" s="16">
        <f t="shared" ref="X33:AD33" si="25">M33-B33</f>
        <v>-2.9605185676392504E-3</v>
      </c>
      <c r="Y33" s="16">
        <f t="shared" si="25"/>
        <v>2.541277484772854E-3</v>
      </c>
      <c r="Z33" s="16">
        <f t="shared" si="25"/>
        <v>-1.5299619044673726E-3</v>
      </c>
      <c r="AA33" s="16">
        <f t="shared" si="25"/>
        <v>2.597173236649231E-5</v>
      </c>
      <c r="AB33" s="16">
        <f t="shared" si="25"/>
        <v>-3.9063857290901303E-3</v>
      </c>
      <c r="AC33" s="16">
        <f t="shared" si="25"/>
        <v>5.7153413616448439E-3</v>
      </c>
      <c r="AD33" s="16">
        <f t="shared" si="25"/>
        <v>1.1427562241256616E-4</v>
      </c>
      <c r="AE33" s="16"/>
      <c r="AF33" s="16">
        <f t="shared" ref="AF33:AF39" si="26">U33-J33</f>
        <v>0</v>
      </c>
    </row>
    <row r="34" spans="1:32" x14ac:dyDescent="0.25">
      <c r="A34" t="str">
        <f>$A$8</f>
        <v>Rutherford</v>
      </c>
      <c r="B34" s="16">
        <f t="shared" ref="B34:G38" si="27">B21/$J$28</f>
        <v>2.9106188906368722E-3</v>
      </c>
      <c r="C34" s="16">
        <f t="shared" si="27"/>
        <v>0.16112003097556171</v>
      </c>
      <c r="D34" s="16">
        <f t="shared" si="27"/>
        <v>1.3955302776777592E-4</v>
      </c>
      <c r="E34" s="16">
        <f t="shared" si="27"/>
        <v>0</v>
      </c>
      <c r="F34" s="16">
        <f t="shared" si="27"/>
        <v>5.396190314763313E-3</v>
      </c>
      <c r="G34" s="16">
        <f t="shared" si="27"/>
        <v>0</v>
      </c>
      <c r="H34" s="16">
        <f t="shared" ref="H34:H39" si="28">H21/$J$28</f>
        <v>3.0261570595583017E-3</v>
      </c>
      <c r="I34" s="12"/>
      <c r="J34" s="16">
        <f t="shared" si="22"/>
        <v>0.17259255026828796</v>
      </c>
      <c r="K34" s="12"/>
      <c r="L34" t="str">
        <f>$A$8</f>
        <v>Rutherford</v>
      </c>
      <c r="M34" s="16">
        <f t="shared" ref="M34:R38" si="29">M21/$U$28</f>
        <v>4.2697528010513354E-3</v>
      </c>
      <c r="N34" s="16">
        <f t="shared" si="29"/>
        <v>0.15258912199961561</v>
      </c>
      <c r="O34" s="16">
        <f t="shared" si="29"/>
        <v>1.1946996888586462E-4</v>
      </c>
      <c r="P34" s="16">
        <f t="shared" si="29"/>
        <v>5.1943464732984621E-6</v>
      </c>
      <c r="Q34" s="16">
        <f t="shared" si="29"/>
        <v>1.3832544658393803E-2</v>
      </c>
      <c r="R34" s="16">
        <f t="shared" si="29"/>
        <v>1.6621908714555079E-4</v>
      </c>
      <c r="S34" s="16">
        <f t="shared" ref="S34:S39" si="30">S21/$U$28</f>
        <v>1.6102474067225233E-3</v>
      </c>
      <c r="T34" s="16"/>
      <c r="U34" s="16">
        <f t="shared" si="24"/>
        <v>0.17259255026828799</v>
      </c>
      <c r="W34" t="str">
        <f>$A$8</f>
        <v>Rutherford</v>
      </c>
      <c r="X34" s="16">
        <f t="shared" ref="X34:X39" si="31">M34-B34</f>
        <v>1.3591339104144632E-3</v>
      </c>
      <c r="Y34" s="16">
        <f t="shared" ref="Y34:AC38" si="32">N34-C34</f>
        <v>-8.5309089759461054E-3</v>
      </c>
      <c r="Z34" s="16">
        <f t="shared" si="32"/>
        <v>-2.00830588819113E-5</v>
      </c>
      <c r="AA34" s="16">
        <f t="shared" si="32"/>
        <v>5.1943464732984621E-6</v>
      </c>
      <c r="AB34" s="16">
        <f t="shared" si="32"/>
        <v>8.4363543436304905E-3</v>
      </c>
      <c r="AC34" s="16">
        <f t="shared" si="32"/>
        <v>1.6621908714555079E-4</v>
      </c>
      <c r="AD34" s="16">
        <f t="shared" ref="AD34:AD39" si="33">S34-H34</f>
        <v>-1.4159096528357784E-3</v>
      </c>
      <c r="AE34" s="16"/>
      <c r="AF34" s="16">
        <f t="shared" si="26"/>
        <v>0</v>
      </c>
    </row>
    <row r="35" spans="1:32" x14ac:dyDescent="0.25">
      <c r="A35" t="str">
        <f>$A$9</f>
        <v>Sumner</v>
      </c>
      <c r="B35" s="16">
        <f t="shared" si="27"/>
        <v>6.6961463151655088E-4</v>
      </c>
      <c r="C35" s="16">
        <f t="shared" si="27"/>
        <v>0</v>
      </c>
      <c r="D35" s="16">
        <f t="shared" si="27"/>
        <v>9.4558309908362115E-2</v>
      </c>
      <c r="E35" s="16">
        <f t="shared" si="27"/>
        <v>4.5020584242225553E-3</v>
      </c>
      <c r="F35" s="16">
        <f t="shared" si="27"/>
        <v>8.0516548504529009E-3</v>
      </c>
      <c r="G35" s="16">
        <f t="shared" si="27"/>
        <v>0</v>
      </c>
      <c r="H35" s="16">
        <f t="shared" si="28"/>
        <v>1.5022176371722199E-3</v>
      </c>
      <c r="I35" s="12"/>
      <c r="J35" s="16">
        <f t="shared" si="22"/>
        <v>0.10928385545172634</v>
      </c>
      <c r="K35" s="13"/>
      <c r="L35" t="str">
        <f>$A$9</f>
        <v>Sumner</v>
      </c>
      <c r="M35" s="16">
        <f t="shared" si="29"/>
        <v>4.9346291496335385E-4</v>
      </c>
      <c r="N35" s="16">
        <f t="shared" si="29"/>
        <v>2.181625518785354E-4</v>
      </c>
      <c r="O35" s="16">
        <f t="shared" si="29"/>
        <v>8.3826363386090577E-2</v>
      </c>
      <c r="P35" s="16">
        <f t="shared" si="29"/>
        <v>4.3840284234639018E-3</v>
      </c>
      <c r="Q35" s="16">
        <f t="shared" si="29"/>
        <v>1.9047668517585461E-2</v>
      </c>
      <c r="R35" s="16">
        <f t="shared" si="29"/>
        <v>5.1943464732984621E-6</v>
      </c>
      <c r="S35" s="16">
        <f t="shared" si="30"/>
        <v>1.3089753112712123E-3</v>
      </c>
      <c r="T35" s="16"/>
      <c r="U35" s="16">
        <f t="shared" si="24"/>
        <v>0.10928385545172634</v>
      </c>
      <c r="W35" t="str">
        <f>$A$9</f>
        <v>Sumner</v>
      </c>
      <c r="X35" s="16">
        <f t="shared" si="31"/>
        <v>-1.7615171655319703E-4</v>
      </c>
      <c r="Y35" s="16">
        <f t="shared" si="32"/>
        <v>2.181625518785354E-4</v>
      </c>
      <c r="Z35" s="16">
        <f t="shared" si="32"/>
        <v>-1.0731946522271538E-2</v>
      </c>
      <c r="AA35" s="16">
        <f t="shared" si="32"/>
        <v>-1.1803000075865343E-4</v>
      </c>
      <c r="AB35" s="16">
        <f t="shared" si="32"/>
        <v>1.099601366713256E-2</v>
      </c>
      <c r="AC35" s="16">
        <f t="shared" si="32"/>
        <v>5.1943464732984621E-6</v>
      </c>
      <c r="AD35" s="16">
        <f t="shared" si="33"/>
        <v>-1.9324232590100751E-4</v>
      </c>
      <c r="AE35" s="16"/>
      <c r="AF35" s="16">
        <f t="shared" si="26"/>
        <v>0</v>
      </c>
    </row>
    <row r="36" spans="1:32" x14ac:dyDescent="0.25">
      <c r="A36" t="str">
        <f>$A$10</f>
        <v>Roberston</v>
      </c>
      <c r="B36" s="16">
        <f t="shared" si="27"/>
        <v>8.4500775630651117E-4</v>
      </c>
      <c r="C36" s="16">
        <f t="shared" si="27"/>
        <v>0</v>
      </c>
      <c r="D36" s="16">
        <f t="shared" si="27"/>
        <v>1.9550104517162162E-3</v>
      </c>
      <c r="E36" s="16">
        <f t="shared" si="27"/>
        <v>3.6890839400985323E-2</v>
      </c>
      <c r="F36" s="16">
        <f t="shared" si="27"/>
        <v>2.8013738627371571E-3</v>
      </c>
      <c r="G36" s="16">
        <f t="shared" si="27"/>
        <v>0</v>
      </c>
      <c r="H36" s="16">
        <f t="shared" si="28"/>
        <v>1.3220810305273167E-3</v>
      </c>
      <c r="I36" s="12"/>
      <c r="J36" s="16">
        <f t="shared" si="22"/>
        <v>4.3814312502272523E-2</v>
      </c>
      <c r="K36" s="13"/>
      <c r="L36" t="str">
        <f>$A$10</f>
        <v>Roberston</v>
      </c>
      <c r="M36" s="16">
        <f t="shared" si="29"/>
        <v>2.1296820540523694E-4</v>
      </c>
      <c r="N36" s="16">
        <f t="shared" si="29"/>
        <v>2.0777385893193848E-5</v>
      </c>
      <c r="O36" s="16">
        <f t="shared" si="29"/>
        <v>3.9373146267602339E-3</v>
      </c>
      <c r="P36" s="16">
        <f t="shared" si="29"/>
        <v>3.2215336827397058E-2</v>
      </c>
      <c r="Q36" s="16">
        <f t="shared" si="29"/>
        <v>7.3396115667707269E-3</v>
      </c>
      <c r="R36" s="16">
        <f t="shared" si="29"/>
        <v>1.0388692946596924E-5</v>
      </c>
      <c r="S36" s="16">
        <f t="shared" si="30"/>
        <v>7.7915197099476932E-5</v>
      </c>
      <c r="T36" s="16"/>
      <c r="U36" s="16">
        <f t="shared" si="24"/>
        <v>4.3814312502272523E-2</v>
      </c>
      <c r="W36" t="str">
        <f>$A$10</f>
        <v>Roberston</v>
      </c>
      <c r="X36" s="16">
        <f t="shared" si="31"/>
        <v>-6.3203955090127429E-4</v>
      </c>
      <c r="Y36" s="16">
        <f t="shared" si="32"/>
        <v>2.0777385893193848E-5</v>
      </c>
      <c r="Z36" s="16">
        <f t="shared" si="32"/>
        <v>1.9823041750440177E-3</v>
      </c>
      <c r="AA36" s="16">
        <f t="shared" si="32"/>
        <v>-4.6755025735882652E-3</v>
      </c>
      <c r="AB36" s="16">
        <f t="shared" si="32"/>
        <v>4.5382377040335698E-3</v>
      </c>
      <c r="AC36" s="16">
        <f t="shared" si="32"/>
        <v>1.0388692946596924E-5</v>
      </c>
      <c r="AD36" s="16">
        <f t="shared" si="33"/>
        <v>-1.2441658334278397E-3</v>
      </c>
      <c r="AE36" s="16"/>
      <c r="AF36" s="16">
        <f t="shared" si="26"/>
        <v>0</v>
      </c>
    </row>
    <row r="37" spans="1:32" x14ac:dyDescent="0.25">
      <c r="A37" t="str">
        <f>$A$11</f>
        <v>Davidson</v>
      </c>
      <c r="B37" s="16">
        <f t="shared" si="27"/>
        <v>2.3462536745251839E-2</v>
      </c>
      <c r="C37" s="16">
        <f t="shared" si="27"/>
        <v>4.8330069755405103E-3</v>
      </c>
      <c r="D37" s="16">
        <f t="shared" si="27"/>
        <v>1.9391127516396819E-2</v>
      </c>
      <c r="E37" s="16">
        <f t="shared" si="27"/>
        <v>0</v>
      </c>
      <c r="F37" s="16">
        <f t="shared" si="27"/>
        <v>0.35688826805008839</v>
      </c>
      <c r="G37" s="16">
        <f t="shared" si="27"/>
        <v>5.5580958373729786E-4</v>
      </c>
      <c r="H37" s="16">
        <f t="shared" si="28"/>
        <v>1.513859137628521E-3</v>
      </c>
      <c r="I37" s="12"/>
      <c r="J37" s="16">
        <f t="shared" si="22"/>
        <v>0.40664460800864333</v>
      </c>
      <c r="K37" s="13"/>
      <c r="L37" t="str">
        <f>$A$11</f>
        <v>Davidson</v>
      </c>
      <c r="M37" s="16">
        <f t="shared" si="29"/>
        <v>2.4709506173480784E-2</v>
      </c>
      <c r="N37" s="16">
        <f t="shared" si="29"/>
        <v>7.2253359443581605E-3</v>
      </c>
      <c r="O37" s="16">
        <f t="shared" si="29"/>
        <v>3.0854418051392864E-3</v>
      </c>
      <c r="P37" s="16">
        <f t="shared" si="29"/>
        <v>7.3759719920838155E-4</v>
      </c>
      <c r="Q37" s="16">
        <f t="shared" si="29"/>
        <v>0.3671935465439416</v>
      </c>
      <c r="R37" s="16">
        <f t="shared" si="29"/>
        <v>1.2985866183246156E-4</v>
      </c>
      <c r="S37" s="16">
        <f t="shared" si="30"/>
        <v>3.5633216806827449E-3</v>
      </c>
      <c r="T37" s="16"/>
      <c r="U37" s="16">
        <f t="shared" si="24"/>
        <v>0.40664460800864338</v>
      </c>
      <c r="W37" t="str">
        <f>$A$11</f>
        <v>Davidson</v>
      </c>
      <c r="X37" s="16">
        <f t="shared" si="31"/>
        <v>1.2469694282289459E-3</v>
      </c>
      <c r="Y37" s="16">
        <f t="shared" si="32"/>
        <v>2.3923289688176502E-3</v>
      </c>
      <c r="Z37" s="16">
        <f t="shared" si="32"/>
        <v>-1.6305685711257532E-2</v>
      </c>
      <c r="AA37" s="16">
        <f t="shared" si="32"/>
        <v>7.3759719920838155E-4</v>
      </c>
      <c r="AB37" s="16">
        <f t="shared" si="32"/>
        <v>1.0305278493853209E-2</v>
      </c>
      <c r="AC37" s="16">
        <f t="shared" si="32"/>
        <v>-4.259509219048363E-4</v>
      </c>
      <c r="AD37" s="16">
        <f t="shared" si="33"/>
        <v>2.0494625430542241E-3</v>
      </c>
      <c r="AE37" s="16"/>
      <c r="AF37" s="16">
        <f t="shared" si="26"/>
        <v>0</v>
      </c>
    </row>
    <row r="38" spans="1:32" x14ac:dyDescent="0.25">
      <c r="A38" t="str">
        <f>$A$12</f>
        <v>Maury</v>
      </c>
      <c r="B38" s="16">
        <f t="shared" si="27"/>
        <v>3.7172251067840068E-3</v>
      </c>
      <c r="C38" s="16">
        <f t="shared" si="27"/>
        <v>0</v>
      </c>
      <c r="D38" s="16">
        <f t="shared" si="27"/>
        <v>0</v>
      </c>
      <c r="E38" s="16">
        <f t="shared" si="27"/>
        <v>0</v>
      </c>
      <c r="F38" s="16">
        <f t="shared" si="27"/>
        <v>5.0858447412874186E-3</v>
      </c>
      <c r="G38" s="16">
        <f t="shared" si="27"/>
        <v>4.6937462156894379E-2</v>
      </c>
      <c r="H38" s="16">
        <f t="shared" si="28"/>
        <v>0</v>
      </c>
      <c r="I38" s="12"/>
      <c r="J38" s="16">
        <f t="shared" si="22"/>
        <v>5.5740532004965808E-2</v>
      </c>
      <c r="K38" s="13"/>
      <c r="L38" t="str">
        <f>$A$12</f>
        <v>Maury</v>
      </c>
      <c r="M38" s="16">
        <f t="shared" si="29"/>
        <v>4.3528623446241112E-3</v>
      </c>
      <c r="N38" s="16">
        <f t="shared" si="29"/>
        <v>2.6491167013822155E-4</v>
      </c>
      <c r="O38" s="16">
        <f t="shared" si="29"/>
        <v>5.1943464732984621E-6</v>
      </c>
      <c r="P38" s="16">
        <f t="shared" si="29"/>
        <v>0</v>
      </c>
      <c r="Q38" s="16">
        <f t="shared" si="29"/>
        <v>8.5706716809424619E-4</v>
      </c>
      <c r="R38" s="16">
        <f t="shared" si="29"/>
        <v>5.0260496475635921E-2</v>
      </c>
      <c r="S38" s="16">
        <f t="shared" si="30"/>
        <v>0</v>
      </c>
      <c r="T38" s="16"/>
      <c r="U38" s="16">
        <f t="shared" si="24"/>
        <v>5.5740532004965794E-2</v>
      </c>
      <c r="W38" t="str">
        <f>$A$12</f>
        <v>Maury</v>
      </c>
      <c r="X38" s="16">
        <f t="shared" si="31"/>
        <v>6.3563723784010448E-4</v>
      </c>
      <c r="Y38" s="16">
        <f t="shared" si="32"/>
        <v>2.6491167013822155E-4</v>
      </c>
      <c r="Z38" s="16">
        <f t="shared" si="32"/>
        <v>5.1943464732984621E-6</v>
      </c>
      <c r="AA38" s="16">
        <f t="shared" si="32"/>
        <v>0</v>
      </c>
      <c r="AB38" s="16">
        <f t="shared" si="32"/>
        <v>-4.2287775731931721E-3</v>
      </c>
      <c r="AC38" s="16">
        <f t="shared" si="32"/>
        <v>3.3230343187415426E-3</v>
      </c>
      <c r="AD38" s="16">
        <f t="shared" si="33"/>
        <v>0</v>
      </c>
      <c r="AE38" s="16"/>
      <c r="AF38" s="16">
        <f t="shared" si="26"/>
        <v>0</v>
      </c>
    </row>
    <row r="39" spans="1:32" x14ac:dyDescent="0.25">
      <c r="A39" t="str">
        <f>$A$13</f>
        <v>Wilson</v>
      </c>
      <c r="B39" s="16">
        <f>B26/$J$28</f>
        <v>4.0719076448773438E-3</v>
      </c>
      <c r="C39" s="16">
        <f t="shared" ref="C39:G39" si="34">C26/$J$28</f>
        <v>2.2738361293995714E-3</v>
      </c>
      <c r="D39" s="16">
        <f t="shared" si="34"/>
        <v>8.2888694607084507E-4</v>
      </c>
      <c r="E39" s="16">
        <f t="shared" si="34"/>
        <v>0</v>
      </c>
      <c r="F39" s="16">
        <f t="shared" si="34"/>
        <v>1.5109117478121385E-2</v>
      </c>
      <c r="G39" s="16">
        <f t="shared" si="34"/>
        <v>0</v>
      </c>
      <c r="H39" s="16">
        <f t="shared" si="28"/>
        <v>5.4556219181034996E-2</v>
      </c>
      <c r="I39" s="12"/>
      <c r="J39" s="16">
        <f t="shared" si="22"/>
        <v>7.6839967379504132E-2</v>
      </c>
      <c r="K39" s="13"/>
      <c r="L39" t="str">
        <f>$A$13</f>
        <v>Wilson</v>
      </c>
      <c r="M39" s="16">
        <f>M26/$U$28</f>
        <v>1.0804240664460802E-3</v>
      </c>
      <c r="N39" s="16">
        <f t="shared" ref="N39:R39" si="35">N26/$U$28</f>
        <v>3.3451591288042094E-3</v>
      </c>
      <c r="O39" s="16">
        <f t="shared" si="35"/>
        <v>2.114099014632474E-3</v>
      </c>
      <c r="P39" s="16">
        <f t="shared" si="35"/>
        <v>9.8692582992670778E-5</v>
      </c>
      <c r="Q39" s="16">
        <f t="shared" si="35"/>
        <v>2.0798163279087043E-2</v>
      </c>
      <c r="R39" s="16">
        <f t="shared" si="35"/>
        <v>5.1943464732984621E-6</v>
      </c>
      <c r="S39" s="16">
        <f t="shared" si="30"/>
        <v>4.939823496106837E-2</v>
      </c>
      <c r="T39" s="16"/>
      <c r="U39" s="16">
        <f t="shared" si="24"/>
        <v>7.6839967379504145E-2</v>
      </c>
      <c r="W39" t="str">
        <f>$A$13</f>
        <v>Wilson</v>
      </c>
      <c r="X39" s="16">
        <f t="shared" si="31"/>
        <v>-2.9914835784312635E-3</v>
      </c>
      <c r="Y39" s="16">
        <f t="shared" ref="Y39" si="36">N39-C39</f>
        <v>1.071322999404638E-3</v>
      </c>
      <c r="Z39" s="16">
        <f t="shared" ref="Z39" si="37">O39-D39</f>
        <v>1.285212068561629E-3</v>
      </c>
      <c r="AA39" s="16">
        <f t="shared" ref="AA39" si="38">P39-E39</f>
        <v>9.8692582992670778E-5</v>
      </c>
      <c r="AB39" s="16">
        <f t="shared" ref="AB39" si="39">Q39-F39</f>
        <v>5.6890458009656586E-3</v>
      </c>
      <c r="AC39" s="16">
        <f t="shared" ref="AC39" si="40">R39-G39</f>
        <v>5.1943464732984621E-6</v>
      </c>
      <c r="AD39" s="16">
        <f t="shared" si="33"/>
        <v>-5.1579842199666256E-3</v>
      </c>
      <c r="AE39" s="16"/>
      <c r="AF39" s="16">
        <f t="shared" si="26"/>
        <v>0</v>
      </c>
    </row>
    <row r="40" spans="1:32" x14ac:dyDescent="0.25">
      <c r="A40" s="7" t="s">
        <v>17</v>
      </c>
      <c r="B40" s="14"/>
      <c r="C40" s="14"/>
      <c r="D40" s="14"/>
      <c r="E40" s="14"/>
      <c r="F40" s="14"/>
      <c r="G40" s="14"/>
      <c r="H40" s="14"/>
      <c r="I40" s="14"/>
      <c r="J40" s="17"/>
      <c r="K40" s="12"/>
      <c r="L40" s="383" t="s">
        <v>17</v>
      </c>
      <c r="M40" s="17"/>
      <c r="N40" s="17"/>
      <c r="O40" s="17"/>
      <c r="P40" s="17"/>
      <c r="Q40" s="17"/>
      <c r="R40" s="17"/>
      <c r="S40" s="17"/>
      <c r="T40" s="17"/>
      <c r="U40" s="17"/>
      <c r="W40" s="383" t="s">
        <v>17</v>
      </c>
      <c r="X40" s="17"/>
      <c r="Y40" s="17"/>
      <c r="Z40" s="17"/>
      <c r="AA40" s="17"/>
      <c r="AB40" s="17"/>
      <c r="AC40" s="17"/>
      <c r="AD40" s="16"/>
      <c r="AE40" s="17"/>
      <c r="AF40" s="17"/>
    </row>
    <row r="41" spans="1:32" ht="15.75" thickBot="1" x14ac:dyDescent="0.3">
      <c r="A41" s="1" t="s">
        <v>4</v>
      </c>
      <c r="B41" s="18">
        <f t="shared" ref="B41:J41" si="41">B28/$J$28</f>
        <v>0.1407790583939533</v>
      </c>
      <c r="C41" s="18">
        <f t="shared" si="41"/>
        <v>0.16877103840086821</v>
      </c>
      <c r="D41" s="18">
        <f t="shared" si="41"/>
        <v>0.11851712537719369</v>
      </c>
      <c r="E41" s="18">
        <f t="shared" si="41"/>
        <v>4.1392897825207879E-2</v>
      </c>
      <c r="F41" s="18">
        <f t="shared" si="41"/>
        <v>0.42062378284933033</v>
      </c>
      <c r="G41" s="18">
        <f t="shared" si="41"/>
        <v>4.7995563107525084E-2</v>
      </c>
      <c r="H41" s="18">
        <f t="shared" si="41"/>
        <v>6.1920534045921356E-2</v>
      </c>
      <c r="I41" s="18">
        <f t="shared" si="41"/>
        <v>0</v>
      </c>
      <c r="J41" s="18">
        <f t="shared" si="41"/>
        <v>1</v>
      </c>
      <c r="K41" s="12"/>
      <c r="L41" s="15" t="s">
        <v>4</v>
      </c>
      <c r="M41" s="18">
        <f>M28/$U$28</f>
        <v>0.13726060555691186</v>
      </c>
      <c r="N41" s="18">
        <f>N28/$U$28</f>
        <v>0.16674891048582721</v>
      </c>
      <c r="O41" s="18">
        <f>O28/$U$28</f>
        <v>9.3202158770394297E-2</v>
      </c>
      <c r="P41" s="18">
        <f>P28/$U$28</f>
        <v>3.7466821111901805E-2</v>
      </c>
      <c r="Q41" s="18">
        <f t="shared" ref="Q41:S41" si="42">Q28/$U$28</f>
        <v>0.4524535495566625</v>
      </c>
      <c r="R41" s="18">
        <f t="shared" si="42"/>
        <v>5.6794984339045382E-2</v>
      </c>
      <c r="S41" s="18">
        <f t="shared" si="42"/>
        <v>5.6072970179256894E-2</v>
      </c>
      <c r="T41" s="18">
        <f>T28/$U$28</f>
        <v>0</v>
      </c>
      <c r="U41" s="18">
        <f>U28/$U$28</f>
        <v>1</v>
      </c>
      <c r="W41" s="15" t="s">
        <v>4</v>
      </c>
      <c r="X41" s="18">
        <f t="shared" ref="X41:AF41" si="43">M41-B41</f>
        <v>-3.5184528370414414E-3</v>
      </c>
      <c r="Y41" s="18">
        <f t="shared" si="43"/>
        <v>-2.0221279150409999E-3</v>
      </c>
      <c r="Z41" s="18">
        <f t="shared" si="43"/>
        <v>-2.5314966606799397E-2</v>
      </c>
      <c r="AA41" s="18">
        <f t="shared" si="43"/>
        <v>-3.9260767133060745E-3</v>
      </c>
      <c r="AB41" s="18">
        <f t="shared" si="43"/>
        <v>3.1829766707332174E-2</v>
      </c>
      <c r="AC41" s="18">
        <f t="shared" si="43"/>
        <v>8.7994212315202977E-3</v>
      </c>
      <c r="AD41" s="385">
        <f t="shared" si="43"/>
        <v>-5.8475638666644625E-3</v>
      </c>
      <c r="AE41" s="18"/>
      <c r="AF41" s="18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/>
  </sheetViews>
  <sheetFormatPr defaultRowHeight="15" x14ac:dyDescent="0.25"/>
  <sheetData>
    <row r="1" spans="1:3" x14ac:dyDescent="0.25">
      <c r="A1" s="10" t="s">
        <v>23</v>
      </c>
    </row>
    <row r="2" spans="1:3" x14ac:dyDescent="0.25">
      <c r="A2">
        <v>1</v>
      </c>
      <c r="B2" t="s">
        <v>24</v>
      </c>
    </row>
    <row r="3" spans="1:3" x14ac:dyDescent="0.25">
      <c r="B3" t="s">
        <v>25</v>
      </c>
      <c r="C3" t="s">
        <v>26</v>
      </c>
    </row>
    <row r="4" spans="1:3" x14ac:dyDescent="0.25">
      <c r="B4" t="s">
        <v>27</v>
      </c>
      <c r="C4" t="s">
        <v>28</v>
      </c>
    </row>
    <row r="5" spans="1:3" x14ac:dyDescent="0.25">
      <c r="B5" t="s">
        <v>29</v>
      </c>
      <c r="C5" t="s">
        <v>30</v>
      </c>
    </row>
    <row r="6" spans="1:3" x14ac:dyDescent="0.25">
      <c r="B6" t="s">
        <v>31</v>
      </c>
      <c r="C6" t="s">
        <v>32</v>
      </c>
    </row>
    <row r="8" spans="1:3" x14ac:dyDescent="0.25">
      <c r="A8">
        <v>2</v>
      </c>
      <c r="B8" t="s">
        <v>33</v>
      </c>
    </row>
    <row r="10" spans="1:3" x14ac:dyDescent="0.25">
      <c r="A10">
        <v>3</v>
      </c>
      <c r="B10" t="s">
        <v>34</v>
      </c>
    </row>
    <row r="12" spans="1:3" x14ac:dyDescent="0.25">
      <c r="A12">
        <v>4</v>
      </c>
      <c r="B12" t="s">
        <v>35</v>
      </c>
    </row>
    <row r="14" spans="1:3" x14ac:dyDescent="0.25">
      <c r="A14">
        <v>5</v>
      </c>
      <c r="B14" t="s">
        <v>36</v>
      </c>
    </row>
    <row r="15" spans="1:3" x14ac:dyDescent="0.25">
      <c r="B15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TLFD</vt:lpstr>
      <vt:lpstr>TDFD</vt:lpstr>
      <vt:lpstr>County_Flow</vt:lpstr>
      <vt:lpstr>Documentation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2015-04-23T04:48:40Z</dcterms:modified>
</cp:coreProperties>
</file>