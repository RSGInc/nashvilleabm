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30" windowWidth="7950" windowHeight="5040"/>
  </bookViews>
  <sheets>
    <sheet name="All Purposes" sheetId="18" r:id="rId1"/>
    <sheet name="Workbased" sheetId="7" r:id="rId2"/>
    <sheet name="Work" sheetId="11" r:id="rId3"/>
    <sheet name="School" sheetId="12" r:id="rId4"/>
    <sheet name="Escort" sheetId="13" r:id="rId5"/>
    <sheet name="Personal_Business" sheetId="14" r:id="rId6"/>
    <sheet name="Shop" sheetId="15" r:id="rId7"/>
    <sheet name="Meal" sheetId="16" r:id="rId8"/>
    <sheet name="SocRec" sheetId="17" r:id="rId9"/>
    <sheet name="Documentation" sheetId="19" r:id="rId10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45621"/>
</workbook>
</file>

<file path=xl/calcChain.xml><?xml version="1.0" encoding="utf-8"?>
<calcChain xmlns="http://schemas.openxmlformats.org/spreadsheetml/2006/main">
  <c r="B6" i="18" l="1"/>
  <c r="J11" i="7" l="1"/>
  <c r="J12" i="7"/>
  <c r="J13" i="7"/>
  <c r="J11" i="11"/>
  <c r="J12" i="11"/>
  <c r="J13" i="11"/>
  <c r="J11" i="12"/>
  <c r="J12" i="12"/>
  <c r="J13" i="12"/>
  <c r="J11" i="13"/>
  <c r="J12" i="13"/>
  <c r="J13" i="13"/>
  <c r="J11" i="14"/>
  <c r="J12" i="14"/>
  <c r="J13" i="14"/>
  <c r="J11" i="15"/>
  <c r="J12" i="15"/>
  <c r="J13" i="15"/>
  <c r="J11" i="16"/>
  <c r="J12" i="16"/>
  <c r="J13" i="16"/>
  <c r="J11" i="17"/>
  <c r="J12" i="17"/>
  <c r="J13" i="17"/>
  <c r="I13" i="18"/>
  <c r="H13" i="18"/>
  <c r="G13" i="18"/>
  <c r="F13" i="18"/>
  <c r="E13" i="18"/>
  <c r="D13" i="18"/>
  <c r="C13" i="18"/>
  <c r="B13" i="18"/>
  <c r="I12" i="18"/>
  <c r="H12" i="18"/>
  <c r="G12" i="18"/>
  <c r="F12" i="18"/>
  <c r="E12" i="18"/>
  <c r="D12" i="18"/>
  <c r="C12" i="18"/>
  <c r="B12" i="18"/>
  <c r="I11" i="18"/>
  <c r="H11" i="18"/>
  <c r="G11" i="18"/>
  <c r="F11" i="18"/>
  <c r="E11" i="18"/>
  <c r="D11" i="18"/>
  <c r="C11" i="18"/>
  <c r="B11" i="18"/>
  <c r="T13" i="18"/>
  <c r="S13" i="18"/>
  <c r="R13" i="18"/>
  <c r="Q13" i="18"/>
  <c r="P13" i="18"/>
  <c r="O13" i="18"/>
  <c r="N13" i="18"/>
  <c r="M13" i="18"/>
  <c r="T12" i="18"/>
  <c r="S12" i="18"/>
  <c r="R12" i="18"/>
  <c r="Q12" i="18"/>
  <c r="P12" i="18"/>
  <c r="O12" i="18"/>
  <c r="N12" i="18"/>
  <c r="M12" i="18"/>
  <c r="U11" i="7"/>
  <c r="U12" i="7"/>
  <c r="U13" i="7"/>
  <c r="U11" i="11"/>
  <c r="U12" i="11"/>
  <c r="U13" i="11"/>
  <c r="U11" i="12"/>
  <c r="U12" i="12"/>
  <c r="U13" i="12"/>
  <c r="U11" i="13"/>
  <c r="U12" i="13"/>
  <c r="U13" i="13"/>
  <c r="U11" i="14"/>
  <c r="U12" i="14"/>
  <c r="U13" i="14"/>
  <c r="U11" i="15"/>
  <c r="U12" i="15"/>
  <c r="U13" i="15"/>
  <c r="U11" i="16"/>
  <c r="U12" i="16"/>
  <c r="U13" i="16"/>
  <c r="U11" i="17"/>
  <c r="U12" i="17"/>
  <c r="U13" i="17"/>
  <c r="O11" i="18"/>
  <c r="P11" i="18"/>
  <c r="Q11" i="18"/>
  <c r="R11" i="18"/>
  <c r="S11" i="18"/>
  <c r="T11" i="18"/>
  <c r="N11" i="18"/>
  <c r="M11" i="18"/>
  <c r="T15" i="18"/>
  <c r="S15" i="18"/>
  <c r="R15" i="18"/>
  <c r="Q15" i="18"/>
  <c r="P15" i="18"/>
  <c r="O15" i="18"/>
  <c r="N15" i="18"/>
  <c r="M15" i="18"/>
  <c r="T14" i="18"/>
  <c r="S14" i="18"/>
  <c r="R14" i="18"/>
  <c r="Q14" i="18"/>
  <c r="P14" i="18"/>
  <c r="O14" i="18"/>
  <c r="N14" i="18"/>
  <c r="M14" i="18"/>
  <c r="T10" i="18"/>
  <c r="S10" i="18"/>
  <c r="R10" i="18"/>
  <c r="Q10" i="18"/>
  <c r="P10" i="18"/>
  <c r="O10" i="18"/>
  <c r="N10" i="18"/>
  <c r="M10" i="18"/>
  <c r="T9" i="18"/>
  <c r="S9" i="18"/>
  <c r="R9" i="18"/>
  <c r="Q9" i="18"/>
  <c r="P9" i="18"/>
  <c r="O9" i="18"/>
  <c r="N9" i="18"/>
  <c r="M9" i="18"/>
  <c r="T8" i="18"/>
  <c r="S8" i="18"/>
  <c r="R8" i="18"/>
  <c r="Q8" i="18"/>
  <c r="P8" i="18"/>
  <c r="O8" i="18"/>
  <c r="N8" i="18"/>
  <c r="M8" i="18"/>
  <c r="T7" i="18"/>
  <c r="S7" i="18"/>
  <c r="R7" i="18"/>
  <c r="Q7" i="18"/>
  <c r="P7" i="18"/>
  <c r="O7" i="18"/>
  <c r="N7" i="18"/>
  <c r="M7" i="18"/>
  <c r="T6" i="18"/>
  <c r="S6" i="18"/>
  <c r="R6" i="18"/>
  <c r="Q6" i="18"/>
  <c r="P6" i="18"/>
  <c r="O6" i="18"/>
  <c r="N6" i="18"/>
  <c r="M6" i="18"/>
  <c r="T5" i="18"/>
  <c r="S5" i="18"/>
  <c r="R5" i="18"/>
  <c r="Q5" i="18"/>
  <c r="P5" i="18"/>
  <c r="O5" i="18"/>
  <c r="N5" i="18"/>
  <c r="M5" i="18"/>
  <c r="I15" i="18"/>
  <c r="H15" i="18"/>
  <c r="G15" i="18"/>
  <c r="F15" i="18"/>
  <c r="E15" i="18"/>
  <c r="D15" i="18"/>
  <c r="C15" i="18"/>
  <c r="B15" i="18"/>
  <c r="I14" i="18"/>
  <c r="H14" i="18"/>
  <c r="G14" i="18"/>
  <c r="F14" i="18"/>
  <c r="E14" i="18"/>
  <c r="D14" i="18"/>
  <c r="C14" i="18"/>
  <c r="B14" i="18"/>
  <c r="I10" i="18"/>
  <c r="H10" i="18"/>
  <c r="G10" i="18"/>
  <c r="F10" i="18"/>
  <c r="E10" i="18"/>
  <c r="D10" i="18"/>
  <c r="C10" i="18"/>
  <c r="B10" i="18"/>
  <c r="I9" i="18"/>
  <c r="H9" i="18"/>
  <c r="G9" i="18"/>
  <c r="F9" i="18"/>
  <c r="E9" i="18"/>
  <c r="D9" i="18"/>
  <c r="C9" i="18"/>
  <c r="B9" i="18"/>
  <c r="I8" i="18"/>
  <c r="H8" i="18"/>
  <c r="G8" i="18"/>
  <c r="F8" i="18"/>
  <c r="E8" i="18"/>
  <c r="D8" i="18"/>
  <c r="C8" i="18"/>
  <c r="B8" i="18"/>
  <c r="I7" i="18"/>
  <c r="H7" i="18"/>
  <c r="G7" i="18"/>
  <c r="F7" i="18"/>
  <c r="E7" i="18"/>
  <c r="D7" i="18"/>
  <c r="C7" i="18"/>
  <c r="B7" i="18"/>
  <c r="I6" i="18"/>
  <c r="H6" i="18"/>
  <c r="G6" i="18"/>
  <c r="F6" i="18"/>
  <c r="E6" i="18"/>
  <c r="D6" i="18"/>
  <c r="C6" i="18"/>
  <c r="I5" i="18"/>
  <c r="H5" i="18"/>
  <c r="G5" i="18"/>
  <c r="F5" i="18"/>
  <c r="E5" i="18"/>
  <c r="D5" i="18"/>
  <c r="C5" i="18"/>
  <c r="B5" i="18"/>
  <c r="T16" i="17"/>
  <c r="T30" i="17" s="1"/>
  <c r="S16" i="17"/>
  <c r="S29" i="17" s="1"/>
  <c r="R16" i="17"/>
  <c r="R30" i="17" s="1"/>
  <c r="Q16" i="17"/>
  <c r="P16" i="17"/>
  <c r="O16" i="17"/>
  <c r="O30" i="17" s="1"/>
  <c r="N16" i="17"/>
  <c r="N30" i="17" s="1"/>
  <c r="M16" i="17"/>
  <c r="M30" i="17" s="1"/>
  <c r="I16" i="17"/>
  <c r="I30" i="17" s="1"/>
  <c r="H16" i="17"/>
  <c r="H30" i="17" s="1"/>
  <c r="G16" i="17"/>
  <c r="G30" i="17" s="1"/>
  <c r="F16" i="17"/>
  <c r="E16" i="17"/>
  <c r="D16" i="17"/>
  <c r="D30" i="17" s="1"/>
  <c r="C16" i="17"/>
  <c r="C30" i="17" s="1"/>
  <c r="B16" i="17"/>
  <c r="B29" i="17" s="1"/>
  <c r="U15" i="17"/>
  <c r="J15" i="17"/>
  <c r="U14" i="17"/>
  <c r="J14" i="17"/>
  <c r="U10" i="17"/>
  <c r="J10" i="17"/>
  <c r="U9" i="17"/>
  <c r="J9" i="17"/>
  <c r="U8" i="17"/>
  <c r="J8" i="17"/>
  <c r="U7" i="17"/>
  <c r="J7" i="17"/>
  <c r="U6" i="17"/>
  <c r="J6" i="17"/>
  <c r="U5" i="17"/>
  <c r="J5" i="17"/>
  <c r="T16" i="16"/>
  <c r="T30" i="16" s="1"/>
  <c r="S16" i="16"/>
  <c r="S30" i="16" s="1"/>
  <c r="R16" i="16"/>
  <c r="R30" i="16" s="1"/>
  <c r="Q16" i="16"/>
  <c r="P16" i="16"/>
  <c r="O16" i="16"/>
  <c r="O29" i="16" s="1"/>
  <c r="N16" i="16"/>
  <c r="N30" i="16" s="1"/>
  <c r="M16" i="16"/>
  <c r="M30" i="16" s="1"/>
  <c r="I16" i="16"/>
  <c r="I30" i="16" s="1"/>
  <c r="H16" i="16"/>
  <c r="H30" i="16" s="1"/>
  <c r="G16" i="16"/>
  <c r="G30" i="16" s="1"/>
  <c r="F16" i="16"/>
  <c r="E16" i="16"/>
  <c r="D16" i="16"/>
  <c r="D30" i="16" s="1"/>
  <c r="C16" i="16"/>
  <c r="C30" i="16" s="1"/>
  <c r="B16" i="16"/>
  <c r="B29" i="16" s="1"/>
  <c r="U15" i="16"/>
  <c r="J15" i="16"/>
  <c r="U14" i="16"/>
  <c r="J14" i="16"/>
  <c r="U10" i="16"/>
  <c r="J10" i="16"/>
  <c r="U9" i="16"/>
  <c r="J9" i="16"/>
  <c r="U8" i="16"/>
  <c r="J8" i="16"/>
  <c r="U7" i="16"/>
  <c r="J7" i="16"/>
  <c r="U6" i="16"/>
  <c r="J6" i="16"/>
  <c r="U5" i="16"/>
  <c r="J5" i="16"/>
  <c r="T16" i="15"/>
  <c r="T30" i="15" s="1"/>
  <c r="S16" i="15"/>
  <c r="S29" i="15" s="1"/>
  <c r="R16" i="15"/>
  <c r="R30" i="15" s="1"/>
  <c r="Q16" i="15"/>
  <c r="P16" i="15"/>
  <c r="O16" i="15"/>
  <c r="O30" i="15" s="1"/>
  <c r="N16" i="15"/>
  <c r="N30" i="15" s="1"/>
  <c r="M16" i="15"/>
  <c r="M30" i="15" s="1"/>
  <c r="I16" i="15"/>
  <c r="I30" i="15" s="1"/>
  <c r="H16" i="15"/>
  <c r="H30" i="15" s="1"/>
  <c r="G16" i="15"/>
  <c r="G30" i="15" s="1"/>
  <c r="F16" i="15"/>
  <c r="E16" i="15"/>
  <c r="D16" i="15"/>
  <c r="D30" i="15" s="1"/>
  <c r="C16" i="15"/>
  <c r="C30" i="15" s="1"/>
  <c r="B16" i="15"/>
  <c r="B29" i="15" s="1"/>
  <c r="U15" i="15"/>
  <c r="J15" i="15"/>
  <c r="U14" i="15"/>
  <c r="J14" i="15"/>
  <c r="U10" i="15"/>
  <c r="J10" i="15"/>
  <c r="U9" i="15"/>
  <c r="J9" i="15"/>
  <c r="U8" i="15"/>
  <c r="J8" i="15"/>
  <c r="U7" i="15"/>
  <c r="J7" i="15"/>
  <c r="U6" i="15"/>
  <c r="J6" i="15"/>
  <c r="U5" i="15"/>
  <c r="J5" i="15"/>
  <c r="T16" i="14"/>
  <c r="T30" i="14" s="1"/>
  <c r="S16" i="14"/>
  <c r="S30" i="14" s="1"/>
  <c r="R16" i="14"/>
  <c r="R30" i="14" s="1"/>
  <c r="Q16" i="14"/>
  <c r="P16" i="14"/>
  <c r="O16" i="14"/>
  <c r="O29" i="14" s="1"/>
  <c r="N16" i="14"/>
  <c r="N30" i="14" s="1"/>
  <c r="M16" i="14"/>
  <c r="M30" i="14" s="1"/>
  <c r="I16" i="14"/>
  <c r="I30" i="14" s="1"/>
  <c r="H16" i="14"/>
  <c r="H30" i="14" s="1"/>
  <c r="G16" i="14"/>
  <c r="G30" i="14" s="1"/>
  <c r="F16" i="14"/>
  <c r="E16" i="14"/>
  <c r="D16" i="14"/>
  <c r="D30" i="14" s="1"/>
  <c r="C16" i="14"/>
  <c r="C30" i="14" s="1"/>
  <c r="B16" i="14"/>
  <c r="B29" i="14" s="1"/>
  <c r="U15" i="14"/>
  <c r="J15" i="14"/>
  <c r="U14" i="14"/>
  <c r="J14" i="14"/>
  <c r="U10" i="14"/>
  <c r="J10" i="14"/>
  <c r="U9" i="14"/>
  <c r="J9" i="14"/>
  <c r="U8" i="14"/>
  <c r="J8" i="14"/>
  <c r="U7" i="14"/>
  <c r="J7" i="14"/>
  <c r="U6" i="14"/>
  <c r="J6" i="14"/>
  <c r="U5" i="14"/>
  <c r="J5" i="14"/>
  <c r="T16" i="13"/>
  <c r="T30" i="13" s="1"/>
  <c r="S16" i="13"/>
  <c r="S29" i="13" s="1"/>
  <c r="R16" i="13"/>
  <c r="R30" i="13" s="1"/>
  <c r="Q16" i="13"/>
  <c r="P16" i="13"/>
  <c r="O16" i="13"/>
  <c r="O30" i="13" s="1"/>
  <c r="N16" i="13"/>
  <c r="N30" i="13" s="1"/>
  <c r="M16" i="13"/>
  <c r="M30" i="13" s="1"/>
  <c r="I16" i="13"/>
  <c r="I30" i="13" s="1"/>
  <c r="H16" i="13"/>
  <c r="H30" i="13" s="1"/>
  <c r="G16" i="13"/>
  <c r="G30" i="13" s="1"/>
  <c r="F16" i="13"/>
  <c r="E16" i="13"/>
  <c r="D16" i="13"/>
  <c r="D30" i="13" s="1"/>
  <c r="C16" i="13"/>
  <c r="C30" i="13" s="1"/>
  <c r="B16" i="13"/>
  <c r="B29" i="13" s="1"/>
  <c r="U15" i="13"/>
  <c r="J15" i="13"/>
  <c r="U14" i="13"/>
  <c r="J14" i="13"/>
  <c r="U10" i="13"/>
  <c r="J10" i="13"/>
  <c r="U9" i="13"/>
  <c r="J9" i="13"/>
  <c r="U8" i="13"/>
  <c r="J8" i="13"/>
  <c r="U7" i="13"/>
  <c r="J7" i="13"/>
  <c r="U6" i="13"/>
  <c r="J6" i="13"/>
  <c r="U5" i="13"/>
  <c r="J5" i="13"/>
  <c r="T16" i="12"/>
  <c r="T30" i="12" s="1"/>
  <c r="S16" i="12"/>
  <c r="S30" i="12" s="1"/>
  <c r="R16" i="12"/>
  <c r="R30" i="12" s="1"/>
  <c r="Q16" i="12"/>
  <c r="P16" i="12"/>
  <c r="O16" i="12"/>
  <c r="O29" i="12" s="1"/>
  <c r="N16" i="12"/>
  <c r="N30" i="12" s="1"/>
  <c r="M16" i="12"/>
  <c r="M30" i="12" s="1"/>
  <c r="I16" i="12"/>
  <c r="I30" i="12" s="1"/>
  <c r="H16" i="12"/>
  <c r="H30" i="12" s="1"/>
  <c r="G16" i="12"/>
  <c r="G30" i="12" s="1"/>
  <c r="F16" i="12"/>
  <c r="E16" i="12"/>
  <c r="D16" i="12"/>
  <c r="D30" i="12" s="1"/>
  <c r="C16" i="12"/>
  <c r="C30" i="12" s="1"/>
  <c r="B16" i="12"/>
  <c r="B29" i="12" s="1"/>
  <c r="U15" i="12"/>
  <c r="J15" i="12"/>
  <c r="U14" i="12"/>
  <c r="J14" i="12"/>
  <c r="U10" i="12"/>
  <c r="J10" i="12"/>
  <c r="U9" i="12"/>
  <c r="J9" i="12"/>
  <c r="U8" i="12"/>
  <c r="J8" i="12"/>
  <c r="U7" i="12"/>
  <c r="J7" i="12"/>
  <c r="U6" i="12"/>
  <c r="J6" i="12"/>
  <c r="U5" i="12"/>
  <c r="J5" i="12"/>
  <c r="T16" i="11"/>
  <c r="T31" i="11" s="1"/>
  <c r="S16" i="11"/>
  <c r="S32" i="11" s="1"/>
  <c r="R16" i="11"/>
  <c r="R33" i="11" s="1"/>
  <c r="Q16" i="11"/>
  <c r="P16" i="11"/>
  <c r="O16" i="11"/>
  <c r="O32" i="11" s="1"/>
  <c r="N16" i="11"/>
  <c r="N33" i="11" s="1"/>
  <c r="M16" i="11"/>
  <c r="M30" i="11" s="1"/>
  <c r="I16" i="11"/>
  <c r="I31" i="11" s="1"/>
  <c r="H16" i="11"/>
  <c r="H32" i="11" s="1"/>
  <c r="G16" i="11"/>
  <c r="G33" i="11" s="1"/>
  <c r="F16" i="11"/>
  <c r="E16" i="11"/>
  <c r="D16" i="11"/>
  <c r="D32" i="11" s="1"/>
  <c r="C16" i="11"/>
  <c r="C33" i="11" s="1"/>
  <c r="B16" i="11"/>
  <c r="B29" i="11" s="1"/>
  <c r="U15" i="11"/>
  <c r="J15" i="11"/>
  <c r="U14" i="11"/>
  <c r="J14" i="11"/>
  <c r="U10" i="11"/>
  <c r="J10" i="11"/>
  <c r="U9" i="11"/>
  <c r="J9" i="11"/>
  <c r="U8" i="11"/>
  <c r="J8" i="11"/>
  <c r="U7" i="11"/>
  <c r="J7" i="11"/>
  <c r="U6" i="11"/>
  <c r="J6" i="11"/>
  <c r="U5" i="11"/>
  <c r="J5" i="11"/>
  <c r="R16" i="7"/>
  <c r="R33" i="7" s="1"/>
  <c r="U8" i="7"/>
  <c r="U7" i="7"/>
  <c r="J8" i="7"/>
  <c r="J7" i="7"/>
  <c r="G16" i="7"/>
  <c r="G33" i="7" s="1"/>
  <c r="J15" i="7"/>
  <c r="J14" i="7"/>
  <c r="J10" i="7"/>
  <c r="J9" i="7"/>
  <c r="J6" i="7"/>
  <c r="J5" i="7"/>
  <c r="U15" i="7"/>
  <c r="U14" i="7"/>
  <c r="U10" i="7"/>
  <c r="U9" i="7"/>
  <c r="U6" i="7"/>
  <c r="U5" i="7"/>
  <c r="T16" i="7"/>
  <c r="T31" i="7" s="1"/>
  <c r="S16" i="7"/>
  <c r="S32" i="7" s="1"/>
  <c r="Q16" i="7"/>
  <c r="P16" i="7"/>
  <c r="O16" i="7"/>
  <c r="O32" i="7" s="1"/>
  <c r="N16" i="7"/>
  <c r="N33" i="7" s="1"/>
  <c r="M16" i="7"/>
  <c r="M30" i="7" s="1"/>
  <c r="I16" i="7"/>
  <c r="I31" i="7" s="1"/>
  <c r="H16" i="7"/>
  <c r="H32" i="7" s="1"/>
  <c r="F16" i="7"/>
  <c r="E16" i="7"/>
  <c r="D16" i="7"/>
  <c r="D32" i="7" s="1"/>
  <c r="C16" i="7"/>
  <c r="C33" i="7" s="1"/>
  <c r="B16" i="7"/>
  <c r="B29" i="7" s="1"/>
  <c r="P31" i="7" l="1"/>
  <c r="F30" i="7"/>
  <c r="E30" i="12"/>
  <c r="E30" i="13"/>
  <c r="E30" i="14"/>
  <c r="E30" i="15"/>
  <c r="E30" i="16"/>
  <c r="E30" i="17"/>
  <c r="F30" i="12"/>
  <c r="F30" i="13"/>
  <c r="F30" i="14"/>
  <c r="F30" i="15"/>
  <c r="F30" i="16"/>
  <c r="F30" i="17"/>
  <c r="E31" i="11"/>
  <c r="F30" i="11"/>
  <c r="Q47" i="11" s="1"/>
  <c r="Q30" i="7"/>
  <c r="P31" i="11"/>
  <c r="P30" i="12"/>
  <c r="P30" i="13"/>
  <c r="P30" i="14"/>
  <c r="P30" i="15"/>
  <c r="P47" i="15" s="1"/>
  <c r="P30" i="16"/>
  <c r="P47" i="16" s="1"/>
  <c r="P30" i="17"/>
  <c r="P47" i="17" s="1"/>
  <c r="Q30" i="11"/>
  <c r="Q30" i="12"/>
  <c r="Q30" i="13"/>
  <c r="Q30" i="14"/>
  <c r="Q47" i="14" s="1"/>
  <c r="Q17" i="14"/>
  <c r="E40" i="18" s="1"/>
  <c r="Q30" i="15"/>
  <c r="Q17" i="15"/>
  <c r="E41" i="18" s="1"/>
  <c r="Q30" i="16"/>
  <c r="Q17" i="16"/>
  <c r="E42" i="18" s="1"/>
  <c r="Q30" i="17"/>
  <c r="Q47" i="17" s="1"/>
  <c r="Q17" i="17"/>
  <c r="E43" i="18" s="1"/>
  <c r="E31" i="7"/>
  <c r="E17" i="7"/>
  <c r="D44" i="18" s="1"/>
  <c r="I16" i="18"/>
  <c r="I33" i="18" s="1"/>
  <c r="R16" i="18"/>
  <c r="R33" i="18" s="1"/>
  <c r="U13" i="18"/>
  <c r="Y9" i="18" s="1"/>
  <c r="N16" i="18"/>
  <c r="N33" i="18" s="1"/>
  <c r="F16" i="18"/>
  <c r="M16" i="18"/>
  <c r="M33" i="18" s="1"/>
  <c r="E16" i="18"/>
  <c r="B16" i="18"/>
  <c r="B33" i="18" s="1"/>
  <c r="O29" i="17"/>
  <c r="O28" i="14"/>
  <c r="O30" i="12"/>
  <c r="O47" i="12" s="1"/>
  <c r="O29" i="15"/>
  <c r="O28" i="12"/>
  <c r="Q47" i="7"/>
  <c r="O30" i="16"/>
  <c r="O47" i="16" s="1"/>
  <c r="O29" i="13"/>
  <c r="O28" i="7"/>
  <c r="O28" i="16"/>
  <c r="O30" i="14"/>
  <c r="O47" i="14" s="1"/>
  <c r="O29" i="11"/>
  <c r="C16" i="18"/>
  <c r="C33" i="18" s="1"/>
  <c r="G16" i="18"/>
  <c r="G33" i="18" s="1"/>
  <c r="S28" i="17"/>
  <c r="S30" i="17"/>
  <c r="S47" i="17" s="1"/>
  <c r="S29" i="16"/>
  <c r="S28" i="15"/>
  <c r="S30" i="15"/>
  <c r="S47" i="15" s="1"/>
  <c r="S29" i="14"/>
  <c r="S28" i="13"/>
  <c r="S30" i="13"/>
  <c r="S47" i="13" s="1"/>
  <c r="S29" i="12"/>
  <c r="S28" i="11"/>
  <c r="S30" i="11"/>
  <c r="J11" i="18"/>
  <c r="J12" i="18"/>
  <c r="J13" i="18"/>
  <c r="X9" i="18" s="1"/>
  <c r="U11" i="18"/>
  <c r="O28" i="17"/>
  <c r="O28" i="15"/>
  <c r="O28" i="13"/>
  <c r="O28" i="11"/>
  <c r="O30" i="11"/>
  <c r="O30" i="7"/>
  <c r="S28" i="16"/>
  <c r="S28" i="14"/>
  <c r="S28" i="12"/>
  <c r="S29" i="11"/>
  <c r="O29" i="7"/>
  <c r="Q47" i="12"/>
  <c r="Q47" i="13"/>
  <c r="Q47" i="15"/>
  <c r="Q47" i="16"/>
  <c r="S47" i="16"/>
  <c r="S47" i="14"/>
  <c r="S47" i="12"/>
  <c r="P47" i="12"/>
  <c r="T47" i="12"/>
  <c r="P47" i="13"/>
  <c r="T47" i="13"/>
  <c r="P47" i="14"/>
  <c r="T47" i="14"/>
  <c r="T47" i="15"/>
  <c r="T47" i="16"/>
  <c r="T47" i="17"/>
  <c r="N47" i="12"/>
  <c r="R47" i="12"/>
  <c r="N47" i="13"/>
  <c r="R47" i="13"/>
  <c r="N47" i="14"/>
  <c r="R47" i="14"/>
  <c r="N47" i="15"/>
  <c r="R47" i="15"/>
  <c r="N47" i="16"/>
  <c r="R47" i="16"/>
  <c r="N47" i="17"/>
  <c r="R47" i="17"/>
  <c r="O47" i="17"/>
  <c r="O47" i="15"/>
  <c r="O47" i="13"/>
  <c r="S16" i="18"/>
  <c r="S33" i="18" s="1"/>
  <c r="S29" i="7"/>
  <c r="F28" i="17"/>
  <c r="B30" i="17"/>
  <c r="M47" i="17" s="1"/>
  <c r="F28" i="16"/>
  <c r="B30" i="16"/>
  <c r="M47" i="16" s="1"/>
  <c r="F28" i="15"/>
  <c r="B30" i="15"/>
  <c r="M47" i="15" s="1"/>
  <c r="F28" i="14"/>
  <c r="B30" i="14"/>
  <c r="M47" i="14" s="1"/>
  <c r="F28" i="13"/>
  <c r="B30" i="13"/>
  <c r="M47" i="13" s="1"/>
  <c r="F28" i="12"/>
  <c r="B30" i="12"/>
  <c r="M47" i="12" s="1"/>
  <c r="F28" i="11"/>
  <c r="B30" i="11"/>
  <c r="M47" i="11" s="1"/>
  <c r="F28" i="7"/>
  <c r="B30" i="7"/>
  <c r="M47" i="7" s="1"/>
  <c r="M28" i="17"/>
  <c r="Q28" i="17"/>
  <c r="M29" i="17"/>
  <c r="M46" i="17" s="1"/>
  <c r="Q29" i="17"/>
  <c r="M28" i="16"/>
  <c r="Q28" i="16"/>
  <c r="M29" i="16"/>
  <c r="M46" i="16" s="1"/>
  <c r="Q29" i="16"/>
  <c r="M28" i="15"/>
  <c r="Q28" i="15"/>
  <c r="M29" i="15"/>
  <c r="M46" i="15" s="1"/>
  <c r="Q29" i="15"/>
  <c r="M28" i="14"/>
  <c r="Q28" i="14"/>
  <c r="M29" i="14"/>
  <c r="M46" i="14" s="1"/>
  <c r="Q29" i="14"/>
  <c r="M28" i="13"/>
  <c r="Q28" i="13"/>
  <c r="M29" i="13"/>
  <c r="M46" i="13" s="1"/>
  <c r="Q29" i="13"/>
  <c r="M28" i="12"/>
  <c r="Q28" i="12"/>
  <c r="M29" i="12"/>
  <c r="M46" i="12" s="1"/>
  <c r="Q29" i="12"/>
  <c r="M28" i="11"/>
  <c r="Q28" i="11"/>
  <c r="M29" i="11"/>
  <c r="M46" i="11" s="1"/>
  <c r="Q29" i="11"/>
  <c r="M28" i="7"/>
  <c r="Q28" i="7"/>
  <c r="M29" i="7"/>
  <c r="M46" i="7" s="1"/>
  <c r="Q29" i="7"/>
  <c r="D28" i="17"/>
  <c r="H28" i="17"/>
  <c r="D29" i="17"/>
  <c r="H29" i="17"/>
  <c r="S46" i="17" s="1"/>
  <c r="D28" i="16"/>
  <c r="H28" i="16"/>
  <c r="D29" i="16"/>
  <c r="O46" i="16" s="1"/>
  <c r="H29" i="16"/>
  <c r="D28" i="15"/>
  <c r="H28" i="15"/>
  <c r="D29" i="15"/>
  <c r="H29" i="15"/>
  <c r="S46" i="15" s="1"/>
  <c r="D28" i="14"/>
  <c r="H28" i="14"/>
  <c r="D29" i="14"/>
  <c r="O46" i="14" s="1"/>
  <c r="H29" i="14"/>
  <c r="D28" i="13"/>
  <c r="H28" i="13"/>
  <c r="D29" i="13"/>
  <c r="H29" i="13"/>
  <c r="S46" i="13" s="1"/>
  <c r="D28" i="12"/>
  <c r="H28" i="12"/>
  <c r="D29" i="12"/>
  <c r="O46" i="12" s="1"/>
  <c r="H29" i="12"/>
  <c r="D28" i="11"/>
  <c r="H28" i="11"/>
  <c r="D29" i="11"/>
  <c r="H29" i="11"/>
  <c r="D30" i="11"/>
  <c r="H30" i="11"/>
  <c r="D28" i="7"/>
  <c r="H28" i="7"/>
  <c r="D29" i="7"/>
  <c r="H29" i="7"/>
  <c r="D30" i="7"/>
  <c r="H30" i="7"/>
  <c r="S28" i="7"/>
  <c r="B28" i="17"/>
  <c r="F29" i="17"/>
  <c r="B28" i="16"/>
  <c r="F29" i="16"/>
  <c r="B28" i="15"/>
  <c r="F29" i="15"/>
  <c r="B28" i="14"/>
  <c r="F29" i="14"/>
  <c r="B28" i="13"/>
  <c r="F29" i="13"/>
  <c r="B28" i="12"/>
  <c r="F29" i="12"/>
  <c r="B28" i="11"/>
  <c r="F29" i="11"/>
  <c r="B28" i="7"/>
  <c r="F29" i="7"/>
  <c r="U12" i="18"/>
  <c r="P28" i="17"/>
  <c r="T28" i="17"/>
  <c r="P29" i="17"/>
  <c r="T29" i="17"/>
  <c r="P28" i="16"/>
  <c r="T28" i="16"/>
  <c r="P29" i="16"/>
  <c r="T29" i="16"/>
  <c r="P28" i="15"/>
  <c r="T28" i="15"/>
  <c r="P29" i="15"/>
  <c r="T29" i="15"/>
  <c r="P28" i="14"/>
  <c r="T28" i="14"/>
  <c r="P29" i="14"/>
  <c r="T29" i="14"/>
  <c r="P28" i="13"/>
  <c r="T28" i="13"/>
  <c r="P29" i="13"/>
  <c r="T29" i="13"/>
  <c r="P28" i="12"/>
  <c r="T28" i="12"/>
  <c r="P29" i="12"/>
  <c r="T29" i="12"/>
  <c r="P28" i="11"/>
  <c r="T28" i="11"/>
  <c r="P29" i="11"/>
  <c r="T29" i="11"/>
  <c r="P30" i="11"/>
  <c r="T30" i="11"/>
  <c r="P28" i="7"/>
  <c r="T28" i="7"/>
  <c r="P29" i="7"/>
  <c r="T29" i="7"/>
  <c r="P30" i="7"/>
  <c r="T30" i="7"/>
  <c r="C28" i="17"/>
  <c r="G28" i="17"/>
  <c r="C29" i="17"/>
  <c r="G29" i="17"/>
  <c r="C28" i="16"/>
  <c r="G28" i="16"/>
  <c r="C29" i="16"/>
  <c r="G29" i="16"/>
  <c r="C28" i="15"/>
  <c r="G28" i="15"/>
  <c r="C29" i="15"/>
  <c r="G29" i="15"/>
  <c r="C28" i="14"/>
  <c r="G28" i="14"/>
  <c r="C29" i="14"/>
  <c r="G29" i="14"/>
  <c r="C28" i="13"/>
  <c r="G28" i="13"/>
  <c r="C29" i="13"/>
  <c r="G29" i="13"/>
  <c r="C28" i="12"/>
  <c r="G28" i="12"/>
  <c r="C29" i="12"/>
  <c r="G29" i="12"/>
  <c r="C28" i="11"/>
  <c r="G28" i="11"/>
  <c r="C29" i="11"/>
  <c r="G29" i="11"/>
  <c r="C30" i="11"/>
  <c r="G30" i="11"/>
  <c r="C28" i="7"/>
  <c r="G28" i="7"/>
  <c r="C29" i="7"/>
  <c r="G29" i="7"/>
  <c r="C30" i="7"/>
  <c r="G30" i="7"/>
  <c r="S30" i="7"/>
  <c r="N28" i="17"/>
  <c r="R28" i="17"/>
  <c r="N29" i="17"/>
  <c r="R29" i="17"/>
  <c r="N28" i="16"/>
  <c r="R28" i="16"/>
  <c r="N29" i="16"/>
  <c r="R29" i="16"/>
  <c r="N28" i="15"/>
  <c r="R28" i="15"/>
  <c r="N29" i="15"/>
  <c r="R29" i="15"/>
  <c r="N28" i="14"/>
  <c r="R28" i="14"/>
  <c r="N29" i="14"/>
  <c r="R29" i="14"/>
  <c r="N28" i="13"/>
  <c r="R28" i="13"/>
  <c r="N29" i="13"/>
  <c r="R29" i="13"/>
  <c r="N28" i="12"/>
  <c r="R28" i="12"/>
  <c r="N29" i="12"/>
  <c r="R29" i="12"/>
  <c r="N28" i="11"/>
  <c r="R28" i="11"/>
  <c r="N29" i="11"/>
  <c r="R29" i="11"/>
  <c r="N30" i="11"/>
  <c r="R30" i="11"/>
  <c r="N28" i="7"/>
  <c r="R28" i="7"/>
  <c r="N29" i="7"/>
  <c r="R29" i="7"/>
  <c r="N30" i="7"/>
  <c r="R30" i="7"/>
  <c r="E28" i="17"/>
  <c r="I28" i="17"/>
  <c r="E29" i="17"/>
  <c r="I29" i="17"/>
  <c r="E28" i="16"/>
  <c r="I28" i="16"/>
  <c r="E29" i="16"/>
  <c r="I29" i="16"/>
  <c r="E28" i="15"/>
  <c r="I28" i="15"/>
  <c r="E29" i="15"/>
  <c r="I29" i="15"/>
  <c r="E28" i="14"/>
  <c r="I28" i="14"/>
  <c r="E29" i="14"/>
  <c r="I29" i="14"/>
  <c r="E28" i="13"/>
  <c r="I28" i="13"/>
  <c r="E29" i="13"/>
  <c r="I29" i="13"/>
  <c r="E28" i="12"/>
  <c r="I28" i="12"/>
  <c r="E29" i="12"/>
  <c r="I29" i="12"/>
  <c r="E28" i="11"/>
  <c r="I28" i="11"/>
  <c r="E29" i="11"/>
  <c r="I29" i="11"/>
  <c r="E30" i="11"/>
  <c r="I30" i="11"/>
  <c r="E28" i="7"/>
  <c r="I28" i="7"/>
  <c r="E29" i="7"/>
  <c r="I29" i="7"/>
  <c r="E30" i="7"/>
  <c r="I30" i="7"/>
  <c r="T16" i="18"/>
  <c r="T33" i="18" s="1"/>
  <c r="Q16" i="18"/>
  <c r="O16" i="18"/>
  <c r="O33" i="18" s="1"/>
  <c r="C31" i="12"/>
  <c r="C25" i="12"/>
  <c r="C23" i="12"/>
  <c r="C32" i="12"/>
  <c r="C26" i="12"/>
  <c r="C33" i="12"/>
  <c r="C27" i="12"/>
  <c r="C24" i="12"/>
  <c r="C22" i="12"/>
  <c r="G31" i="12"/>
  <c r="G25" i="12"/>
  <c r="G23" i="12"/>
  <c r="G22" i="12"/>
  <c r="G32" i="12"/>
  <c r="G26" i="12"/>
  <c r="G33" i="12"/>
  <c r="G27" i="12"/>
  <c r="G24" i="12"/>
  <c r="N31" i="12"/>
  <c r="N25" i="12"/>
  <c r="N23" i="12"/>
  <c r="N32" i="12"/>
  <c r="N26" i="12"/>
  <c r="N33" i="12"/>
  <c r="N27" i="12"/>
  <c r="N24" i="12"/>
  <c r="N22" i="12"/>
  <c r="R31" i="12"/>
  <c r="R25" i="12"/>
  <c r="R23" i="12"/>
  <c r="R32" i="12"/>
  <c r="R26" i="12"/>
  <c r="R33" i="12"/>
  <c r="R27" i="12"/>
  <c r="R24" i="12"/>
  <c r="R22" i="12"/>
  <c r="C33" i="13"/>
  <c r="C27" i="13"/>
  <c r="C32" i="13"/>
  <c r="C25" i="13"/>
  <c r="C23" i="13"/>
  <c r="C31" i="13"/>
  <c r="C26" i="13"/>
  <c r="C24" i="13"/>
  <c r="C22" i="13"/>
  <c r="G33" i="13"/>
  <c r="G27" i="13"/>
  <c r="G31" i="13"/>
  <c r="G26" i="13"/>
  <c r="G25" i="13"/>
  <c r="G23" i="13"/>
  <c r="G24" i="13"/>
  <c r="G32" i="13"/>
  <c r="G22" i="13"/>
  <c r="N33" i="13"/>
  <c r="N27" i="13"/>
  <c r="N24" i="13"/>
  <c r="N23" i="13"/>
  <c r="N32" i="13"/>
  <c r="N22" i="13"/>
  <c r="N31" i="13"/>
  <c r="N26" i="13"/>
  <c r="N25" i="13"/>
  <c r="R33" i="13"/>
  <c r="R27" i="13"/>
  <c r="R24" i="13"/>
  <c r="R32" i="13"/>
  <c r="R22" i="13"/>
  <c r="R31" i="13"/>
  <c r="R26" i="13"/>
  <c r="R25" i="13"/>
  <c r="R23" i="13"/>
  <c r="C33" i="14"/>
  <c r="C27" i="14"/>
  <c r="C24" i="14"/>
  <c r="C31" i="14"/>
  <c r="C25" i="14"/>
  <c r="C32" i="14"/>
  <c r="C23" i="14"/>
  <c r="C22" i="14"/>
  <c r="C26" i="14"/>
  <c r="G33" i="14"/>
  <c r="G27" i="14"/>
  <c r="G24" i="14"/>
  <c r="G31" i="14"/>
  <c r="G25" i="14"/>
  <c r="G23" i="14"/>
  <c r="G26" i="14"/>
  <c r="G22" i="14"/>
  <c r="G32" i="14"/>
  <c r="N33" i="14"/>
  <c r="N27" i="14"/>
  <c r="N24" i="14"/>
  <c r="N31" i="14"/>
  <c r="N25" i="14"/>
  <c r="N23" i="14"/>
  <c r="N26" i="14"/>
  <c r="N22" i="14"/>
  <c r="N32" i="14"/>
  <c r="R33" i="14"/>
  <c r="R27" i="14"/>
  <c r="R24" i="14"/>
  <c r="R31" i="14"/>
  <c r="R25" i="14"/>
  <c r="R23" i="14"/>
  <c r="R22" i="14"/>
  <c r="R32" i="14"/>
  <c r="R26" i="14"/>
  <c r="C33" i="15"/>
  <c r="C27" i="15"/>
  <c r="C24" i="15"/>
  <c r="C31" i="15"/>
  <c r="C25" i="15"/>
  <c r="C23" i="15"/>
  <c r="C22" i="15"/>
  <c r="C32" i="15"/>
  <c r="C26" i="15"/>
  <c r="G33" i="15"/>
  <c r="G27" i="15"/>
  <c r="G24" i="15"/>
  <c r="G31" i="15"/>
  <c r="G25" i="15"/>
  <c r="G23" i="15"/>
  <c r="G26" i="15"/>
  <c r="G22" i="15"/>
  <c r="G32" i="15"/>
  <c r="N24" i="15"/>
  <c r="N32" i="15"/>
  <c r="N26" i="15"/>
  <c r="N23" i="15"/>
  <c r="N25" i="15"/>
  <c r="N27" i="15"/>
  <c r="N31" i="15"/>
  <c r="N22" i="15"/>
  <c r="N33" i="15"/>
  <c r="R24" i="15"/>
  <c r="R32" i="15"/>
  <c r="R26" i="15"/>
  <c r="R23" i="15"/>
  <c r="R31" i="15"/>
  <c r="R22" i="15"/>
  <c r="R33" i="15"/>
  <c r="R25" i="15"/>
  <c r="R27" i="15"/>
  <c r="C33" i="16"/>
  <c r="C27" i="16"/>
  <c r="C24" i="16"/>
  <c r="C31" i="16"/>
  <c r="C25" i="16"/>
  <c r="C23" i="16"/>
  <c r="C22" i="16"/>
  <c r="C32" i="16"/>
  <c r="C26" i="16"/>
  <c r="G33" i="16"/>
  <c r="G27" i="16"/>
  <c r="G24" i="16"/>
  <c r="G31" i="16"/>
  <c r="G25" i="16"/>
  <c r="G23" i="16"/>
  <c r="G26" i="16"/>
  <c r="G22" i="16"/>
  <c r="G32" i="16"/>
  <c r="N33" i="16"/>
  <c r="N27" i="16"/>
  <c r="N24" i="16"/>
  <c r="N31" i="16"/>
  <c r="N25" i="16"/>
  <c r="N23" i="16"/>
  <c r="N26" i="16"/>
  <c r="N22" i="16"/>
  <c r="N32" i="16"/>
  <c r="R33" i="16"/>
  <c r="R27" i="16"/>
  <c r="R24" i="16"/>
  <c r="R31" i="16"/>
  <c r="R25" i="16"/>
  <c r="R23" i="16"/>
  <c r="R22" i="16"/>
  <c r="R32" i="16"/>
  <c r="R26" i="16"/>
  <c r="C33" i="17"/>
  <c r="C27" i="17"/>
  <c r="C24" i="17"/>
  <c r="C31" i="17"/>
  <c r="C25" i="17"/>
  <c r="C23" i="17"/>
  <c r="C22" i="17"/>
  <c r="C32" i="17"/>
  <c r="C26" i="17"/>
  <c r="G33" i="17"/>
  <c r="G27" i="17"/>
  <c r="G24" i="17"/>
  <c r="G31" i="17"/>
  <c r="G25" i="17"/>
  <c r="G23" i="17"/>
  <c r="G26" i="17"/>
  <c r="G22" i="17"/>
  <c r="G32" i="17"/>
  <c r="N33" i="17"/>
  <c r="N27" i="17"/>
  <c r="N24" i="17"/>
  <c r="N31" i="17"/>
  <c r="N25" i="17"/>
  <c r="N23" i="17"/>
  <c r="N26" i="17"/>
  <c r="N22" i="17"/>
  <c r="N32" i="17"/>
  <c r="R33" i="17"/>
  <c r="R27" i="17"/>
  <c r="R24" i="17"/>
  <c r="R31" i="17"/>
  <c r="R25" i="17"/>
  <c r="R23" i="17"/>
  <c r="R22" i="17"/>
  <c r="R32" i="17"/>
  <c r="R26" i="17"/>
  <c r="E22" i="7"/>
  <c r="I22" i="7"/>
  <c r="D23" i="7"/>
  <c r="H23" i="7"/>
  <c r="B24" i="7"/>
  <c r="F24" i="7"/>
  <c r="D25" i="7"/>
  <c r="H25" i="7"/>
  <c r="C26" i="7"/>
  <c r="G26" i="7"/>
  <c r="B27" i="7"/>
  <c r="F27" i="7"/>
  <c r="D31" i="7"/>
  <c r="H31" i="7"/>
  <c r="C32" i="7"/>
  <c r="G32" i="7"/>
  <c r="B33" i="7"/>
  <c r="F33" i="7"/>
  <c r="P22" i="7"/>
  <c r="T22" i="7"/>
  <c r="O23" i="7"/>
  <c r="S23" i="7"/>
  <c r="M24" i="7"/>
  <c r="Q24" i="7"/>
  <c r="O25" i="7"/>
  <c r="S25" i="7"/>
  <c r="N26" i="7"/>
  <c r="R26" i="7"/>
  <c r="M27" i="7"/>
  <c r="Q27" i="7"/>
  <c r="O31" i="7"/>
  <c r="S31" i="7"/>
  <c r="N32" i="7"/>
  <c r="R32" i="7"/>
  <c r="M33" i="7"/>
  <c r="Q33" i="7"/>
  <c r="E22" i="11"/>
  <c r="I22" i="11"/>
  <c r="D23" i="11"/>
  <c r="H23" i="11"/>
  <c r="B24" i="11"/>
  <c r="F24" i="11"/>
  <c r="D25" i="11"/>
  <c r="H25" i="11"/>
  <c r="C26" i="11"/>
  <c r="G26" i="11"/>
  <c r="B27" i="11"/>
  <c r="F27" i="11"/>
  <c r="D31" i="11"/>
  <c r="H31" i="11"/>
  <c r="C32" i="11"/>
  <c r="G32" i="11"/>
  <c r="B33" i="11"/>
  <c r="F33" i="11"/>
  <c r="P22" i="11"/>
  <c r="T22" i="11"/>
  <c r="O23" i="11"/>
  <c r="S23" i="11"/>
  <c r="M24" i="11"/>
  <c r="Q24" i="11"/>
  <c r="O25" i="11"/>
  <c r="S25" i="11"/>
  <c r="N26" i="11"/>
  <c r="R26" i="11"/>
  <c r="M27" i="11"/>
  <c r="Q27" i="11"/>
  <c r="O31" i="11"/>
  <c r="S31" i="11"/>
  <c r="N32" i="11"/>
  <c r="R32" i="11"/>
  <c r="M33" i="11"/>
  <c r="Q33" i="11"/>
  <c r="F32" i="12"/>
  <c r="F26" i="12"/>
  <c r="F33" i="12"/>
  <c r="F27" i="12"/>
  <c r="F24" i="12"/>
  <c r="F23" i="12"/>
  <c r="F22" i="12"/>
  <c r="F25" i="12"/>
  <c r="F31" i="12"/>
  <c r="M32" i="12"/>
  <c r="M26" i="12"/>
  <c r="M33" i="12"/>
  <c r="M27" i="12"/>
  <c r="M24" i="12"/>
  <c r="M22" i="12"/>
  <c r="M31" i="12"/>
  <c r="M25" i="12"/>
  <c r="M23" i="12"/>
  <c r="Q32" i="12"/>
  <c r="Q26" i="12"/>
  <c r="Q33" i="12"/>
  <c r="Q27" i="12"/>
  <c r="Q24" i="12"/>
  <c r="Q22" i="12"/>
  <c r="Q31" i="12"/>
  <c r="Q25" i="12"/>
  <c r="Q23" i="12"/>
  <c r="B31" i="13"/>
  <c r="B26" i="13"/>
  <c r="B24" i="13"/>
  <c r="B33" i="13"/>
  <c r="B22" i="13"/>
  <c r="B32" i="13"/>
  <c r="B27" i="13"/>
  <c r="B25" i="13"/>
  <c r="B23" i="13"/>
  <c r="F33" i="13"/>
  <c r="F24" i="13"/>
  <c r="F32" i="13"/>
  <c r="F27" i="13"/>
  <c r="F22" i="13"/>
  <c r="F31" i="13"/>
  <c r="F26" i="13"/>
  <c r="F25" i="13"/>
  <c r="F23" i="13"/>
  <c r="M22" i="13"/>
  <c r="M32" i="13"/>
  <c r="M27" i="13"/>
  <c r="M31" i="13"/>
  <c r="M26" i="13"/>
  <c r="M24" i="13"/>
  <c r="M25" i="13"/>
  <c r="M33" i="13"/>
  <c r="M23" i="13"/>
  <c r="Q22" i="13"/>
  <c r="Q31" i="13"/>
  <c r="Q26" i="13"/>
  <c r="Q24" i="13"/>
  <c r="Q25" i="13"/>
  <c r="Q33" i="13"/>
  <c r="Q23" i="13"/>
  <c r="Q32" i="13"/>
  <c r="Q27" i="13"/>
  <c r="B22" i="14"/>
  <c r="B32" i="14"/>
  <c r="B26" i="14"/>
  <c r="B31" i="14"/>
  <c r="B23" i="14"/>
  <c r="B33" i="14"/>
  <c r="B25" i="14"/>
  <c r="B24" i="14"/>
  <c r="B27" i="14"/>
  <c r="F22" i="14"/>
  <c r="F32" i="14"/>
  <c r="F26" i="14"/>
  <c r="F25" i="14"/>
  <c r="F27" i="14"/>
  <c r="F24" i="14"/>
  <c r="F31" i="14"/>
  <c r="F33" i="14"/>
  <c r="F23" i="14"/>
  <c r="M22" i="14"/>
  <c r="M32" i="14"/>
  <c r="M26" i="14"/>
  <c r="M25" i="14"/>
  <c r="M27" i="14"/>
  <c r="M31" i="14"/>
  <c r="M23" i="14"/>
  <c r="M33" i="14"/>
  <c r="M24" i="14"/>
  <c r="Q22" i="14"/>
  <c r="Q32" i="14"/>
  <c r="Q26" i="14"/>
  <c r="Q31" i="14"/>
  <c r="Q23" i="14"/>
  <c r="Q33" i="14"/>
  <c r="Q24" i="14"/>
  <c r="Q25" i="14"/>
  <c r="Q27" i="14"/>
  <c r="B22" i="15"/>
  <c r="B32" i="15"/>
  <c r="B26" i="15"/>
  <c r="B31" i="15"/>
  <c r="B23" i="15"/>
  <c r="B33" i="15"/>
  <c r="B24" i="15"/>
  <c r="B25" i="15"/>
  <c r="B27" i="15"/>
  <c r="F22" i="15"/>
  <c r="F32" i="15"/>
  <c r="F26" i="15"/>
  <c r="F25" i="15"/>
  <c r="F27" i="15"/>
  <c r="F31" i="15"/>
  <c r="F23" i="15"/>
  <c r="F33" i="15"/>
  <c r="F24" i="15"/>
  <c r="M31" i="15"/>
  <c r="M25" i="15"/>
  <c r="M22" i="15"/>
  <c r="M33" i="15"/>
  <c r="M27" i="15"/>
  <c r="M26" i="15"/>
  <c r="M32" i="15"/>
  <c r="M23" i="15"/>
  <c r="M24" i="15"/>
  <c r="Q31" i="15"/>
  <c r="Q25" i="15"/>
  <c r="Q22" i="15"/>
  <c r="Q33" i="15"/>
  <c r="Q27" i="15"/>
  <c r="Q32" i="15"/>
  <c r="Q23" i="15"/>
  <c r="Q24" i="15"/>
  <c r="Q26" i="15"/>
  <c r="B22" i="16"/>
  <c r="B32" i="16"/>
  <c r="B26" i="16"/>
  <c r="B31" i="16"/>
  <c r="B23" i="16"/>
  <c r="B33" i="16"/>
  <c r="B24" i="16"/>
  <c r="B25" i="16"/>
  <c r="B27" i="16"/>
  <c r="F22" i="16"/>
  <c r="F32" i="16"/>
  <c r="F26" i="16"/>
  <c r="F25" i="16"/>
  <c r="F27" i="16"/>
  <c r="F31" i="16"/>
  <c r="F23" i="16"/>
  <c r="F33" i="16"/>
  <c r="F24" i="16"/>
  <c r="M22" i="16"/>
  <c r="M32" i="16"/>
  <c r="M26" i="16"/>
  <c r="M25" i="16"/>
  <c r="M27" i="16"/>
  <c r="M31" i="16"/>
  <c r="M23" i="16"/>
  <c r="M33" i="16"/>
  <c r="M24" i="16"/>
  <c r="Q22" i="16"/>
  <c r="Q32" i="16"/>
  <c r="Q26" i="16"/>
  <c r="Q31" i="16"/>
  <c r="Q23" i="16"/>
  <c r="Q33" i="16"/>
  <c r="Q24" i="16"/>
  <c r="Q25" i="16"/>
  <c r="Q27" i="16"/>
  <c r="B22" i="17"/>
  <c r="B32" i="17"/>
  <c r="B26" i="17"/>
  <c r="B31" i="17"/>
  <c r="B23" i="17"/>
  <c r="B33" i="17"/>
  <c r="B24" i="17"/>
  <c r="B25" i="17"/>
  <c r="B27" i="17"/>
  <c r="F22" i="17"/>
  <c r="F32" i="17"/>
  <c r="F26" i="17"/>
  <c r="F25" i="17"/>
  <c r="F27" i="17"/>
  <c r="F31" i="17"/>
  <c r="F23" i="17"/>
  <c r="F33" i="17"/>
  <c r="F24" i="17"/>
  <c r="M22" i="17"/>
  <c r="M32" i="17"/>
  <c r="M26" i="17"/>
  <c r="M25" i="17"/>
  <c r="M27" i="17"/>
  <c r="M31" i="17"/>
  <c r="M23" i="17"/>
  <c r="M33" i="17"/>
  <c r="M24" i="17"/>
  <c r="Q22" i="17"/>
  <c r="Q32" i="17"/>
  <c r="Q26" i="17"/>
  <c r="Q31" i="17"/>
  <c r="Q23" i="17"/>
  <c r="Q33" i="17"/>
  <c r="Q24" i="17"/>
  <c r="Q25" i="17"/>
  <c r="Q27" i="17"/>
  <c r="D22" i="7"/>
  <c r="H22" i="7"/>
  <c r="C23" i="7"/>
  <c r="G23" i="7"/>
  <c r="E24" i="7"/>
  <c r="I24" i="7"/>
  <c r="C25" i="7"/>
  <c r="G25" i="7"/>
  <c r="B26" i="7"/>
  <c r="F26" i="7"/>
  <c r="E27" i="7"/>
  <c r="I27" i="7"/>
  <c r="C31" i="7"/>
  <c r="G31" i="7"/>
  <c r="B32" i="7"/>
  <c r="F32" i="7"/>
  <c r="E33" i="7"/>
  <c r="I33" i="7"/>
  <c r="O22" i="7"/>
  <c r="S22" i="7"/>
  <c r="N23" i="7"/>
  <c r="R23" i="7"/>
  <c r="P24" i="7"/>
  <c r="T24" i="7"/>
  <c r="N25" i="7"/>
  <c r="R25" i="7"/>
  <c r="M26" i="7"/>
  <c r="Q26" i="7"/>
  <c r="P27" i="7"/>
  <c r="T27" i="7"/>
  <c r="N31" i="7"/>
  <c r="R31" i="7"/>
  <c r="M32" i="7"/>
  <c r="Q32" i="7"/>
  <c r="P33" i="7"/>
  <c r="T33" i="7"/>
  <c r="D22" i="11"/>
  <c r="H22" i="11"/>
  <c r="C23" i="11"/>
  <c r="G23" i="11"/>
  <c r="E24" i="11"/>
  <c r="I24" i="11"/>
  <c r="C25" i="11"/>
  <c r="G25" i="11"/>
  <c r="B26" i="11"/>
  <c r="F26" i="11"/>
  <c r="E27" i="11"/>
  <c r="I27" i="11"/>
  <c r="C31" i="11"/>
  <c r="G31" i="11"/>
  <c r="B32" i="11"/>
  <c r="F32" i="11"/>
  <c r="E33" i="11"/>
  <c r="I33" i="11"/>
  <c r="O22" i="11"/>
  <c r="S22" i="11"/>
  <c r="N23" i="11"/>
  <c r="R23" i="11"/>
  <c r="P24" i="11"/>
  <c r="T24" i="11"/>
  <c r="N25" i="11"/>
  <c r="R25" i="11"/>
  <c r="M26" i="11"/>
  <c r="Q26" i="11"/>
  <c r="P27" i="11"/>
  <c r="T27" i="11"/>
  <c r="N31" i="11"/>
  <c r="R31" i="11"/>
  <c r="M32" i="11"/>
  <c r="Q32" i="11"/>
  <c r="P33" i="11"/>
  <c r="T33" i="11"/>
  <c r="B32" i="12"/>
  <c r="B26" i="12"/>
  <c r="B24" i="12"/>
  <c r="B33" i="12"/>
  <c r="B27" i="12"/>
  <c r="B22" i="12"/>
  <c r="B23" i="12"/>
  <c r="B31" i="12"/>
  <c r="B25" i="12"/>
  <c r="E33" i="12"/>
  <c r="E27" i="12"/>
  <c r="E24" i="12"/>
  <c r="E22" i="12"/>
  <c r="E31" i="12"/>
  <c r="E25" i="12"/>
  <c r="E23" i="12"/>
  <c r="E32" i="12"/>
  <c r="E26" i="12"/>
  <c r="I33" i="12"/>
  <c r="I27" i="12"/>
  <c r="I24" i="12"/>
  <c r="I22" i="12"/>
  <c r="I31" i="12"/>
  <c r="I25" i="12"/>
  <c r="I23" i="12"/>
  <c r="I26" i="12"/>
  <c r="I32" i="12"/>
  <c r="P33" i="12"/>
  <c r="P27" i="12"/>
  <c r="P24" i="12"/>
  <c r="P22" i="12"/>
  <c r="P31" i="12"/>
  <c r="P25" i="12"/>
  <c r="P23" i="12"/>
  <c r="P32" i="12"/>
  <c r="P26" i="12"/>
  <c r="T33" i="12"/>
  <c r="T27" i="12"/>
  <c r="T24" i="12"/>
  <c r="T22" i="12"/>
  <c r="T31" i="12"/>
  <c r="T25" i="12"/>
  <c r="T23" i="12"/>
  <c r="T32" i="12"/>
  <c r="T26" i="12"/>
  <c r="E31" i="13"/>
  <c r="E33" i="13"/>
  <c r="E24" i="13"/>
  <c r="E32" i="13"/>
  <c r="E27" i="13"/>
  <c r="E22" i="13"/>
  <c r="E26" i="13"/>
  <c r="E25" i="13"/>
  <c r="E23" i="13"/>
  <c r="I31" i="13"/>
  <c r="I32" i="13"/>
  <c r="I27" i="13"/>
  <c r="I24" i="13"/>
  <c r="I26" i="13"/>
  <c r="I22" i="13"/>
  <c r="I25" i="13"/>
  <c r="I23" i="13"/>
  <c r="I33" i="13"/>
  <c r="P31" i="13"/>
  <c r="P25" i="13"/>
  <c r="P23" i="13"/>
  <c r="P33" i="13"/>
  <c r="P32" i="13"/>
  <c r="P27" i="13"/>
  <c r="P26" i="13"/>
  <c r="P24" i="13"/>
  <c r="P22" i="13"/>
  <c r="T31" i="13"/>
  <c r="T25" i="13"/>
  <c r="T23" i="13"/>
  <c r="T33" i="13"/>
  <c r="T32" i="13"/>
  <c r="T27" i="13"/>
  <c r="T26" i="13"/>
  <c r="T24" i="13"/>
  <c r="T22" i="13"/>
  <c r="E31" i="14"/>
  <c r="E25" i="14"/>
  <c r="E23" i="14"/>
  <c r="E33" i="14"/>
  <c r="E27" i="14"/>
  <c r="E26" i="14"/>
  <c r="E24" i="14"/>
  <c r="E22" i="14"/>
  <c r="E32" i="14"/>
  <c r="I31" i="14"/>
  <c r="I25" i="14"/>
  <c r="I23" i="14"/>
  <c r="I33" i="14"/>
  <c r="I27" i="14"/>
  <c r="I32" i="14"/>
  <c r="I26" i="14"/>
  <c r="I24" i="14"/>
  <c r="I22" i="14"/>
  <c r="P31" i="14"/>
  <c r="P25" i="14"/>
  <c r="P23" i="14"/>
  <c r="P33" i="14"/>
  <c r="P27" i="14"/>
  <c r="P24" i="14"/>
  <c r="P32" i="14"/>
  <c r="P26" i="14"/>
  <c r="P22" i="14"/>
  <c r="T31" i="14"/>
  <c r="T25" i="14"/>
  <c r="T23" i="14"/>
  <c r="T33" i="14"/>
  <c r="T27" i="14"/>
  <c r="T24" i="14"/>
  <c r="T26" i="14"/>
  <c r="T22" i="14"/>
  <c r="T32" i="14"/>
  <c r="E31" i="15"/>
  <c r="E25" i="15"/>
  <c r="E23" i="15"/>
  <c r="E33" i="15"/>
  <c r="E27" i="15"/>
  <c r="E24" i="15"/>
  <c r="E26" i="15"/>
  <c r="E22" i="15"/>
  <c r="E32" i="15"/>
  <c r="I31" i="15"/>
  <c r="I25" i="15"/>
  <c r="I23" i="15"/>
  <c r="I33" i="15"/>
  <c r="I27" i="15"/>
  <c r="I24" i="15"/>
  <c r="I32" i="15"/>
  <c r="I26" i="15"/>
  <c r="I22" i="15"/>
  <c r="P32" i="15"/>
  <c r="P26" i="15"/>
  <c r="P23" i="15"/>
  <c r="P24" i="15"/>
  <c r="P33" i="15"/>
  <c r="P25" i="15"/>
  <c r="P27" i="15"/>
  <c r="P31" i="15"/>
  <c r="P22" i="15"/>
  <c r="T32" i="15"/>
  <c r="T26" i="15"/>
  <c r="T23" i="15"/>
  <c r="T24" i="15"/>
  <c r="T27" i="15"/>
  <c r="T31" i="15"/>
  <c r="T22" i="15"/>
  <c r="T33" i="15"/>
  <c r="T25" i="15"/>
  <c r="E31" i="16"/>
  <c r="E25" i="16"/>
  <c r="E23" i="16"/>
  <c r="E33" i="16"/>
  <c r="E27" i="16"/>
  <c r="E24" i="16"/>
  <c r="E26" i="16"/>
  <c r="E22" i="16"/>
  <c r="E32" i="16"/>
  <c r="I31" i="16"/>
  <c r="I25" i="16"/>
  <c r="I23" i="16"/>
  <c r="I33" i="16"/>
  <c r="I27" i="16"/>
  <c r="I24" i="16"/>
  <c r="I32" i="16"/>
  <c r="I26" i="16"/>
  <c r="I22" i="16"/>
  <c r="P31" i="16"/>
  <c r="P25" i="16"/>
  <c r="P23" i="16"/>
  <c r="P33" i="16"/>
  <c r="P27" i="16"/>
  <c r="P24" i="16"/>
  <c r="P32" i="16"/>
  <c r="P26" i="16"/>
  <c r="P22" i="16"/>
  <c r="T31" i="16"/>
  <c r="T25" i="16"/>
  <c r="T23" i="16"/>
  <c r="T33" i="16"/>
  <c r="T27" i="16"/>
  <c r="T24" i="16"/>
  <c r="T26" i="16"/>
  <c r="T22" i="16"/>
  <c r="T32" i="16"/>
  <c r="E31" i="17"/>
  <c r="E25" i="17"/>
  <c r="E23" i="17"/>
  <c r="E33" i="17"/>
  <c r="E27" i="17"/>
  <c r="E24" i="17"/>
  <c r="E26" i="17"/>
  <c r="E22" i="17"/>
  <c r="E32" i="17"/>
  <c r="I31" i="17"/>
  <c r="I25" i="17"/>
  <c r="I23" i="17"/>
  <c r="I33" i="17"/>
  <c r="I27" i="17"/>
  <c r="I24" i="17"/>
  <c r="I32" i="17"/>
  <c r="I26" i="17"/>
  <c r="I22" i="17"/>
  <c r="P31" i="17"/>
  <c r="P25" i="17"/>
  <c r="P23" i="17"/>
  <c r="P33" i="17"/>
  <c r="P27" i="17"/>
  <c r="P24" i="17"/>
  <c r="P32" i="17"/>
  <c r="P26" i="17"/>
  <c r="P22" i="17"/>
  <c r="T31" i="17"/>
  <c r="T25" i="17"/>
  <c r="T23" i="17"/>
  <c r="T33" i="17"/>
  <c r="T27" i="17"/>
  <c r="T24" i="17"/>
  <c r="T26" i="17"/>
  <c r="T22" i="17"/>
  <c r="T32" i="17"/>
  <c r="C22" i="7"/>
  <c r="G22" i="7"/>
  <c r="B23" i="7"/>
  <c r="F23" i="7"/>
  <c r="D24" i="7"/>
  <c r="H24" i="7"/>
  <c r="B25" i="7"/>
  <c r="F25" i="7"/>
  <c r="E26" i="7"/>
  <c r="I26" i="7"/>
  <c r="D27" i="7"/>
  <c r="H27" i="7"/>
  <c r="B31" i="7"/>
  <c r="F31" i="7"/>
  <c r="E32" i="7"/>
  <c r="I32" i="7"/>
  <c r="D33" i="7"/>
  <c r="H33" i="7"/>
  <c r="N22" i="7"/>
  <c r="R22" i="7"/>
  <c r="M23" i="7"/>
  <c r="Q23" i="7"/>
  <c r="O24" i="7"/>
  <c r="S24" i="7"/>
  <c r="M25" i="7"/>
  <c r="Q25" i="7"/>
  <c r="P26" i="7"/>
  <c r="T26" i="7"/>
  <c r="O27" i="7"/>
  <c r="S27" i="7"/>
  <c r="M31" i="7"/>
  <c r="Q31" i="7"/>
  <c r="P32" i="7"/>
  <c r="T32" i="7"/>
  <c r="O33" i="7"/>
  <c r="S33" i="7"/>
  <c r="C22" i="11"/>
  <c r="G22" i="11"/>
  <c r="B23" i="11"/>
  <c r="F23" i="11"/>
  <c r="D24" i="11"/>
  <c r="H24" i="11"/>
  <c r="B25" i="11"/>
  <c r="F25" i="11"/>
  <c r="E26" i="11"/>
  <c r="I26" i="11"/>
  <c r="D27" i="11"/>
  <c r="H27" i="11"/>
  <c r="B31" i="11"/>
  <c r="F31" i="11"/>
  <c r="E32" i="11"/>
  <c r="I32" i="11"/>
  <c r="D33" i="11"/>
  <c r="H33" i="11"/>
  <c r="N22" i="11"/>
  <c r="R22" i="11"/>
  <c r="M23" i="11"/>
  <c r="Q23" i="11"/>
  <c r="O24" i="11"/>
  <c r="S24" i="11"/>
  <c r="M25" i="11"/>
  <c r="Q25" i="11"/>
  <c r="P26" i="11"/>
  <c r="T26" i="11"/>
  <c r="O27" i="11"/>
  <c r="S27" i="11"/>
  <c r="M31" i="11"/>
  <c r="Q31" i="11"/>
  <c r="P32" i="11"/>
  <c r="T32" i="11"/>
  <c r="O33" i="11"/>
  <c r="S33" i="11"/>
  <c r="D22" i="12"/>
  <c r="D31" i="12"/>
  <c r="D25" i="12"/>
  <c r="D23" i="12"/>
  <c r="D32" i="12"/>
  <c r="D26" i="12"/>
  <c r="D33" i="12"/>
  <c r="D27" i="12"/>
  <c r="D24" i="12"/>
  <c r="H22" i="12"/>
  <c r="H23" i="12"/>
  <c r="H31" i="12"/>
  <c r="H25" i="12"/>
  <c r="H24" i="12"/>
  <c r="H32" i="12"/>
  <c r="H26" i="12"/>
  <c r="H33" i="12"/>
  <c r="H27" i="12"/>
  <c r="O22" i="12"/>
  <c r="O31" i="12"/>
  <c r="O25" i="12"/>
  <c r="O23" i="12"/>
  <c r="O32" i="12"/>
  <c r="O26" i="12"/>
  <c r="O33" i="12"/>
  <c r="O27" i="12"/>
  <c r="O24" i="12"/>
  <c r="S22" i="12"/>
  <c r="S31" i="12"/>
  <c r="S25" i="12"/>
  <c r="S23" i="12"/>
  <c r="S32" i="12"/>
  <c r="S26" i="12"/>
  <c r="S33" i="12"/>
  <c r="S27" i="12"/>
  <c r="S24" i="12"/>
  <c r="D32" i="13"/>
  <c r="D26" i="13"/>
  <c r="D27" i="13"/>
  <c r="D22" i="13"/>
  <c r="D25" i="13"/>
  <c r="D23" i="13"/>
  <c r="D31" i="13"/>
  <c r="D33" i="13"/>
  <c r="D24" i="13"/>
  <c r="H32" i="13"/>
  <c r="H26" i="13"/>
  <c r="H22" i="13"/>
  <c r="H31" i="13"/>
  <c r="H25" i="13"/>
  <c r="H23" i="13"/>
  <c r="H33" i="13"/>
  <c r="H27" i="13"/>
  <c r="H24" i="13"/>
  <c r="O32" i="13"/>
  <c r="O26" i="13"/>
  <c r="O33" i="13"/>
  <c r="O25" i="13"/>
  <c r="O27" i="13"/>
  <c r="O23" i="13"/>
  <c r="O24" i="13"/>
  <c r="O22" i="13"/>
  <c r="O31" i="13"/>
  <c r="S32" i="13"/>
  <c r="S26" i="13"/>
  <c r="S27" i="13"/>
  <c r="S23" i="13"/>
  <c r="S24" i="13"/>
  <c r="S22" i="13"/>
  <c r="S31" i="13"/>
  <c r="S33" i="13"/>
  <c r="S25" i="13"/>
  <c r="D32" i="14"/>
  <c r="D26" i="14"/>
  <c r="D27" i="14"/>
  <c r="D31" i="14"/>
  <c r="D33" i="14"/>
  <c r="D23" i="14"/>
  <c r="D25" i="14"/>
  <c r="D24" i="14"/>
  <c r="D22" i="14"/>
  <c r="H32" i="14"/>
  <c r="H26" i="14"/>
  <c r="H33" i="14"/>
  <c r="H25" i="14"/>
  <c r="H23" i="14"/>
  <c r="H27" i="14"/>
  <c r="H24" i="14"/>
  <c r="H22" i="14"/>
  <c r="H31" i="14"/>
  <c r="O32" i="14"/>
  <c r="O26" i="14"/>
  <c r="O22" i="14"/>
  <c r="O33" i="14"/>
  <c r="O24" i="14"/>
  <c r="O25" i="14"/>
  <c r="O27" i="14"/>
  <c r="O31" i="14"/>
  <c r="O23" i="14"/>
  <c r="S32" i="14"/>
  <c r="S26" i="14"/>
  <c r="S22" i="14"/>
  <c r="S27" i="14"/>
  <c r="S31" i="14"/>
  <c r="S23" i="14"/>
  <c r="S33" i="14"/>
  <c r="S24" i="14"/>
  <c r="S25" i="14"/>
  <c r="D32" i="15"/>
  <c r="D26" i="15"/>
  <c r="D22" i="15"/>
  <c r="D27" i="15"/>
  <c r="D31" i="15"/>
  <c r="D23" i="15"/>
  <c r="D33" i="15"/>
  <c r="D24" i="15"/>
  <c r="D25" i="15"/>
  <c r="H32" i="15"/>
  <c r="H26" i="15"/>
  <c r="H22" i="15"/>
  <c r="H33" i="15"/>
  <c r="H24" i="15"/>
  <c r="H25" i="15"/>
  <c r="H27" i="15"/>
  <c r="H31" i="15"/>
  <c r="H23" i="15"/>
  <c r="O33" i="15"/>
  <c r="O27" i="15"/>
  <c r="O31" i="15"/>
  <c r="O25" i="15"/>
  <c r="O22" i="15"/>
  <c r="O24" i="15"/>
  <c r="O26" i="15"/>
  <c r="O32" i="15"/>
  <c r="O23" i="15"/>
  <c r="S33" i="15"/>
  <c r="S27" i="15"/>
  <c r="S31" i="15"/>
  <c r="S25" i="15"/>
  <c r="S22" i="15"/>
  <c r="S32" i="15"/>
  <c r="S23" i="15"/>
  <c r="S24" i="15"/>
  <c r="S26" i="15"/>
  <c r="D32" i="16"/>
  <c r="D26" i="16"/>
  <c r="D22" i="16"/>
  <c r="D27" i="16"/>
  <c r="D31" i="16"/>
  <c r="D23" i="16"/>
  <c r="D33" i="16"/>
  <c r="D24" i="16"/>
  <c r="D25" i="16"/>
  <c r="H32" i="16"/>
  <c r="H26" i="16"/>
  <c r="H22" i="16"/>
  <c r="H33" i="16"/>
  <c r="H24" i="16"/>
  <c r="H25" i="16"/>
  <c r="H27" i="16"/>
  <c r="H31" i="16"/>
  <c r="H23" i="16"/>
  <c r="O32" i="16"/>
  <c r="O26" i="16"/>
  <c r="O22" i="16"/>
  <c r="O33" i="16"/>
  <c r="O24" i="16"/>
  <c r="O25" i="16"/>
  <c r="O27" i="16"/>
  <c r="O31" i="16"/>
  <c r="O23" i="16"/>
  <c r="S32" i="16"/>
  <c r="S26" i="16"/>
  <c r="S22" i="16"/>
  <c r="S27" i="16"/>
  <c r="S31" i="16"/>
  <c r="S23" i="16"/>
  <c r="S33" i="16"/>
  <c r="S24" i="16"/>
  <c r="S25" i="16"/>
  <c r="D32" i="17"/>
  <c r="D26" i="17"/>
  <c r="D22" i="17"/>
  <c r="D27" i="17"/>
  <c r="D31" i="17"/>
  <c r="D23" i="17"/>
  <c r="D33" i="17"/>
  <c r="D24" i="17"/>
  <c r="D25" i="17"/>
  <c r="H32" i="17"/>
  <c r="H26" i="17"/>
  <c r="H22" i="17"/>
  <c r="H33" i="17"/>
  <c r="H24" i="17"/>
  <c r="H25" i="17"/>
  <c r="H27" i="17"/>
  <c r="H31" i="17"/>
  <c r="H23" i="17"/>
  <c r="O32" i="17"/>
  <c r="O26" i="17"/>
  <c r="O22" i="17"/>
  <c r="O33" i="17"/>
  <c r="O24" i="17"/>
  <c r="O25" i="17"/>
  <c r="O27" i="17"/>
  <c r="O31" i="17"/>
  <c r="O23" i="17"/>
  <c r="S32" i="17"/>
  <c r="S26" i="17"/>
  <c r="S22" i="17"/>
  <c r="S27" i="17"/>
  <c r="S31" i="17"/>
  <c r="S23" i="17"/>
  <c r="S33" i="17"/>
  <c r="S24" i="17"/>
  <c r="S25" i="17"/>
  <c r="B22" i="7"/>
  <c r="F22" i="7"/>
  <c r="E23" i="7"/>
  <c r="I23" i="7"/>
  <c r="C24" i="7"/>
  <c r="G24" i="7"/>
  <c r="E25" i="7"/>
  <c r="I25" i="7"/>
  <c r="D26" i="7"/>
  <c r="H26" i="7"/>
  <c r="C27" i="7"/>
  <c r="G27" i="7"/>
  <c r="M22" i="7"/>
  <c r="Q22" i="7"/>
  <c r="P23" i="7"/>
  <c r="T23" i="7"/>
  <c r="N24" i="7"/>
  <c r="R24" i="7"/>
  <c r="P25" i="7"/>
  <c r="T25" i="7"/>
  <c r="O26" i="7"/>
  <c r="S26" i="7"/>
  <c r="N27" i="7"/>
  <c r="R27" i="7"/>
  <c r="B22" i="11"/>
  <c r="F22" i="11"/>
  <c r="E23" i="11"/>
  <c r="I23" i="11"/>
  <c r="C24" i="11"/>
  <c r="G24" i="11"/>
  <c r="E25" i="11"/>
  <c r="I25" i="11"/>
  <c r="D26" i="11"/>
  <c r="H26" i="11"/>
  <c r="C27" i="11"/>
  <c r="G27" i="11"/>
  <c r="M22" i="11"/>
  <c r="Q22" i="11"/>
  <c r="P23" i="11"/>
  <c r="T23" i="11"/>
  <c r="N24" i="11"/>
  <c r="R24" i="11"/>
  <c r="P25" i="11"/>
  <c r="T25" i="11"/>
  <c r="O26" i="11"/>
  <c r="S26" i="11"/>
  <c r="N27" i="11"/>
  <c r="R27" i="11"/>
  <c r="J16" i="7"/>
  <c r="J29" i="7" s="1"/>
  <c r="U5" i="18"/>
  <c r="Y5" i="18" s="1"/>
  <c r="U14" i="18"/>
  <c r="Y10" i="18" s="1"/>
  <c r="P16" i="18"/>
  <c r="D16" i="18"/>
  <c r="D33" i="18" s="1"/>
  <c r="U6" i="18"/>
  <c r="Y6" i="18" s="1"/>
  <c r="U7" i="18"/>
  <c r="Y7" i="18" s="1"/>
  <c r="U8" i="18"/>
  <c r="U9" i="18"/>
  <c r="U10" i="18"/>
  <c r="U15" i="18"/>
  <c r="Y11" i="18" s="1"/>
  <c r="J6" i="18"/>
  <c r="X6" i="18" s="1"/>
  <c r="J7" i="18"/>
  <c r="X7" i="18" s="1"/>
  <c r="J8" i="18"/>
  <c r="J9" i="18"/>
  <c r="J10" i="18"/>
  <c r="J14" i="18"/>
  <c r="X10" i="18" s="1"/>
  <c r="J15" i="18"/>
  <c r="X11" i="18" s="1"/>
  <c r="H16" i="18"/>
  <c r="H33" i="18" s="1"/>
  <c r="J5" i="18"/>
  <c r="X5" i="18" s="1"/>
  <c r="J16" i="17"/>
  <c r="J28" i="17" s="1"/>
  <c r="U16" i="17"/>
  <c r="U26" i="17" s="1"/>
  <c r="J16" i="16"/>
  <c r="J29" i="16" s="1"/>
  <c r="U16" i="16"/>
  <c r="P17" i="16" s="1"/>
  <c r="F42" i="18" s="1"/>
  <c r="J16" i="15"/>
  <c r="E17" i="15" s="1"/>
  <c r="D41" i="18" s="1"/>
  <c r="U16" i="15"/>
  <c r="P17" i="15" s="1"/>
  <c r="F41" i="18" s="1"/>
  <c r="J16" i="14"/>
  <c r="J29" i="14" s="1"/>
  <c r="U16" i="14"/>
  <c r="U30" i="14" s="1"/>
  <c r="J16" i="13"/>
  <c r="J30" i="13" s="1"/>
  <c r="U16" i="13"/>
  <c r="U26" i="13" s="1"/>
  <c r="J16" i="12"/>
  <c r="J30" i="12" s="1"/>
  <c r="U16" i="12"/>
  <c r="P17" i="12" s="1"/>
  <c r="F38" i="18" s="1"/>
  <c r="J16" i="11"/>
  <c r="J22" i="11" s="1"/>
  <c r="U16" i="11"/>
  <c r="U30" i="11" s="1"/>
  <c r="U16" i="7"/>
  <c r="U30" i="7" s="1"/>
  <c r="F17" i="11" l="1"/>
  <c r="C37" i="18" s="1"/>
  <c r="E17" i="11"/>
  <c r="D37" i="18" s="1"/>
  <c r="P33" i="18"/>
  <c r="F17" i="17"/>
  <c r="C43" i="18" s="1"/>
  <c r="F17" i="16"/>
  <c r="C42" i="18" s="1"/>
  <c r="F17" i="15"/>
  <c r="C41" i="18" s="1"/>
  <c r="F17" i="14"/>
  <c r="C40" i="18" s="1"/>
  <c r="Q17" i="12"/>
  <c r="E38" i="18" s="1"/>
  <c r="F17" i="13"/>
  <c r="C39" i="18" s="1"/>
  <c r="Q17" i="11"/>
  <c r="E37" i="18" s="1"/>
  <c r="F17" i="12"/>
  <c r="C38" i="18" s="1"/>
  <c r="Q33" i="18"/>
  <c r="P17" i="17"/>
  <c r="F43" i="18" s="1"/>
  <c r="E17" i="17"/>
  <c r="D43" i="18" s="1"/>
  <c r="Q17" i="13"/>
  <c r="E39" i="18" s="1"/>
  <c r="E17" i="16"/>
  <c r="D42" i="18" s="1"/>
  <c r="P17" i="14"/>
  <c r="F40" i="18" s="1"/>
  <c r="E17" i="14"/>
  <c r="D40" i="18" s="1"/>
  <c r="P17" i="13"/>
  <c r="F39" i="18" s="1"/>
  <c r="E17" i="13"/>
  <c r="D39" i="18" s="1"/>
  <c r="X8" i="18"/>
  <c r="E30" i="18"/>
  <c r="E17" i="12"/>
  <c r="D38" i="18" s="1"/>
  <c r="F33" i="18"/>
  <c r="P17" i="11"/>
  <c r="F37" i="18" s="1"/>
  <c r="F17" i="7"/>
  <c r="C44" i="18" s="1"/>
  <c r="Q17" i="7"/>
  <c r="E44" i="18" s="1"/>
  <c r="P17" i="7"/>
  <c r="F44" i="18" s="1"/>
  <c r="Y8" i="18"/>
  <c r="S45" i="13"/>
  <c r="N32" i="18"/>
  <c r="N22" i="18"/>
  <c r="G27" i="18"/>
  <c r="M31" i="18"/>
  <c r="M25" i="18"/>
  <c r="N25" i="18"/>
  <c r="B32" i="18"/>
  <c r="E23" i="18"/>
  <c r="E24" i="18"/>
  <c r="I22" i="18"/>
  <c r="F26" i="18"/>
  <c r="M23" i="18"/>
  <c r="R32" i="18"/>
  <c r="G32" i="18"/>
  <c r="M27" i="18"/>
  <c r="R27" i="18"/>
  <c r="R22" i="18"/>
  <c r="B31" i="18"/>
  <c r="N31" i="18"/>
  <c r="Q23" i="18"/>
  <c r="B23" i="18"/>
  <c r="N23" i="18"/>
  <c r="B22" i="18"/>
  <c r="Q25" i="18"/>
  <c r="B25" i="18"/>
  <c r="N27" i="18"/>
  <c r="N24" i="18"/>
  <c r="E22" i="18"/>
  <c r="E27" i="18"/>
  <c r="S32" i="18"/>
  <c r="M26" i="18"/>
  <c r="M22" i="18"/>
  <c r="E26" i="18"/>
  <c r="S45" i="12"/>
  <c r="Q45" i="12"/>
  <c r="F22" i="18"/>
  <c r="M32" i="18"/>
  <c r="S23" i="18"/>
  <c r="F32" i="18"/>
  <c r="F25" i="18"/>
  <c r="F23" i="18"/>
  <c r="R31" i="18"/>
  <c r="R25" i="18"/>
  <c r="R24" i="18"/>
  <c r="R23" i="18"/>
  <c r="I32" i="18"/>
  <c r="E33" i="18"/>
  <c r="P50" i="18" s="1"/>
  <c r="AA50" i="18" s="1"/>
  <c r="E31" i="18"/>
  <c r="B24" i="18"/>
  <c r="F31" i="18"/>
  <c r="I31" i="18"/>
  <c r="F27" i="18"/>
  <c r="I26" i="18"/>
  <c r="B27" i="18"/>
  <c r="I25" i="18"/>
  <c r="B26" i="18"/>
  <c r="I27" i="18"/>
  <c r="I30" i="18"/>
  <c r="I29" i="18"/>
  <c r="I28" i="18"/>
  <c r="F24" i="18"/>
  <c r="I24" i="18"/>
  <c r="I23" i="18"/>
  <c r="C27" i="18"/>
  <c r="C24" i="18"/>
  <c r="O45" i="7"/>
  <c r="O22" i="18"/>
  <c r="S47" i="11"/>
  <c r="Q45" i="7"/>
  <c r="Q32" i="18"/>
  <c r="Q26" i="18"/>
  <c r="R30" i="18"/>
  <c r="R29" i="18"/>
  <c r="Q45" i="16"/>
  <c r="E29" i="18"/>
  <c r="F29" i="18"/>
  <c r="R26" i="18"/>
  <c r="E25" i="18"/>
  <c r="R28" i="18"/>
  <c r="M24" i="18"/>
  <c r="N26" i="18"/>
  <c r="E32" i="18"/>
  <c r="B29" i="18"/>
  <c r="E28" i="18"/>
  <c r="S45" i="17"/>
  <c r="O45" i="17"/>
  <c r="N30" i="18"/>
  <c r="M28" i="18"/>
  <c r="N29" i="18"/>
  <c r="N28" i="18"/>
  <c r="O47" i="11"/>
  <c r="S46" i="11"/>
  <c r="S46" i="12"/>
  <c r="M30" i="18"/>
  <c r="O45" i="12"/>
  <c r="M29" i="18"/>
  <c r="B30" i="18"/>
  <c r="B28" i="18"/>
  <c r="S45" i="14"/>
  <c r="Q45" i="14"/>
  <c r="F30" i="18"/>
  <c r="O45" i="14"/>
  <c r="F28" i="18"/>
  <c r="S45" i="15"/>
  <c r="O46" i="11"/>
  <c r="O46" i="13"/>
  <c r="O46" i="15"/>
  <c r="O46" i="17"/>
  <c r="N46" i="11"/>
  <c r="N46" i="12"/>
  <c r="N46" i="13"/>
  <c r="N46" i="14"/>
  <c r="N46" i="15"/>
  <c r="N46" i="16"/>
  <c r="N46" i="17"/>
  <c r="T46" i="11"/>
  <c r="T46" i="12"/>
  <c r="T46" i="13"/>
  <c r="T46" i="14"/>
  <c r="T46" i="15"/>
  <c r="T46" i="16"/>
  <c r="T46" i="17"/>
  <c r="N47" i="7"/>
  <c r="N45" i="7"/>
  <c r="T47" i="7"/>
  <c r="T45" i="7"/>
  <c r="G22" i="18"/>
  <c r="S31" i="18"/>
  <c r="S25" i="18"/>
  <c r="G31" i="18"/>
  <c r="G23" i="18"/>
  <c r="N46" i="7"/>
  <c r="N47" i="11"/>
  <c r="N45" i="11"/>
  <c r="N45" i="12"/>
  <c r="N45" i="13"/>
  <c r="N45" i="14"/>
  <c r="S46" i="16"/>
  <c r="S30" i="18"/>
  <c r="O45" i="11"/>
  <c r="G29" i="18"/>
  <c r="S27" i="18"/>
  <c r="G25" i="18"/>
  <c r="G24" i="18"/>
  <c r="O45" i="15"/>
  <c r="O45" i="16"/>
  <c r="S26" i="18"/>
  <c r="S24" i="18"/>
  <c r="S22" i="18"/>
  <c r="G26" i="18"/>
  <c r="O47" i="7"/>
  <c r="T25" i="18"/>
  <c r="N45" i="15"/>
  <c r="N45" i="16"/>
  <c r="N45" i="17"/>
  <c r="O46" i="7"/>
  <c r="O45" i="13"/>
  <c r="U28" i="11"/>
  <c r="U28" i="17"/>
  <c r="U45" i="17" s="1"/>
  <c r="D28" i="18"/>
  <c r="U29" i="13"/>
  <c r="C29" i="18"/>
  <c r="P29" i="18"/>
  <c r="C22" i="18"/>
  <c r="C32" i="18"/>
  <c r="C25" i="18"/>
  <c r="C23" i="18"/>
  <c r="C31" i="18"/>
  <c r="R46" i="7"/>
  <c r="R47" i="11"/>
  <c r="R45" i="11"/>
  <c r="R45" i="12"/>
  <c r="R45" i="13"/>
  <c r="R45" i="14"/>
  <c r="R45" i="15"/>
  <c r="R45" i="16"/>
  <c r="R45" i="17"/>
  <c r="S45" i="11"/>
  <c r="S45" i="16"/>
  <c r="S29" i="18"/>
  <c r="D30" i="18"/>
  <c r="G28" i="18"/>
  <c r="C28" i="18"/>
  <c r="G30" i="18"/>
  <c r="J29" i="15"/>
  <c r="C26" i="18"/>
  <c r="S46" i="14"/>
  <c r="Q46" i="7"/>
  <c r="Q46" i="12"/>
  <c r="Q46" i="14"/>
  <c r="Q46" i="16"/>
  <c r="J28" i="7"/>
  <c r="S28" i="18"/>
  <c r="C30" i="18"/>
  <c r="U30" i="12"/>
  <c r="U47" i="12" s="1"/>
  <c r="U30" i="16"/>
  <c r="U26" i="11"/>
  <c r="U29" i="11"/>
  <c r="U29" i="15"/>
  <c r="T27" i="18"/>
  <c r="T46" i="7"/>
  <c r="T47" i="11"/>
  <c r="T45" i="11"/>
  <c r="T45" i="12"/>
  <c r="T45" i="13"/>
  <c r="T45" i="14"/>
  <c r="T45" i="15"/>
  <c r="T45" i="16"/>
  <c r="T45" i="17"/>
  <c r="S45" i="7"/>
  <c r="Q45" i="11"/>
  <c r="Q45" i="13"/>
  <c r="Q45" i="15"/>
  <c r="Q45" i="17"/>
  <c r="Q30" i="18"/>
  <c r="U30" i="13"/>
  <c r="U47" i="13" s="1"/>
  <c r="U29" i="17"/>
  <c r="O29" i="18"/>
  <c r="U29" i="14"/>
  <c r="U46" i="14" s="1"/>
  <c r="T28" i="18"/>
  <c r="J30" i="11"/>
  <c r="U47" i="11" s="1"/>
  <c r="D29" i="18"/>
  <c r="T29" i="18"/>
  <c r="Q28" i="18"/>
  <c r="U26" i="7"/>
  <c r="U28" i="7"/>
  <c r="J31" i="12"/>
  <c r="J28" i="12"/>
  <c r="J30" i="14"/>
  <c r="U47" i="14" s="1"/>
  <c r="J22" i="16"/>
  <c r="J28" i="16"/>
  <c r="T30" i="18"/>
  <c r="T32" i="18"/>
  <c r="T26" i="18"/>
  <c r="T24" i="18"/>
  <c r="P47" i="7"/>
  <c r="P45" i="7"/>
  <c r="P46" i="11"/>
  <c r="P46" i="12"/>
  <c r="P46" i="13"/>
  <c r="P46" i="14"/>
  <c r="P46" i="15"/>
  <c r="P46" i="16"/>
  <c r="P46" i="17"/>
  <c r="S46" i="7"/>
  <c r="J29" i="11"/>
  <c r="J30" i="16"/>
  <c r="U29" i="12"/>
  <c r="U30" i="17"/>
  <c r="J28" i="15"/>
  <c r="U28" i="13"/>
  <c r="P28" i="18"/>
  <c r="J30" i="15"/>
  <c r="H29" i="18"/>
  <c r="P30" i="18"/>
  <c r="U28" i="16"/>
  <c r="U28" i="14"/>
  <c r="J22" i="13"/>
  <c r="J29" i="13"/>
  <c r="J22" i="17"/>
  <c r="J29" i="17"/>
  <c r="J27" i="7"/>
  <c r="J30" i="7"/>
  <c r="U47" i="7" s="1"/>
  <c r="Q46" i="11"/>
  <c r="Q46" i="13"/>
  <c r="Q46" i="15"/>
  <c r="Q46" i="17"/>
  <c r="U29" i="16"/>
  <c r="U46" i="16" s="1"/>
  <c r="U28" i="12"/>
  <c r="T23" i="18"/>
  <c r="R47" i="7"/>
  <c r="R45" i="7"/>
  <c r="R46" i="11"/>
  <c r="R46" i="12"/>
  <c r="R46" i="13"/>
  <c r="R46" i="14"/>
  <c r="R46" i="15"/>
  <c r="R46" i="16"/>
  <c r="R46" i="17"/>
  <c r="S47" i="7"/>
  <c r="P46" i="7"/>
  <c r="P47" i="11"/>
  <c r="P45" i="11"/>
  <c r="P45" i="12"/>
  <c r="P45" i="13"/>
  <c r="P45" i="14"/>
  <c r="P45" i="15"/>
  <c r="P45" i="16"/>
  <c r="P45" i="17"/>
  <c r="O30" i="18"/>
  <c r="M45" i="7"/>
  <c r="M45" i="11"/>
  <c r="M45" i="12"/>
  <c r="M45" i="13"/>
  <c r="M45" i="14"/>
  <c r="M45" i="15"/>
  <c r="M45" i="16"/>
  <c r="M45" i="17"/>
  <c r="J28" i="14"/>
  <c r="Q29" i="18"/>
  <c r="U28" i="15"/>
  <c r="J28" i="11"/>
  <c r="J30" i="17"/>
  <c r="J29" i="12"/>
  <c r="U29" i="7"/>
  <c r="U46" i="7" s="1"/>
  <c r="U30" i="15"/>
  <c r="J28" i="13"/>
  <c r="H30" i="18"/>
  <c r="H28" i="18"/>
  <c r="O28" i="18"/>
  <c r="Q31" i="18"/>
  <c r="Q22" i="18"/>
  <c r="Q27" i="18"/>
  <c r="Q24" i="18"/>
  <c r="T31" i="18"/>
  <c r="T22" i="18"/>
  <c r="O32" i="18"/>
  <c r="O31" i="18"/>
  <c r="O27" i="18"/>
  <c r="O26" i="18"/>
  <c r="O25" i="18"/>
  <c r="O24" i="18"/>
  <c r="O23" i="18"/>
  <c r="J24" i="15"/>
  <c r="J23" i="12"/>
  <c r="U25" i="13"/>
  <c r="J26" i="15"/>
  <c r="J23" i="16"/>
  <c r="J32" i="12"/>
  <c r="U23" i="15"/>
  <c r="J32" i="16"/>
  <c r="J27" i="13"/>
  <c r="U32" i="15"/>
  <c r="J22" i="14"/>
  <c r="J27" i="17"/>
  <c r="J25" i="14"/>
  <c r="U25" i="17"/>
  <c r="J22" i="12"/>
  <c r="J31" i="14"/>
  <c r="J24" i="17"/>
  <c r="J25" i="16"/>
  <c r="J27" i="15"/>
  <c r="J32" i="14"/>
  <c r="J23" i="14"/>
  <c r="J24" i="13"/>
  <c r="J25" i="12"/>
  <c r="U32" i="17"/>
  <c r="U23" i="17"/>
  <c r="U24" i="16"/>
  <c r="U25" i="15"/>
  <c r="U27" i="14"/>
  <c r="U32" i="13"/>
  <c r="U23" i="13"/>
  <c r="U24" i="12"/>
  <c r="J26" i="17"/>
  <c r="U43" i="17" s="1"/>
  <c r="J31" i="16"/>
  <c r="J26" i="13"/>
  <c r="U31" i="16"/>
  <c r="U22" i="16"/>
  <c r="U31" i="12"/>
  <c r="U22" i="12"/>
  <c r="J24" i="11"/>
  <c r="J31" i="7"/>
  <c r="U32" i="11"/>
  <c r="U23" i="11"/>
  <c r="U31" i="7"/>
  <c r="J26" i="7"/>
  <c r="U33" i="14"/>
  <c r="U33" i="11"/>
  <c r="U33" i="13"/>
  <c r="U33" i="15"/>
  <c r="U33" i="17"/>
  <c r="U33" i="7"/>
  <c r="J33" i="12"/>
  <c r="J33" i="14"/>
  <c r="J33" i="16"/>
  <c r="J25" i="17"/>
  <c r="J27" i="16"/>
  <c r="J32" i="15"/>
  <c r="J23" i="15"/>
  <c r="J24" i="14"/>
  <c r="J25" i="13"/>
  <c r="J27" i="12"/>
  <c r="J26" i="12"/>
  <c r="U24" i="17"/>
  <c r="U25" i="16"/>
  <c r="U27" i="15"/>
  <c r="U32" i="14"/>
  <c r="U23" i="14"/>
  <c r="U24" i="13"/>
  <c r="U25" i="12"/>
  <c r="J31" i="17"/>
  <c r="J26" i="14"/>
  <c r="J31" i="13"/>
  <c r="U31" i="17"/>
  <c r="U22" i="17"/>
  <c r="U26" i="14"/>
  <c r="U31" i="13"/>
  <c r="U22" i="13"/>
  <c r="J25" i="11"/>
  <c r="U22" i="7"/>
  <c r="U24" i="11"/>
  <c r="J26" i="11"/>
  <c r="U24" i="7"/>
  <c r="U31" i="11"/>
  <c r="U22" i="11"/>
  <c r="U39" i="11" s="1"/>
  <c r="J22" i="7"/>
  <c r="U33" i="12"/>
  <c r="U27" i="16"/>
  <c r="U24" i="14"/>
  <c r="U27" i="12"/>
  <c r="U26" i="15"/>
  <c r="U31" i="14"/>
  <c r="U22" i="14"/>
  <c r="J27" i="11"/>
  <c r="U25" i="7"/>
  <c r="U27" i="7"/>
  <c r="U25" i="11"/>
  <c r="J32" i="7"/>
  <c r="J31" i="11"/>
  <c r="U33" i="16"/>
  <c r="J33" i="11"/>
  <c r="J33" i="13"/>
  <c r="J33" i="15"/>
  <c r="J33" i="17"/>
  <c r="J33" i="7"/>
  <c r="J32" i="17"/>
  <c r="J23" i="17"/>
  <c r="J24" i="16"/>
  <c r="J25" i="15"/>
  <c r="J27" i="14"/>
  <c r="J32" i="13"/>
  <c r="J23" i="13"/>
  <c r="J24" i="12"/>
  <c r="U27" i="17"/>
  <c r="U32" i="16"/>
  <c r="U23" i="16"/>
  <c r="U24" i="15"/>
  <c r="U25" i="14"/>
  <c r="U27" i="13"/>
  <c r="U32" i="12"/>
  <c r="U23" i="12"/>
  <c r="J26" i="16"/>
  <c r="J31" i="15"/>
  <c r="J22" i="15"/>
  <c r="U26" i="16"/>
  <c r="U31" i="15"/>
  <c r="U22" i="15"/>
  <c r="U26" i="12"/>
  <c r="J32" i="11"/>
  <c r="J23" i="11"/>
  <c r="J23" i="7"/>
  <c r="U27" i="11"/>
  <c r="J25" i="7"/>
  <c r="U23" i="7"/>
  <c r="U32" i="7"/>
  <c r="J24" i="7"/>
  <c r="D26" i="18"/>
  <c r="D27" i="18"/>
  <c r="D25" i="18"/>
  <c r="H31" i="18"/>
  <c r="P26" i="18"/>
  <c r="P22" i="18"/>
  <c r="H24" i="18"/>
  <c r="H23" i="18"/>
  <c r="D32" i="18"/>
  <c r="H27" i="18"/>
  <c r="P32" i="18"/>
  <c r="P27" i="18"/>
  <c r="P25" i="18"/>
  <c r="P24" i="18"/>
  <c r="P23" i="18"/>
  <c r="D31" i="18"/>
  <c r="H26" i="18"/>
  <c r="H25" i="18"/>
  <c r="D24" i="18"/>
  <c r="D23" i="18"/>
  <c r="D22" i="18"/>
  <c r="H32" i="18"/>
  <c r="P31" i="18"/>
  <c r="H22" i="18"/>
  <c r="R50" i="7"/>
  <c r="O40" i="7"/>
  <c r="R43" i="7"/>
  <c r="Q48" i="7"/>
  <c r="S43" i="7"/>
  <c r="P48" i="7"/>
  <c r="N50" i="7"/>
  <c r="M41" i="7"/>
  <c r="P40" i="7"/>
  <c r="O50" i="7"/>
  <c r="N41" i="7"/>
  <c r="O49" i="7"/>
  <c r="S42" i="7"/>
  <c r="P49" i="7"/>
  <c r="T42" i="7"/>
  <c r="Q44" i="7"/>
  <c r="P39" i="7"/>
  <c r="M42" i="7"/>
  <c r="O41" i="7"/>
  <c r="M43" i="7"/>
  <c r="N42" i="7"/>
  <c r="P41" i="7"/>
  <c r="S49" i="7"/>
  <c r="O42" i="7"/>
  <c r="S50" i="7"/>
  <c r="M48" i="7"/>
  <c r="N44" i="7"/>
  <c r="O43" i="7"/>
  <c r="P42" i="7"/>
  <c r="T40" i="7"/>
  <c r="T50" i="7"/>
  <c r="M49" i="7"/>
  <c r="N48" i="7"/>
  <c r="O44" i="7"/>
  <c r="P43" i="7"/>
  <c r="M40" i="7"/>
  <c r="N39" i="7"/>
  <c r="N49" i="7"/>
  <c r="O48" i="7"/>
  <c r="P44" i="7"/>
  <c r="N40" i="7"/>
  <c r="O39" i="7"/>
  <c r="M50" i="17"/>
  <c r="S50" i="14"/>
  <c r="U16" i="18"/>
  <c r="P17" i="18" s="1"/>
  <c r="F45" i="18" s="1"/>
  <c r="J16" i="18"/>
  <c r="F17" i="18" s="1"/>
  <c r="C45" i="18" s="1"/>
  <c r="S50" i="17"/>
  <c r="O49" i="17"/>
  <c r="M49" i="17"/>
  <c r="O48" i="17"/>
  <c r="M48" i="17"/>
  <c r="O44" i="17"/>
  <c r="M44" i="17"/>
  <c r="O43" i="17"/>
  <c r="M43" i="17"/>
  <c r="O42" i="17"/>
  <c r="M42" i="17"/>
  <c r="O41" i="17"/>
  <c r="M41" i="17"/>
  <c r="O40" i="17"/>
  <c r="M40" i="17"/>
  <c r="O39" i="17"/>
  <c r="M39" i="17"/>
  <c r="T49" i="17"/>
  <c r="P49" i="17"/>
  <c r="N49" i="17"/>
  <c r="T48" i="17"/>
  <c r="P48" i="17"/>
  <c r="N48" i="17"/>
  <c r="T44" i="17"/>
  <c r="P44" i="17"/>
  <c r="N44" i="17"/>
  <c r="T43" i="17"/>
  <c r="P43" i="17"/>
  <c r="N43" i="17"/>
  <c r="T42" i="17"/>
  <c r="P42" i="17"/>
  <c r="N42" i="17"/>
  <c r="T41" i="17"/>
  <c r="P41" i="17"/>
  <c r="N41" i="17"/>
  <c r="T40" i="17"/>
  <c r="P40" i="17"/>
  <c r="N40" i="17"/>
  <c r="T39" i="17"/>
  <c r="P39" i="17"/>
  <c r="N39" i="17"/>
  <c r="N50" i="17"/>
  <c r="O50" i="17"/>
  <c r="S49" i="16"/>
  <c r="Q49" i="16"/>
  <c r="O49" i="16"/>
  <c r="S48" i="16"/>
  <c r="Q48" i="16"/>
  <c r="O48" i="16"/>
  <c r="S44" i="16"/>
  <c r="Q44" i="16"/>
  <c r="O44" i="16"/>
  <c r="S43" i="16"/>
  <c r="Q43" i="16"/>
  <c r="O43" i="16"/>
  <c r="S42" i="16"/>
  <c r="Q42" i="16"/>
  <c r="O42" i="16"/>
  <c r="S41" i="16"/>
  <c r="Q41" i="16"/>
  <c r="O41" i="16"/>
  <c r="S40" i="16"/>
  <c r="Q40" i="16"/>
  <c r="O40" i="16"/>
  <c r="S39" i="16"/>
  <c r="Q39" i="16"/>
  <c r="O39" i="16"/>
  <c r="R49" i="16"/>
  <c r="P49" i="16"/>
  <c r="N49" i="16"/>
  <c r="R48" i="16"/>
  <c r="P48" i="16"/>
  <c r="N48" i="16"/>
  <c r="R44" i="16"/>
  <c r="P44" i="16"/>
  <c r="N44" i="16"/>
  <c r="R43" i="16"/>
  <c r="P43" i="16"/>
  <c r="N43" i="16"/>
  <c r="R42" i="16"/>
  <c r="P42" i="16"/>
  <c r="N42" i="16"/>
  <c r="R41" i="16"/>
  <c r="P41" i="16"/>
  <c r="N41" i="16"/>
  <c r="R40" i="16"/>
  <c r="P40" i="16"/>
  <c r="N40" i="16"/>
  <c r="R39" i="16"/>
  <c r="P39" i="16"/>
  <c r="N39" i="16"/>
  <c r="S50" i="16"/>
  <c r="O50" i="16"/>
  <c r="T50" i="16"/>
  <c r="O49" i="15"/>
  <c r="O48" i="15"/>
  <c r="O44" i="15"/>
  <c r="O43" i="15"/>
  <c r="O42" i="15"/>
  <c r="O41" i="15"/>
  <c r="O40" i="15"/>
  <c r="O39" i="15"/>
  <c r="P49" i="15"/>
  <c r="N49" i="15"/>
  <c r="P48" i="15"/>
  <c r="N48" i="15"/>
  <c r="P44" i="15"/>
  <c r="N44" i="15"/>
  <c r="P43" i="15"/>
  <c r="N43" i="15"/>
  <c r="P42" i="15"/>
  <c r="N42" i="15"/>
  <c r="P41" i="15"/>
  <c r="N41" i="15"/>
  <c r="P40" i="15"/>
  <c r="N40" i="15"/>
  <c r="P39" i="15"/>
  <c r="N39" i="15"/>
  <c r="S50" i="15"/>
  <c r="O50" i="15"/>
  <c r="T50" i="15"/>
  <c r="P50" i="15"/>
  <c r="S49" i="14"/>
  <c r="S48" i="14"/>
  <c r="S44" i="14"/>
  <c r="S43" i="14"/>
  <c r="S42" i="14"/>
  <c r="S41" i="14"/>
  <c r="S40" i="14"/>
  <c r="S39" i="14"/>
  <c r="R49" i="14"/>
  <c r="R48" i="14"/>
  <c r="R44" i="14"/>
  <c r="R43" i="14"/>
  <c r="R42" i="14"/>
  <c r="R41" i="14"/>
  <c r="R40" i="14"/>
  <c r="R39" i="14"/>
  <c r="R50" i="14"/>
  <c r="N50" i="14"/>
  <c r="M50" i="14"/>
  <c r="T50" i="13"/>
  <c r="P50" i="13"/>
  <c r="S50" i="13"/>
  <c r="S49" i="12"/>
  <c r="O49" i="12"/>
  <c r="S48" i="12"/>
  <c r="O48" i="12"/>
  <c r="S44" i="12"/>
  <c r="O44" i="12"/>
  <c r="S43" i="12"/>
  <c r="O43" i="12"/>
  <c r="S42" i="12"/>
  <c r="O42" i="12"/>
  <c r="S41" i="12"/>
  <c r="O41" i="12"/>
  <c r="S40" i="12"/>
  <c r="O40" i="12"/>
  <c r="S39" i="12"/>
  <c r="O39" i="12"/>
  <c r="R49" i="12"/>
  <c r="R48" i="12"/>
  <c r="R44" i="12"/>
  <c r="R43" i="12"/>
  <c r="R42" i="12"/>
  <c r="R41" i="12"/>
  <c r="R40" i="12"/>
  <c r="R39" i="12"/>
  <c r="S50" i="12"/>
  <c r="O50" i="12"/>
  <c r="T50" i="12"/>
  <c r="P50" i="12"/>
  <c r="Q49" i="11"/>
  <c r="M49" i="11"/>
  <c r="Q48" i="11"/>
  <c r="M48" i="11"/>
  <c r="Q44" i="11"/>
  <c r="M44" i="11"/>
  <c r="Q43" i="11"/>
  <c r="M43" i="11"/>
  <c r="Q42" i="11"/>
  <c r="M42" i="11"/>
  <c r="Q41" i="11"/>
  <c r="M41" i="11"/>
  <c r="Q40" i="11"/>
  <c r="M40" i="11"/>
  <c r="Q39" i="11"/>
  <c r="M39" i="11"/>
  <c r="S50" i="11"/>
  <c r="O50" i="11"/>
  <c r="R50" i="11"/>
  <c r="M39" i="7"/>
  <c r="X12" i="18" l="1"/>
  <c r="Q17" i="18"/>
  <c r="E45" i="18" s="1"/>
  <c r="P47" i="18"/>
  <c r="AA47" i="18" s="1"/>
  <c r="Y12" i="18"/>
  <c r="E17" i="18"/>
  <c r="D45" i="18" s="1"/>
  <c r="P48" i="18"/>
  <c r="AA48" i="18" s="1"/>
  <c r="P41" i="18"/>
  <c r="AA41" i="18" s="1"/>
  <c r="U45" i="11"/>
  <c r="T46" i="18"/>
  <c r="AE46" i="18" s="1"/>
  <c r="R45" i="18"/>
  <c r="AC45" i="18" s="1"/>
  <c r="P40" i="18"/>
  <c r="AA40" i="18" s="1"/>
  <c r="P43" i="18"/>
  <c r="AA43" i="18" s="1"/>
  <c r="P39" i="18"/>
  <c r="AA39" i="18" s="1"/>
  <c r="P44" i="18"/>
  <c r="AA44" i="18" s="1"/>
  <c r="R47" i="18"/>
  <c r="AC47" i="18" s="1"/>
  <c r="M45" i="18"/>
  <c r="X45" i="18" s="1"/>
  <c r="U41" i="15"/>
  <c r="T47" i="18"/>
  <c r="AE47" i="18" s="1"/>
  <c r="T45" i="18"/>
  <c r="AE45" i="18" s="1"/>
  <c r="Q45" i="18"/>
  <c r="AB45" i="18" s="1"/>
  <c r="Q46" i="18"/>
  <c r="AB46" i="18" s="1"/>
  <c r="P46" i="18"/>
  <c r="AA46" i="18" s="1"/>
  <c r="P42" i="18"/>
  <c r="AA42" i="18" s="1"/>
  <c r="M46" i="18"/>
  <c r="X46" i="18" s="1"/>
  <c r="R46" i="18"/>
  <c r="AC46" i="18" s="1"/>
  <c r="P45" i="18"/>
  <c r="AA45" i="18" s="1"/>
  <c r="N46" i="18"/>
  <c r="Y46" i="18" s="1"/>
  <c r="U48" i="17"/>
  <c r="P49" i="18"/>
  <c r="AA49" i="18" s="1"/>
  <c r="O45" i="18"/>
  <c r="Z45" i="18" s="1"/>
  <c r="M47" i="18"/>
  <c r="X47" i="18" s="1"/>
  <c r="N45" i="18"/>
  <c r="Y45" i="18" s="1"/>
  <c r="U49" i="16"/>
  <c r="U45" i="16"/>
  <c r="N47" i="18"/>
  <c r="Y47" i="18" s="1"/>
  <c r="Q47" i="18"/>
  <c r="AB47" i="18" s="1"/>
  <c r="U42" i="12"/>
  <c r="U39" i="12"/>
  <c r="U47" i="15"/>
  <c r="S47" i="18"/>
  <c r="AD47" i="18" s="1"/>
  <c r="S45" i="18"/>
  <c r="AD45" i="18" s="1"/>
  <c r="S46" i="18"/>
  <c r="AD46" i="18" s="1"/>
  <c r="U44" i="7"/>
  <c r="U45" i="7"/>
  <c r="U46" i="13"/>
  <c r="U46" i="15"/>
  <c r="U47" i="17"/>
  <c r="U46" i="11"/>
  <c r="U45" i="15"/>
  <c r="U42" i="15"/>
  <c r="O47" i="18"/>
  <c r="Z47" i="18" s="1"/>
  <c r="U46" i="12"/>
  <c r="U33" i="18"/>
  <c r="U30" i="18"/>
  <c r="U28" i="18"/>
  <c r="J33" i="18"/>
  <c r="J29" i="18"/>
  <c r="J28" i="18"/>
  <c r="J30" i="18"/>
  <c r="U40" i="11"/>
  <c r="U39" i="17"/>
  <c r="U39" i="16"/>
  <c r="U49" i="13"/>
  <c r="U45" i="13"/>
  <c r="O46" i="18"/>
  <c r="Z46" i="18" s="1"/>
  <c r="U47" i="16"/>
  <c r="U29" i="18"/>
  <c r="U43" i="11"/>
  <c r="U44" i="13"/>
  <c r="U45" i="12"/>
  <c r="U45" i="14"/>
  <c r="U46" i="17"/>
  <c r="U42" i="14"/>
  <c r="U50" i="7"/>
  <c r="U50" i="17"/>
  <c r="U50" i="11"/>
  <c r="U40" i="16"/>
  <c r="U44" i="16"/>
  <c r="U43" i="14"/>
  <c r="U49" i="17"/>
  <c r="U40" i="15"/>
  <c r="U44" i="12"/>
  <c r="U41" i="14"/>
  <c r="U49" i="11"/>
  <c r="U40" i="13"/>
  <c r="U41" i="16"/>
  <c r="U41" i="13"/>
  <c r="U42" i="16"/>
  <c r="U42" i="17"/>
  <c r="U40" i="7"/>
  <c r="U39" i="15"/>
  <c r="U48" i="7"/>
  <c r="U48" i="16"/>
  <c r="U41" i="17"/>
  <c r="U24" i="18"/>
  <c r="J26" i="18"/>
  <c r="U22" i="18"/>
  <c r="U27" i="18"/>
  <c r="J24" i="18"/>
  <c r="J27" i="18"/>
  <c r="J22" i="18"/>
  <c r="U23" i="18"/>
  <c r="U32" i="18"/>
  <c r="J31" i="18"/>
  <c r="U31" i="18"/>
  <c r="U25" i="18"/>
  <c r="J23" i="18"/>
  <c r="J25" i="18"/>
  <c r="J32" i="18"/>
  <c r="U26" i="18"/>
  <c r="U49" i="7"/>
  <c r="U43" i="7"/>
  <c r="T39" i="7"/>
  <c r="U42" i="7"/>
  <c r="Q43" i="7"/>
  <c r="M50" i="7"/>
  <c r="S40" i="7"/>
  <c r="Q50" i="7"/>
  <c r="T43" i="7"/>
  <c r="P50" i="7"/>
  <c r="M44" i="7"/>
  <c r="S48" i="7"/>
  <c r="R48" i="7"/>
  <c r="N43" i="7"/>
  <c r="S39" i="7"/>
  <c r="R39" i="7"/>
  <c r="Q39" i="7"/>
  <c r="R42" i="7"/>
  <c r="Q42" i="7"/>
  <c r="U39" i="7"/>
  <c r="R49" i="7"/>
  <c r="Q49" i="7"/>
  <c r="R44" i="7"/>
  <c r="T48" i="7"/>
  <c r="R41" i="7"/>
  <c r="Q41" i="7"/>
  <c r="R40" i="7"/>
  <c r="Q40" i="7"/>
  <c r="T41" i="7"/>
  <c r="S41" i="7"/>
  <c r="T49" i="7"/>
  <c r="T44" i="7"/>
  <c r="S44" i="7"/>
  <c r="U41" i="7"/>
  <c r="Q50" i="17"/>
  <c r="S39" i="17"/>
  <c r="S40" i="17"/>
  <c r="S41" i="17"/>
  <c r="S42" i="17"/>
  <c r="S43" i="17"/>
  <c r="S44" i="17"/>
  <c r="S48" i="17"/>
  <c r="S49" i="17"/>
  <c r="U44" i="17"/>
  <c r="R50" i="17"/>
  <c r="R39" i="17"/>
  <c r="R40" i="17"/>
  <c r="R41" i="17"/>
  <c r="R42" i="17"/>
  <c r="R43" i="17"/>
  <c r="R44" i="17"/>
  <c r="R48" i="17"/>
  <c r="R49" i="17"/>
  <c r="Q39" i="17"/>
  <c r="Q40" i="17"/>
  <c r="Q41" i="17"/>
  <c r="Q42" i="17"/>
  <c r="Q43" i="17"/>
  <c r="Q44" i="17"/>
  <c r="Q48" i="17"/>
  <c r="Q49" i="17"/>
  <c r="P50" i="16"/>
  <c r="M39" i="16"/>
  <c r="M40" i="16"/>
  <c r="M41" i="16"/>
  <c r="M42" i="16"/>
  <c r="M43" i="16"/>
  <c r="M44" i="16"/>
  <c r="M48" i="16"/>
  <c r="M49" i="16"/>
  <c r="U50" i="16"/>
  <c r="T39" i="16"/>
  <c r="T40" i="16"/>
  <c r="T41" i="16"/>
  <c r="T42" i="16"/>
  <c r="T43" i="16"/>
  <c r="T44" i="16"/>
  <c r="T48" i="16"/>
  <c r="T49" i="16"/>
  <c r="U48" i="15"/>
  <c r="S39" i="15"/>
  <c r="S40" i="15"/>
  <c r="S41" i="15"/>
  <c r="S42" i="15"/>
  <c r="S43" i="15"/>
  <c r="S44" i="15"/>
  <c r="S48" i="15"/>
  <c r="S49" i="15"/>
  <c r="U44" i="15"/>
  <c r="R39" i="15"/>
  <c r="R40" i="15"/>
  <c r="R41" i="15"/>
  <c r="R42" i="15"/>
  <c r="R43" i="15"/>
  <c r="R44" i="15"/>
  <c r="R48" i="15"/>
  <c r="R49" i="15"/>
  <c r="Q39" i="15"/>
  <c r="Q40" i="15"/>
  <c r="Q41" i="15"/>
  <c r="Q42" i="15"/>
  <c r="Q43" i="15"/>
  <c r="Q44" i="15"/>
  <c r="Q48" i="15"/>
  <c r="Q49" i="15"/>
  <c r="M39" i="15"/>
  <c r="M40" i="15"/>
  <c r="M41" i="15"/>
  <c r="M42" i="15"/>
  <c r="M43" i="15"/>
  <c r="M44" i="15"/>
  <c r="M48" i="15"/>
  <c r="M49" i="15"/>
  <c r="U50" i="15"/>
  <c r="U49" i="15"/>
  <c r="T39" i="15"/>
  <c r="T40" i="15"/>
  <c r="T41" i="15"/>
  <c r="T42" i="15"/>
  <c r="T43" i="15"/>
  <c r="T44" i="15"/>
  <c r="T48" i="15"/>
  <c r="T49" i="15"/>
  <c r="U39" i="14"/>
  <c r="M39" i="14"/>
  <c r="M40" i="14"/>
  <c r="M41" i="14"/>
  <c r="M42" i="14"/>
  <c r="M43" i="14"/>
  <c r="M44" i="14"/>
  <c r="M48" i="14"/>
  <c r="M49" i="14"/>
  <c r="U50" i="14"/>
  <c r="Q39" i="14"/>
  <c r="Q40" i="14"/>
  <c r="Q41" i="14"/>
  <c r="Q42" i="14"/>
  <c r="Q43" i="14"/>
  <c r="Q44" i="14"/>
  <c r="Q48" i="14"/>
  <c r="Q49" i="14"/>
  <c r="U48" i="14"/>
  <c r="N39" i="14"/>
  <c r="N40" i="14"/>
  <c r="N41" i="14"/>
  <c r="N42" i="14"/>
  <c r="N43" i="14"/>
  <c r="N44" i="14"/>
  <c r="N48" i="14"/>
  <c r="N49" i="14"/>
  <c r="U44" i="14"/>
  <c r="O39" i="14"/>
  <c r="O40" i="14"/>
  <c r="O41" i="14"/>
  <c r="O42" i="14"/>
  <c r="O43" i="14"/>
  <c r="O44" i="14"/>
  <c r="O48" i="14"/>
  <c r="O49" i="14"/>
  <c r="U49" i="14"/>
  <c r="U39" i="13"/>
  <c r="U48" i="13"/>
  <c r="O39" i="13"/>
  <c r="O40" i="13"/>
  <c r="O41" i="13"/>
  <c r="O42" i="13"/>
  <c r="O43" i="13"/>
  <c r="O44" i="13"/>
  <c r="O48" i="13"/>
  <c r="O49" i="13"/>
  <c r="S39" i="13"/>
  <c r="S40" i="13"/>
  <c r="S41" i="13"/>
  <c r="S42" i="13"/>
  <c r="S43" i="13"/>
  <c r="S44" i="13"/>
  <c r="S48" i="13"/>
  <c r="S49" i="13"/>
  <c r="O50" i="13"/>
  <c r="U42" i="13"/>
  <c r="U49" i="12"/>
  <c r="U41" i="12"/>
  <c r="N39" i="12"/>
  <c r="N40" i="12"/>
  <c r="N41" i="12"/>
  <c r="N42" i="12"/>
  <c r="N43" i="12"/>
  <c r="N44" i="12"/>
  <c r="N48" i="12"/>
  <c r="N49" i="12"/>
  <c r="U48" i="12"/>
  <c r="Q39" i="12"/>
  <c r="Q40" i="12"/>
  <c r="Q41" i="12"/>
  <c r="Q42" i="12"/>
  <c r="Q43" i="12"/>
  <c r="Q44" i="12"/>
  <c r="Q48" i="12"/>
  <c r="Q49" i="12"/>
  <c r="U40" i="12"/>
  <c r="P39" i="12"/>
  <c r="P40" i="12"/>
  <c r="P41" i="12"/>
  <c r="P42" i="12"/>
  <c r="P43" i="12"/>
  <c r="P44" i="12"/>
  <c r="P48" i="12"/>
  <c r="P49" i="12"/>
  <c r="M39" i="12"/>
  <c r="M40" i="12"/>
  <c r="M41" i="12"/>
  <c r="M42" i="12"/>
  <c r="M43" i="12"/>
  <c r="M44" i="12"/>
  <c r="M48" i="12"/>
  <c r="M49" i="12"/>
  <c r="U50" i="12"/>
  <c r="T39" i="12"/>
  <c r="T40" i="12"/>
  <c r="T41" i="12"/>
  <c r="T42" i="12"/>
  <c r="T43" i="12"/>
  <c r="T44" i="12"/>
  <c r="T48" i="12"/>
  <c r="T49" i="12"/>
  <c r="U41" i="11"/>
  <c r="S39" i="18"/>
  <c r="AD39" i="18" s="1"/>
  <c r="O39" i="11"/>
  <c r="O40" i="11"/>
  <c r="O41" i="11"/>
  <c r="O42" i="11"/>
  <c r="O43" i="11"/>
  <c r="O44" i="11"/>
  <c r="O48" i="11"/>
  <c r="O49" i="11"/>
  <c r="N39" i="11"/>
  <c r="N40" i="11"/>
  <c r="N41" i="11"/>
  <c r="N42" i="11"/>
  <c r="N43" i="11"/>
  <c r="N44" i="11"/>
  <c r="N48" i="11"/>
  <c r="N49" i="11"/>
  <c r="O50" i="18"/>
  <c r="Z50" i="18" s="1"/>
  <c r="R39" i="11"/>
  <c r="R40" i="11"/>
  <c r="R41" i="11"/>
  <c r="R42" i="11"/>
  <c r="R43" i="11"/>
  <c r="R44" i="11"/>
  <c r="R48" i="11"/>
  <c r="R49" i="11"/>
  <c r="N50" i="11"/>
  <c r="U44" i="11"/>
  <c r="U48" i="11"/>
  <c r="S39" i="11"/>
  <c r="S40" i="11"/>
  <c r="S41" i="11"/>
  <c r="S42" i="11"/>
  <c r="S43" i="11"/>
  <c r="S44" i="11"/>
  <c r="S48" i="11"/>
  <c r="S49" i="11"/>
  <c r="P50" i="11"/>
  <c r="M50" i="11"/>
  <c r="U40" i="17"/>
  <c r="T50" i="17"/>
  <c r="P50" i="17"/>
  <c r="U43" i="16"/>
  <c r="N50" i="16"/>
  <c r="Q50" i="16"/>
  <c r="R50" i="16"/>
  <c r="M50" i="16"/>
  <c r="U43" i="15"/>
  <c r="N50" i="15"/>
  <c r="Q50" i="15"/>
  <c r="R50" i="15"/>
  <c r="M50" i="15"/>
  <c r="P50" i="14"/>
  <c r="Q50" i="14"/>
  <c r="P39" i="14"/>
  <c r="T39" i="14"/>
  <c r="P40" i="14"/>
  <c r="T40" i="14"/>
  <c r="P41" i="14"/>
  <c r="T41" i="14"/>
  <c r="P42" i="14"/>
  <c r="T42" i="14"/>
  <c r="P43" i="14"/>
  <c r="T43" i="14"/>
  <c r="P44" i="14"/>
  <c r="T44" i="14"/>
  <c r="P48" i="14"/>
  <c r="T48" i="14"/>
  <c r="P49" i="14"/>
  <c r="T49" i="14"/>
  <c r="U40" i="14"/>
  <c r="T50" i="14"/>
  <c r="O50" i="14"/>
  <c r="M50" i="13"/>
  <c r="R50" i="13"/>
  <c r="P39" i="13"/>
  <c r="T39" i="13"/>
  <c r="P40" i="13"/>
  <c r="T40" i="13"/>
  <c r="P41" i="13"/>
  <c r="T41" i="13"/>
  <c r="P42" i="13"/>
  <c r="T42" i="13"/>
  <c r="P43" i="13"/>
  <c r="T43" i="13"/>
  <c r="P44" i="13"/>
  <c r="T44" i="13"/>
  <c r="P48" i="13"/>
  <c r="T48" i="13"/>
  <c r="P49" i="13"/>
  <c r="T49" i="13"/>
  <c r="Q50" i="13"/>
  <c r="U43" i="13"/>
  <c r="N50" i="13"/>
  <c r="N39" i="13"/>
  <c r="R39" i="13"/>
  <c r="N40" i="13"/>
  <c r="R40" i="13"/>
  <c r="N41" i="13"/>
  <c r="R41" i="13"/>
  <c r="N42" i="13"/>
  <c r="R42" i="13"/>
  <c r="N43" i="13"/>
  <c r="R43" i="13"/>
  <c r="N44" i="13"/>
  <c r="R44" i="13"/>
  <c r="N48" i="13"/>
  <c r="R48" i="13"/>
  <c r="N49" i="13"/>
  <c r="R49" i="13"/>
  <c r="M39" i="13"/>
  <c r="Q39" i="13"/>
  <c r="M40" i="13"/>
  <c r="Q40" i="13"/>
  <c r="M41" i="13"/>
  <c r="Q41" i="13"/>
  <c r="M42" i="13"/>
  <c r="Q42" i="13"/>
  <c r="M43" i="13"/>
  <c r="Q43" i="13"/>
  <c r="M44" i="13"/>
  <c r="Q44" i="13"/>
  <c r="M48" i="13"/>
  <c r="Q48" i="13"/>
  <c r="M49" i="13"/>
  <c r="Q49" i="13"/>
  <c r="U50" i="13"/>
  <c r="U43" i="12"/>
  <c r="N50" i="12"/>
  <c r="Q50" i="12"/>
  <c r="R50" i="12"/>
  <c r="M50" i="12"/>
  <c r="P39" i="11"/>
  <c r="T39" i="11"/>
  <c r="P40" i="11"/>
  <c r="T40" i="11"/>
  <c r="P41" i="11"/>
  <c r="T41" i="11"/>
  <c r="P42" i="11"/>
  <c r="T42" i="11"/>
  <c r="P43" i="11"/>
  <c r="T43" i="11"/>
  <c r="P44" i="11"/>
  <c r="T44" i="11"/>
  <c r="P48" i="11"/>
  <c r="T48" i="11"/>
  <c r="P49" i="11"/>
  <c r="T49" i="11"/>
  <c r="U42" i="11"/>
  <c r="T50" i="11"/>
  <c r="Q50" i="11"/>
  <c r="AA12" i="18" l="1"/>
  <c r="AA6" i="18"/>
  <c r="AA7" i="18"/>
  <c r="AA5" i="18"/>
  <c r="AA10" i="18"/>
  <c r="AA9" i="18"/>
  <c r="AA11" i="18"/>
  <c r="AA8" i="18"/>
  <c r="Z12" i="18"/>
  <c r="Z7" i="18"/>
  <c r="Z6" i="18"/>
  <c r="Z9" i="18"/>
  <c r="Z5" i="18"/>
  <c r="Z11" i="18"/>
  <c r="Z10" i="18"/>
  <c r="Z8" i="18"/>
  <c r="U43" i="18"/>
  <c r="AF43" i="18" s="1"/>
  <c r="U46" i="18"/>
  <c r="AF46" i="18" s="1"/>
  <c r="U50" i="18"/>
  <c r="AF50" i="18" s="1"/>
  <c r="U47" i="18"/>
  <c r="AF47" i="18" s="1"/>
  <c r="U45" i="18"/>
  <c r="AF45" i="18" s="1"/>
  <c r="M50" i="18"/>
  <c r="X50" i="18" s="1"/>
  <c r="T42" i="18"/>
  <c r="AE42" i="18" s="1"/>
  <c r="N41" i="18"/>
  <c r="Y41" i="18" s="1"/>
  <c r="T50" i="18"/>
  <c r="AE50" i="18" s="1"/>
  <c r="U40" i="18"/>
  <c r="AF40" i="18" s="1"/>
  <c r="U41" i="18"/>
  <c r="AF41" i="18" s="1"/>
  <c r="T43" i="18"/>
  <c r="AE43" i="18" s="1"/>
  <c r="M40" i="18"/>
  <c r="X40" i="18" s="1"/>
  <c r="T41" i="18"/>
  <c r="AE41" i="18" s="1"/>
  <c r="M39" i="18"/>
  <c r="X39" i="18" s="1"/>
  <c r="U39" i="18"/>
  <c r="AF39" i="18" s="1"/>
  <c r="T48" i="18"/>
  <c r="AE48" i="18" s="1"/>
  <c r="O40" i="18"/>
  <c r="Z40" i="18" s="1"/>
  <c r="T39" i="18"/>
  <c r="AE39" i="18" s="1"/>
  <c r="M48" i="18"/>
  <c r="X48" i="18" s="1"/>
  <c r="U42" i="18"/>
  <c r="AF42" i="18" s="1"/>
  <c r="Q48" i="18"/>
  <c r="AB48" i="18" s="1"/>
  <c r="Q49" i="18"/>
  <c r="AB49" i="18" s="1"/>
  <c r="S49" i="18"/>
  <c r="AD49" i="18" s="1"/>
  <c r="U49" i="18"/>
  <c r="AF49" i="18" s="1"/>
  <c r="T44" i="18"/>
  <c r="AE44" i="18" s="1"/>
  <c r="T49" i="18"/>
  <c r="AE49" i="18" s="1"/>
  <c r="N42" i="18"/>
  <c r="Y42" i="18" s="1"/>
  <c r="N43" i="18"/>
  <c r="Y43" i="18" s="1"/>
  <c r="Q39" i="18"/>
  <c r="AB39" i="18" s="1"/>
  <c r="M41" i="18"/>
  <c r="X41" i="18" s="1"/>
  <c r="T40" i="18"/>
  <c r="AE40" i="18" s="1"/>
  <c r="U48" i="18"/>
  <c r="AF48" i="18" s="1"/>
  <c r="U44" i="18"/>
  <c r="AF44" i="18" s="1"/>
  <c r="M43" i="18"/>
  <c r="X43" i="18" s="1"/>
  <c r="Q42" i="18"/>
  <c r="AB42" i="18" s="1"/>
  <c r="S40" i="18"/>
  <c r="AD40" i="18" s="1"/>
  <c r="N49" i="18"/>
  <c r="Y49" i="18" s="1"/>
  <c r="N40" i="18"/>
  <c r="Y40" i="18" s="1"/>
  <c r="R48" i="18"/>
  <c r="AC48" i="18" s="1"/>
  <c r="R39" i="18"/>
  <c r="AC39" i="18" s="1"/>
  <c r="S43" i="18"/>
  <c r="AD43" i="18" s="1"/>
  <c r="N50" i="18"/>
  <c r="Y50" i="18" s="1"/>
  <c r="O48" i="18"/>
  <c r="Z48" i="18" s="1"/>
  <c r="S50" i="18"/>
  <c r="AD50" i="18" s="1"/>
  <c r="R40" i="18"/>
  <c r="AC40" i="18" s="1"/>
  <c r="S44" i="18"/>
  <c r="AD44" i="18" s="1"/>
  <c r="R50" i="18"/>
  <c r="AC50" i="18" s="1"/>
  <c r="O39" i="18"/>
  <c r="Z39" i="18" s="1"/>
  <c r="Q43" i="18"/>
  <c r="AB43" i="18" s="1"/>
  <c r="N44" i="18"/>
  <c r="Y44" i="18" s="1"/>
  <c r="R41" i="18"/>
  <c r="AC41" i="18" s="1"/>
  <c r="S42" i="18"/>
  <c r="AD42" i="18" s="1"/>
  <c r="M44" i="18"/>
  <c r="X44" i="18" s="1"/>
  <c r="N48" i="18"/>
  <c r="Y48" i="18" s="1"/>
  <c r="N39" i="18"/>
  <c r="Y39" i="18" s="1"/>
  <c r="Q40" i="18"/>
  <c r="AB40" i="18" s="1"/>
  <c r="M49" i="18"/>
  <c r="X49" i="18" s="1"/>
  <c r="S41" i="18"/>
  <c r="AD41" i="18" s="1"/>
  <c r="R49" i="18"/>
  <c r="AC49" i="18" s="1"/>
  <c r="R42" i="18"/>
  <c r="AC42" i="18" s="1"/>
  <c r="O49" i="18"/>
  <c r="Z49" i="18" s="1"/>
  <c r="O42" i="18"/>
  <c r="Z42" i="18" s="1"/>
  <c r="R43" i="18"/>
  <c r="AC43" i="18" s="1"/>
  <c r="S48" i="18"/>
  <c r="AD48" i="18" s="1"/>
  <c r="O43" i="18"/>
  <c r="Z43" i="18" s="1"/>
  <c r="Q44" i="18"/>
  <c r="AB44" i="18" s="1"/>
  <c r="Q41" i="18"/>
  <c r="AB41" i="18" s="1"/>
  <c r="Q50" i="18"/>
  <c r="AB50" i="18" s="1"/>
  <c r="R44" i="18"/>
  <c r="AC44" i="18" s="1"/>
  <c r="M42" i="18"/>
  <c r="X42" i="18" s="1"/>
  <c r="O44" i="18"/>
  <c r="Z44" i="18" s="1"/>
  <c r="O41" i="18"/>
  <c r="Z41" i="18" s="1"/>
</calcChain>
</file>

<file path=xl/sharedStrings.xml><?xml version="1.0" encoding="utf-8"?>
<sst xmlns="http://schemas.openxmlformats.org/spreadsheetml/2006/main" count="1135" uniqueCount="76">
  <si>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</si>
  <si>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</si>
  <si>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</si>
  <si>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</si>
  <si>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</si>
  <si>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</si>
  <si>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</si>
  <si>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</si>
  <si>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</si>
  <si>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</si>
  <si>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</si>
  <si>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</si>
  <si>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</si>
  <si>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</si>
  <si>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</si>
  <si>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</si>
  <si>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</si>
  <si>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</si>
  <si>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</si>
  <si>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</si>
  <si>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</si>
  <si>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</si>
  <si>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</si>
  <si>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</si>
  <si>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</si>
  <si>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</si>
  <si>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</si>
  <si>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</si>
  <si>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</si>
  <si>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</si>
  <si>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</si>
  <si>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</si>
  <si>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</si>
  <si>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</si>
  <si>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</si>
  <si>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</si>
  <si>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</si>
  <si>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</si>
  <si>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</si>
  <si>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</si>
  <si>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</si>
  <si>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</si>
  <si>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</si>
  <si>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</si>
  <si>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</si>
  <si>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</si>
  <si>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</si>
  <si>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</si>
  <si>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</si>
  <si>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</si>
  <si>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</si>
  <si>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</si>
  <si>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</si>
  <si>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</si>
  <si>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</si>
  <si>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</si>
  <si>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</si>
  <si>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</si>
  <si>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</si>
  <si>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</si>
  <si>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Purpose</t>
  </si>
  <si>
    <t>Work</t>
  </si>
  <si>
    <t>School</t>
  </si>
  <si>
    <t>Escort</t>
  </si>
  <si>
    <t>Personal Business</t>
  </si>
  <si>
    <t>Shop</t>
  </si>
  <si>
    <t>Meal</t>
  </si>
  <si>
    <t>Social Recreation</t>
  </si>
  <si>
    <t>Workbased</t>
  </si>
  <si>
    <t>WalkTrn%</t>
  </si>
  <si>
    <t>DriveTrn%</t>
  </si>
  <si>
    <t>Survey</t>
  </si>
  <si>
    <t>DaySim</t>
  </si>
  <si>
    <t>Transit</t>
  </si>
  <si>
    <t>Count</t>
  </si>
  <si>
    <t>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</si>
</sst>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2" fillId="0" borderId="0">
      <alignment wrapText="1"/>
    </xf>
    <xf numFmtId="0" fontId="5" fillId="5" borderId="0">
      <alignment wrapText="1"/>
    </xf>
    <xf numFmtId="165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5" fontId="5" fillId="0" borderId="0">
      <alignment wrapText="1"/>
    </xf>
    <xf numFmtId="9" fontId="5" fillId="0" borderId="0" applyFont="0" applyFill="0" applyBorder="0" applyAlignment="0" applyProtection="0"/>
  </cellStyleXfs>
  <cellXfs count="42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0" fillId="0" borderId="2" xfId="0" applyBorder="1"/>
    <xf numFmtId="0" fontId="0" fillId="0" borderId="2" xfId="0" applyBorder="1" applyAlignment="1">
      <alignment horizontal="center"/>
    </xf>
    <xf numFmtId="3" fontId="0" fillId="0" borderId="0" xfId="0" applyNumberFormat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2" xfId="0" applyNumberFormat="1" applyBorder="1"/>
    <xf numFmtId="0" fontId="0" fillId="0" borderId="0" xfId="0" applyBorder="1" applyAlignment="1">
      <alignment horizontal="center"/>
    </xf>
    <xf numFmtId="0" fontId="0" fillId="0" borderId="3" xfId="0" applyFill="1" applyBorder="1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3" fontId="0" fillId="0" borderId="3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3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4" borderId="0" xfId="0" applyFill="1"/>
    <xf numFmtId="3" fontId="0" fillId="4" borderId="1" xfId="0" applyNumberFormat="1" applyFill="1" applyBorder="1"/>
    <xf numFmtId="164" fontId="0" fillId="4" borderId="3" xfId="0" applyNumberFormat="1" applyFill="1" applyBorder="1"/>
    <xf numFmtId="0" fontId="4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8" applyNumberFormat="1" applyFont="1"/>
    <xf numFmtId="10" fontId="0" fillId="0" borderId="0" xfId="8" applyNumberFormat="1" applyFont="1"/>
    <xf numFmtId="0" fontId="0" fillId="0" borderId="0" xfId="0" applyAlignment="1">
      <alignment horizontal="center"/>
    </xf>
    <xf numFmtId="0" fontId="1" fillId="0" borderId="2" xfId="0" applyFont="1" applyBorder="1"/>
    <xf numFmtId="0" fontId="1" fillId="0" borderId="4" xfId="0" applyFont="1" applyBorder="1"/>
    <xf numFmtId="164" fontId="1" fillId="0" borderId="4" xfId="0" applyNumberFormat="1" applyFont="1" applyBorder="1"/>
    <xf numFmtId="0" fontId="0" fillId="0" borderId="5" xfId="0" applyBorder="1"/>
    <xf numFmtId="0" fontId="1" fillId="0" borderId="5" xfId="0" applyFont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9">
    <cellStyle name="Normal" xfId="0" builtinId="0"/>
    <cellStyle name="Percent" xfId="8" builtinId="5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Purposes'!$X$4</c:f>
              <c:strCache>
                <c:ptCount val="1"/>
                <c:pt idx="0">
                  <c:v>Survey</c:v>
                </c:pt>
              </c:strCache>
            </c:strRef>
          </c:tx>
          <c:invertIfNegative val="0"/>
          <c:cat>
            <c:strRef>
              <c:f>'All Purposes'!$W$5:$W$11</c:f>
              <c:strCache>
                <c:ptCount val="7"/>
                <c:pt idx="0">
                  <c:v>DA</c:v>
                </c:pt>
                <c:pt idx="1">
                  <c:v>SR2</c:v>
                </c:pt>
                <c:pt idx="2">
                  <c:v>SR3</c:v>
                </c:pt>
                <c:pt idx="3">
                  <c:v>Transit</c:v>
                </c:pt>
                <c:pt idx="4">
                  <c:v>School Bus</c:v>
                </c:pt>
                <c:pt idx="5">
                  <c:v>Bike</c:v>
                </c:pt>
                <c:pt idx="6">
                  <c:v>Walk</c:v>
                </c:pt>
              </c:strCache>
            </c:strRef>
          </c:cat>
          <c:val>
            <c:numRef>
              <c:f>'All Purposes'!$Z$5:$Z$11</c:f>
              <c:numCache>
                <c:formatCode>0.0%</c:formatCode>
                <c:ptCount val="7"/>
                <c:pt idx="0">
                  <c:v>0.50730017023591401</c:v>
                </c:pt>
                <c:pt idx="1">
                  <c:v>0.248391070993182</c:v>
                </c:pt>
                <c:pt idx="2">
                  <c:v>0.15482997271616661</c:v>
                </c:pt>
                <c:pt idx="3">
                  <c:v>1.2630635038482683E-2</c:v>
                </c:pt>
                <c:pt idx="4">
                  <c:v>3.2932763304634793E-2</c:v>
                </c:pt>
                <c:pt idx="5">
                  <c:v>4.6680986042459665E-3</c:v>
                </c:pt>
                <c:pt idx="6">
                  <c:v>3.9247289107374073E-2</c:v>
                </c:pt>
              </c:numCache>
            </c:numRef>
          </c:val>
        </c:ser>
        <c:ser>
          <c:idx val="1"/>
          <c:order val="1"/>
          <c:tx>
            <c:strRef>
              <c:f>'All Purposes'!$Y$4</c:f>
              <c:strCache>
                <c:ptCount val="1"/>
                <c:pt idx="0">
                  <c:v>DaySim</c:v>
                </c:pt>
              </c:strCache>
            </c:strRef>
          </c:tx>
          <c:invertIfNegative val="0"/>
          <c:cat>
            <c:strRef>
              <c:f>'All Purposes'!$W$5:$W$11</c:f>
              <c:strCache>
                <c:ptCount val="7"/>
                <c:pt idx="0">
                  <c:v>DA</c:v>
                </c:pt>
                <c:pt idx="1">
                  <c:v>SR2</c:v>
                </c:pt>
                <c:pt idx="2">
                  <c:v>SR3</c:v>
                </c:pt>
                <c:pt idx="3">
                  <c:v>Transit</c:v>
                </c:pt>
                <c:pt idx="4">
                  <c:v>School Bus</c:v>
                </c:pt>
                <c:pt idx="5">
                  <c:v>Bike</c:v>
                </c:pt>
                <c:pt idx="6">
                  <c:v>Walk</c:v>
                </c:pt>
              </c:strCache>
            </c:strRef>
          </c:cat>
          <c:val>
            <c:numRef>
              <c:f>'All Purposes'!$AA$5:$AA$11</c:f>
              <c:numCache>
                <c:formatCode>0.0%</c:formatCode>
                <c:ptCount val="7"/>
                <c:pt idx="0">
                  <c:v>0.50615571513695701</c:v>
                </c:pt>
                <c:pt idx="1">
                  <c:v>0.25786881308411003</c:v>
                </c:pt>
                <c:pt idx="2">
                  <c:v>0.15185622334199816</c:v>
                </c:pt>
                <c:pt idx="3">
                  <c:v>5.0506534273060018E-3</c:v>
                </c:pt>
                <c:pt idx="4">
                  <c:v>3.2347191438849773E-2</c:v>
                </c:pt>
                <c:pt idx="5">
                  <c:v>7.9927751054209815E-3</c:v>
                </c:pt>
                <c:pt idx="6">
                  <c:v>3.8728628465358024E-2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05664"/>
        <c:axId val="130548864"/>
      </c:barChart>
      <c:catAx>
        <c:axId val="86705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30548864"/>
        <c:crosses val="autoZero"/>
        <c:auto val="1"/>
        <c:lblAlgn val="ctr"/>
        <c:lblOffset val="100"/>
        <c:noMultiLvlLbl val="0"/>
      </c:catAx>
      <c:valAx>
        <c:axId val="13054886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86705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12</xdr:row>
      <xdr:rowOff>185736</xdr:rowOff>
    </xdr:from>
    <xdr:to>
      <xdr:col>22</xdr:col>
      <xdr:colOff>704850</xdr:colOff>
      <xdr:row>27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G50"/>
  <sheetViews>
    <sheetView tabSelected="1" topLeftCell="K1" workbookViewId="0">
      <selection activeCell="AA11" sqref="AA1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r="2" spans="1:27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7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  <c r="X3" s="35" t="s">
        <v>74</v>
      </c>
      <c r="Y3" s="35"/>
      <c r="Z3" s="35" t="s">
        <v>75</v>
      </c>
      <c r="AA3" s="35"/>
    </row>
    <row r="4" spans="1:27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  <c r="X4" s="41" t="s">
        <v>71</v>
      </c>
      <c r="Y4" s="41" t="s">
        <v>72</v>
      </c>
      <c r="Z4" s="41" t="s">
        <v>71</v>
      </c>
      <c r="AA4" s="41" t="s">
        <v>72</v>
      </c>
    </row>
    <row r="5" spans="1:27" x14ac:dyDescent="0.25">
      <c r="A5" t="s">
        <v>1</v>
      </c>
      <c r="B5" s="6">
        <f>SUM(Work!B5,Workbased!B5,School!B5,Escort!B5,Personal_Business!B5,Shop!B5,Meal!B5,SocRec!B5)</f>
        <v>1833526.3010796057</v>
      </c>
      <c r="C5" s="6">
        <f>SUM(Work!C5,Workbased!C5,School!C5,Escort!C5,Personal_Business!C5,Shop!C5,Meal!C5,SocRec!C5)</f>
        <v>326475.27412683284</v>
      </c>
      <c r="D5" s="6">
        <f>SUM(Work!D5,Workbased!D5,School!D5,Escort!D5,Personal_Business!D5,Shop!D5,Meal!D5,SocRec!D5)</f>
        <v>129070.96902446522</v>
      </c>
      <c r="E5" s="6">
        <f>SUM(Work!E5,Workbased!E5,School!E5,Escort!E5,Personal_Business!E5,Shop!E5,Meal!E5,SocRec!E5)</f>
        <v>14125.931329615074</v>
      </c>
      <c r="F5" s="6">
        <f>SUM(Work!F5,Workbased!F5,School!F5,Escort!F5,Personal_Business!F5,Shop!F5,Meal!F5,SocRec!F5)</f>
        <v>576.75549576570802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77.101102984570105</v>
      </c>
      <c r="J5" s="6">
        <f>SUM(B5:I5)</f>
        <v>2303852.3321592691</v>
      </c>
      <c r="K5" s="6"/>
      <c r="L5" t="s">
        <v>1</v>
      </c>
      <c r="M5" s="6">
        <f>SUM(Work!M5,Workbased!M5,School!M5,Escort!M5,Personal_Business!M5,Shop!M5,Meal!M5,SocRec!M5)</f>
        <v>1792535</v>
      </c>
      <c r="N5" s="6">
        <f>SUM(Work!N5,Workbased!N5,School!N5,Escort!N5,Personal_Business!N5,Shop!N5,Meal!N5,SocRec!N5)</f>
        <v>336253</v>
      </c>
      <c r="O5" s="6">
        <f>SUM(Work!O5,Workbased!O5,School!O5,Escort!O5,Personal_Business!O5,Shop!O5,Meal!O5,SocRec!O5)</f>
        <v>123076</v>
      </c>
      <c r="P5" s="6">
        <f>SUM(Work!P5,Workbased!P5,School!P5,Escort!P5,Personal_Business!P5,Shop!P5,Meal!P5,SocRec!P5)</f>
        <v>3785</v>
      </c>
      <c r="Q5" s="6">
        <f>SUM(Work!Q5,Workbased!Q5,School!Q5,Escort!Q5,Personal_Business!Q5,Shop!Q5,Meal!Q5,SocRec!Q5)</f>
        <v>411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902</v>
      </c>
      <c r="U5" s="6">
        <f t="shared" ref="U5:U15" si="0">SUM(M5:T5)</f>
        <v>2256962</v>
      </c>
      <c r="W5" t="s">
        <v>11</v>
      </c>
      <c r="X5" s="6">
        <f>J5</f>
        <v>2303852.3321592691</v>
      </c>
      <c r="Y5" s="6">
        <f>U5</f>
        <v>2256962</v>
      </c>
      <c r="Z5" s="33">
        <f>X5/X$12</f>
        <v>0.50730017023591401</v>
      </c>
      <c r="AA5" s="33">
        <f>Y5/Y$12</f>
        <v>0.50615571513695701</v>
      </c>
    </row>
    <row r="6" spans="1:27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933622.93973975058</v>
      </c>
      <c r="D6" s="6">
        <f>SUM(Work!D6,Workbased!D6,School!D6,Escort!D6,Personal_Business!D6,Shop!D6,Meal!D6,SocRec!D6)</f>
        <v>166227.27115377336</v>
      </c>
      <c r="E6" s="6">
        <f>SUM(Work!E6,Workbased!E6,School!E6,Escort!E6,Personal_Business!E6,Shop!E6,Meal!E6,SocRec!E6)</f>
        <v>4106.1785029288385</v>
      </c>
      <c r="F6" s="6">
        <f>SUM(Work!F6,Workbased!F6,School!F6,Escort!F6,Personal_Business!F6,Shop!F6,Meal!F6,SocRec!F6)</f>
        <v>2554.5177853221571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21531.97900345895</v>
      </c>
      <c r="J6" s="6">
        <f t="shared" ref="J6:J15" si="1">SUM(B6:I6)</f>
        <v>1128042.8861852339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963093</v>
      </c>
      <c r="O6" s="6">
        <f>SUM(Work!O6,Workbased!O6,School!O6,Escort!O6,Personal_Business!O6,Shop!O6,Meal!O6,SocRec!O6)</f>
        <v>162215</v>
      </c>
      <c r="P6" s="6">
        <f>SUM(Work!P6,Workbased!P6,School!P6,Escort!P6,Personal_Business!P6,Shop!P6,Meal!P6,SocRec!P6)</f>
        <v>204</v>
      </c>
      <c r="Q6" s="6">
        <f>SUM(Work!Q6,Workbased!Q6,School!Q6,Escort!Q6,Personal_Business!Q6,Shop!Q6,Meal!Q6,SocRec!Q6)</f>
        <v>1585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22747</v>
      </c>
      <c r="U6" s="6">
        <f t="shared" si="0"/>
        <v>1149844</v>
      </c>
      <c r="W6" t="s">
        <v>12</v>
      </c>
      <c r="X6" s="6">
        <f t="shared" ref="X6:X7" si="2">J6</f>
        <v>1128042.8861852339</v>
      </c>
      <c r="Y6" s="6">
        <f t="shared" ref="Y6:Y7" si="3">U6</f>
        <v>1149844</v>
      </c>
      <c r="Z6" s="33">
        <f t="shared" ref="Z6:AA12" si="4">X6/X$12</f>
        <v>0.248391070993182</v>
      </c>
      <c r="AA6" s="33">
        <f t="shared" si="4"/>
        <v>0.25786881308411003</v>
      </c>
    </row>
    <row r="7" spans="1:27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677002.12177907291</v>
      </c>
      <c r="E7" s="6">
        <f>SUM(Work!E7,Workbased!E7,School!E7,Escort!E7,Personal_Business!E7,Shop!E7,Meal!E7,SocRec!E7)</f>
        <v>1198.0488384542821</v>
      </c>
      <c r="F7" s="6">
        <f>SUM(Work!F7,Workbased!F7,School!F7,Escort!F7,Personal_Business!F7,Shop!F7,Meal!F7,SocRec!F7)</f>
        <v>3011.6537924629483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21932.811958680482</v>
      </c>
      <c r="J7" s="6">
        <f t="shared" si="1"/>
        <v>703144.63636867062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652474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389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24268</v>
      </c>
      <c r="U7" s="6">
        <f t="shared" si="0"/>
        <v>677131</v>
      </c>
      <c r="W7" t="s">
        <v>56</v>
      </c>
      <c r="X7" s="6">
        <f t="shared" si="2"/>
        <v>703144.63636867062</v>
      </c>
      <c r="Y7" s="6">
        <f t="shared" si="3"/>
        <v>677131</v>
      </c>
      <c r="Z7" s="33">
        <f t="shared" si="4"/>
        <v>0.15482997271616661</v>
      </c>
      <c r="AA7" s="33">
        <f t="shared" si="4"/>
        <v>0.15185622334199816</v>
      </c>
    </row>
    <row r="8" spans="1:27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8314.1971751861311</v>
      </c>
      <c r="F8" s="6">
        <f>SUM(Work!F8,Workbased!F8,School!F8,Escort!F8,Personal_Business!F8,Shop!F8,Meal!F8,SocRec!F8)</f>
        <v>40457.497978214669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55.771814602786002</v>
      </c>
      <c r="J8" s="6">
        <f t="shared" si="1"/>
        <v>48827.46696800358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1571</v>
      </c>
      <c r="Q8" s="6">
        <f>SUM(Work!Q8,Workbased!Q8,School!Q8,Escort!Q8,Personal_Business!Q8,Shop!Q8,Meal!Q8,SocRec!Q8)</f>
        <v>15966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58</v>
      </c>
      <c r="U8" s="6">
        <f t="shared" si="0"/>
        <v>17595</v>
      </c>
      <c r="W8" t="s">
        <v>73</v>
      </c>
      <c r="X8" s="6">
        <f>J8+J9+J10+J11+J12</f>
        <v>57360.74950759174</v>
      </c>
      <c r="Y8" s="6">
        <f>U8+U9+U10+U11+U12</f>
        <v>22521</v>
      </c>
      <c r="Z8" s="33">
        <f t="shared" si="4"/>
        <v>1.2630635038482683E-2</v>
      </c>
      <c r="AA8" s="33">
        <f t="shared" si="4"/>
        <v>5.0506534273060018E-3</v>
      </c>
    </row>
    <row r="9" spans="1:27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t="shared" si="1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t="shared" si="0"/>
        <v>0</v>
      </c>
      <c r="W9" t="s">
        <v>24</v>
      </c>
      <c r="X9" s="6">
        <f>J13</f>
        <v>149560.80836430349</v>
      </c>
      <c r="Y9" s="6">
        <f>U13</f>
        <v>144237</v>
      </c>
      <c r="Z9" s="33">
        <f t="shared" si="4"/>
        <v>3.2932763304634793E-2</v>
      </c>
      <c r="AA9" s="33">
        <f t="shared" si="4"/>
        <v>3.2347191438849773E-2</v>
      </c>
    </row>
    <row r="10" spans="1:27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3497.4934207193542</v>
      </c>
      <c r="F10" s="6">
        <f>SUM(Work!F10,Workbased!F10,School!F10,Escort!F10,Personal_Business!F10,Shop!F10,Meal!F10,SocRec!F10)</f>
        <v>2052.4203300673948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t="shared" si="1"/>
        <v>5549.913750786749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728</v>
      </c>
      <c r="Q10" s="6">
        <f>SUM(Work!Q10,Workbased!Q10,School!Q10,Escort!Q10,Personal_Business!Q10,Shop!Q10,Meal!Q10,SocRec!Q10)</f>
        <v>1630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10</v>
      </c>
      <c r="U10" s="6">
        <f t="shared" si="0"/>
        <v>2368</v>
      </c>
      <c r="W10" t="s">
        <v>4</v>
      </c>
      <c r="X10" s="6">
        <f t="shared" ref="X10:X11" si="5">J14</f>
        <v>21199.696919360769</v>
      </c>
      <c r="Y10" s="6">
        <f t="shared" ref="Y10:Y11" si="6">U14</f>
        <v>35640</v>
      </c>
      <c r="Z10" s="33">
        <f t="shared" si="4"/>
        <v>4.6680986042459665E-3</v>
      </c>
      <c r="AA10" s="33">
        <f t="shared" si="4"/>
        <v>7.9927751054209815E-3</v>
      </c>
    </row>
    <row r="11" spans="1:27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2868.4502628845958</v>
      </c>
      <c r="F11" s="6">
        <f>SUM(Work!F11,Workbased!F11,School!F11,Escort!F11,Personal_Business!F11,Shop!F11,Meal!F11,SocRec!F11)</f>
        <v>114.9185259168155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t="shared" si="1"/>
        <v>2983.368788801411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554</v>
      </c>
      <c r="Q11" s="6">
        <f>SUM(Work!Q11,Workbased!Q11,School!Q11,Escort!Q11,Personal_Business!Q11,Shop!Q11,Meal!Q11,SocRec!Q11)</f>
        <v>105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1</v>
      </c>
      <c r="U11" s="6">
        <f t="shared" si="0"/>
        <v>660</v>
      </c>
      <c r="W11" t="s">
        <v>5</v>
      </c>
      <c r="X11" s="6">
        <f t="shared" si="5"/>
        <v>178237.5876178084</v>
      </c>
      <c r="Y11" s="6">
        <f t="shared" si="6"/>
        <v>172692</v>
      </c>
      <c r="Z11" s="33">
        <f t="shared" si="4"/>
        <v>3.9247289107374073E-2</v>
      </c>
      <c r="AA11" s="33">
        <f t="shared" si="4"/>
        <v>3.8728628465358024E-2</v>
      </c>
    </row>
    <row r="12" spans="1:27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t="shared" si="1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443</v>
      </c>
      <c r="Q12" s="6">
        <f>SUM(Work!Q12,Workbased!Q12,School!Q12,Escort!Q12,Personal_Business!Q12,Shop!Q12,Meal!Q12,SocRec!Q12)</f>
        <v>1444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11</v>
      </c>
      <c r="U12" s="6">
        <f t="shared" si="0"/>
        <v>1898</v>
      </c>
      <c r="W12" t="s">
        <v>7</v>
      </c>
      <c r="X12" s="6">
        <f>SUM(X5:X11)</f>
        <v>4541398.6971222376</v>
      </c>
      <c r="Y12" s="6">
        <f>SUM(Y5:Y11)</f>
        <v>4459027</v>
      </c>
      <c r="Z12" s="33">
        <f t="shared" si="4"/>
        <v>1</v>
      </c>
      <c r="AA12" s="33">
        <f t="shared" si="4"/>
        <v>1</v>
      </c>
    </row>
    <row r="13" spans="1:27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149560.80836430349</v>
      </c>
      <c r="J13" s="6">
        <f t="shared" si="1"/>
        <v>149560.80836430349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144237</v>
      </c>
      <c r="U13" s="6">
        <f t="shared" si="0"/>
        <v>144237</v>
      </c>
    </row>
    <row r="14" spans="1:27" x14ac:dyDescent="0.25">
      <c r="A14" t="s">
        <v>4</v>
      </c>
      <c r="B14" s="6">
        <f>SUM(Work!B14,Workbased!B14,School!B14,Escort!B14,Personal_Business!B14,Shop!B14,Meal!B14,SocRec!B14)</f>
        <v>950.32265406620081</v>
      </c>
      <c r="C14" s="6">
        <f>SUM(Work!C14,Workbased!C14,School!C14,Escort!C14,Personal_Business!C14,Shop!C14,Meal!C14,SocRec!C14)</f>
        <v>354.52730902968301</v>
      </c>
      <c r="D14" s="6">
        <f>SUM(Work!D14,Workbased!D14,School!D14,Escort!D14,Personal_Business!D14,Shop!D14,Meal!D14,SocRec!D14)</f>
        <v>911.17727809121311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360.8765200096866</v>
      </c>
      <c r="G14" s="6">
        <f>SUM(Work!G14,Workbased!G14,School!G14,Escort!G14,Personal_Business!G14,Shop!G14,Meal!G14,SocRec!G14)</f>
        <v>18497.889657577245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124.9035005867426</v>
      </c>
      <c r="J14" s="6">
        <f t="shared" si="1"/>
        <v>21199.696919360769</v>
      </c>
      <c r="K14" s="6"/>
      <c r="L14" t="s">
        <v>4</v>
      </c>
      <c r="M14" s="6">
        <f>SUM(Work!M14,Workbased!M14,School!M14,Escort!M14,Personal_Business!M14,Shop!M14,Meal!M14,SocRec!M14)</f>
        <v>1344</v>
      </c>
      <c r="N14" s="6">
        <f>SUM(Work!N14,Workbased!N14,School!N14,Escort!N14,Personal_Business!N14,Shop!N14,Meal!N14,SocRec!N14)</f>
        <v>4620</v>
      </c>
      <c r="O14" s="6">
        <f>SUM(Work!O14,Workbased!O14,School!O14,Escort!O14,Personal_Business!O14,Shop!O14,Meal!O14,SocRec!O14)</f>
        <v>2962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501</v>
      </c>
      <c r="R14" s="6">
        <f>SUM(Work!R14,Workbased!R14,School!R14,Escort!R14,Personal_Business!R14,Shop!R14,Meal!R14,SocRec!R14)</f>
        <v>25198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1015</v>
      </c>
      <c r="U14" s="6">
        <f t="shared" si="0"/>
        <v>35640</v>
      </c>
    </row>
    <row r="15" spans="1:27" x14ac:dyDescent="0.25">
      <c r="A15" s="4" t="s">
        <v>5</v>
      </c>
      <c r="B15" s="6">
        <f>SUM(Work!B15,Workbased!B15,School!B15,Escort!B15,Personal_Business!B15,Shop!B15,Meal!B15,SocRec!B15)</f>
        <v>14376.84133972452</v>
      </c>
      <c r="C15" s="6">
        <f>SUM(Work!C15,Workbased!C15,School!C15,Escort!C15,Personal_Business!C15,Shop!C15,Meal!C15,SocRec!C15)</f>
        <v>11116.965918001419</v>
      </c>
      <c r="D15" s="6">
        <f>SUM(Work!D15,Workbased!D15,School!D15,Escort!D15,Personal_Business!D15,Shop!D15,Meal!D15,SocRec!D15)</f>
        <v>13842.718005116532</v>
      </c>
      <c r="E15" s="6">
        <f>SUM(Work!E15,Workbased!E15,School!E15,Escort!E15,Personal_Business!E15,Shop!E15,Meal!E15,SocRec!E15)</f>
        <v>354.75242346933402</v>
      </c>
      <c r="F15" s="6">
        <f>SUM(Work!F15,Workbased!F15,School!F15,Escort!F15,Personal_Business!F15,Shop!F15,Meal!F15,SocRec!F15)</f>
        <v>2866.9647392105499</v>
      </c>
      <c r="G15" s="6">
        <f>SUM(Work!G15,Workbased!G15,School!G15,Escort!G15,Personal_Business!G15,Shop!G15,Meal!G15,SocRec!G15)</f>
        <v>639.80184897910374</v>
      </c>
      <c r="H15" s="6">
        <f>SUM(Work!H15,Workbased!H15,School!H15,Escort!H15,Personal_Business!H15,Shop!H15,Meal!H15,SocRec!H15)</f>
        <v>132896.75892660167</v>
      </c>
      <c r="I15" s="6">
        <f>SUM(Work!I15,Workbased!I15,School!I15,Escort!I15,Personal_Business!I15,Shop!I15,Meal!I15,SocRec!I15)</f>
        <v>2142.7844167052895</v>
      </c>
      <c r="J15" s="6">
        <f t="shared" si="1"/>
        <v>178237.5876178084</v>
      </c>
      <c r="K15" s="6"/>
      <c r="L15" s="4" t="s">
        <v>5</v>
      </c>
      <c r="M15" s="6">
        <f>SUM(Work!M15,Workbased!M15,School!M15,Escort!M15,Personal_Business!M15,Shop!M15,Meal!M15,SocRec!M15)</f>
        <v>8190</v>
      </c>
      <c r="N15" s="6">
        <f>SUM(Work!N15,Workbased!N15,School!N15,Escort!N15,Personal_Business!N15,Shop!N15,Meal!N15,SocRec!N15)</f>
        <v>12179</v>
      </c>
      <c r="O15" s="6">
        <f>SUM(Work!O15,Workbased!O15,School!O15,Escort!O15,Personal_Business!O15,Shop!O15,Meal!O15,SocRec!O15)</f>
        <v>8323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2120</v>
      </c>
      <c r="R15" s="6">
        <f>SUM(Work!R15,Workbased!R15,School!R15,Escort!R15,Personal_Business!R15,Shop!R15,Meal!R15,SocRec!R15)</f>
        <v>649</v>
      </c>
      <c r="S15" s="6">
        <f>SUM(Work!S15,Workbased!S15,School!S15,Escort!S15,Personal_Business!S15,Shop!S15,Meal!S15,SocRec!S15)</f>
        <v>136800</v>
      </c>
      <c r="T15" s="6">
        <f>SUM(Work!T15,Workbased!T15,School!T15,Escort!T15,Personal_Business!T15,Shop!T15,Meal!T15,SocRec!T15)</f>
        <v>4431</v>
      </c>
      <c r="U15" s="6">
        <f t="shared" si="0"/>
        <v>172692</v>
      </c>
    </row>
    <row r="16" spans="1:27" ht="15.75" thickBot="1" x14ac:dyDescent="0.3">
      <c r="A16" s="12" t="s">
        <v>7</v>
      </c>
      <c r="B16" s="16">
        <f t="shared" ref="B16:J16" si="7">SUM(B5:B15)</f>
        <v>1848853.4650733965</v>
      </c>
      <c r="C16" s="16">
        <f t="shared" si="7"/>
        <v>1271569.7070936146</v>
      </c>
      <c r="D16" s="16">
        <f t="shared" si="7"/>
        <v>987054.25724051928</v>
      </c>
      <c r="E16" s="16">
        <f t="shared" si="7"/>
        <v>34465.051953257607</v>
      </c>
      <c r="F16" s="16">
        <f t="shared" si="7"/>
        <v>51995.60516696993</v>
      </c>
      <c r="G16" s="16">
        <f t="shared" si="7"/>
        <v>19137.691506556348</v>
      </c>
      <c r="H16" s="16">
        <f t="shared" si="7"/>
        <v>132896.75892660167</v>
      </c>
      <c r="I16" s="16">
        <f t="shared" si="7"/>
        <v>195426.1601613223</v>
      </c>
      <c r="J16" s="16">
        <f t="shared" si="7"/>
        <v>4541398.6971222386</v>
      </c>
      <c r="L16" s="9" t="s">
        <v>7</v>
      </c>
      <c r="M16" s="16">
        <f t="shared" ref="M16:U16" si="8">SUM(M5:M15)</f>
        <v>1802069</v>
      </c>
      <c r="N16" s="16">
        <f t="shared" si="8"/>
        <v>1316145</v>
      </c>
      <c r="O16" s="16">
        <f t="shared" si="8"/>
        <v>949050</v>
      </c>
      <c r="P16" s="16">
        <f t="shared" si="8"/>
        <v>7285</v>
      </c>
      <c r="Q16" s="16">
        <f t="shared" si="8"/>
        <v>24151</v>
      </c>
      <c r="R16" s="16">
        <f t="shared" si="8"/>
        <v>25847</v>
      </c>
      <c r="S16" s="16">
        <f t="shared" si="8"/>
        <v>136800</v>
      </c>
      <c r="T16" s="16">
        <f t="shared" si="8"/>
        <v>197680</v>
      </c>
      <c r="U16" s="16">
        <f t="shared" si="8"/>
        <v>4459027</v>
      </c>
    </row>
    <row r="17" spans="1:21" x14ac:dyDescent="0.25">
      <c r="E17" s="33">
        <f>E16/J16</f>
        <v>7.5890830670949849E-3</v>
      </c>
      <c r="F17" s="33">
        <f>F16/J16</f>
        <v>1.1449249148707895E-2</v>
      </c>
      <c r="P17" s="33">
        <f>P16/U16</f>
        <v>1.6337644961557758E-3</v>
      </c>
      <c r="Q17" s="33">
        <f>Q16/U16</f>
        <v>5.4162040283676233E-3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D33" si="9">B5/B$16</f>
        <v>0.99170990871730214</v>
      </c>
      <c r="C22" s="13">
        <f t="shared" si="9"/>
        <v>0.2567498048322075</v>
      </c>
      <c r="D22" s="13">
        <f t="shared" si="9"/>
        <v>0.1307638035879663</v>
      </c>
      <c r="E22" s="13">
        <f t="shared" ref="E22:E33" si="10">IF(E$16&gt;0,E5/E$16,0)</f>
        <v>0.40986247021397287</v>
      </c>
      <c r="F22" s="13">
        <f t="shared" ref="F22:J33" si="11">F5/F$16</f>
        <v>1.1092389326244258E-2</v>
      </c>
      <c r="G22" s="13">
        <f t="shared" si="11"/>
        <v>0</v>
      </c>
      <c r="H22" s="13">
        <f t="shared" si="11"/>
        <v>0</v>
      </c>
      <c r="I22" s="13">
        <f t="shared" si="11"/>
        <v>3.9452805561406891E-4</v>
      </c>
      <c r="J22" s="13">
        <f t="shared" si="11"/>
        <v>0.50730017023591389</v>
      </c>
      <c r="K22" s="6"/>
      <c r="L22" t="s">
        <v>1</v>
      </c>
      <c r="M22" s="13">
        <f t="shared" ref="M22:P22" si="12">M5/M$16</f>
        <v>0.99470941456736672</v>
      </c>
      <c r="N22" s="13">
        <f t="shared" si="12"/>
        <v>0.25548324842627523</v>
      </c>
      <c r="O22" s="13">
        <f t="shared" si="12"/>
        <v>0.12968336757810442</v>
      </c>
      <c r="P22" s="13">
        <f t="shared" si="12"/>
        <v>0.51956074124914209</v>
      </c>
      <c r="Q22" s="13">
        <f t="shared" ref="Q22:U33" si="13">Q5/Q$16</f>
        <v>1.7017928864229225E-2</v>
      </c>
      <c r="R22" s="13">
        <f t="shared" si="13"/>
        <v>0</v>
      </c>
      <c r="S22" s="13">
        <f t="shared" si="13"/>
        <v>0</v>
      </c>
      <c r="T22" s="13">
        <f t="shared" si="13"/>
        <v>4.5629299878591663E-3</v>
      </c>
      <c r="U22" s="13">
        <f t="shared" si="13"/>
        <v>0.50615571513695701</v>
      </c>
    </row>
    <row r="23" spans="1:21" x14ac:dyDescent="0.25">
      <c r="A23" t="s">
        <v>12</v>
      </c>
      <c r="B23" s="13">
        <f t="shared" si="9"/>
        <v>0</v>
      </c>
      <c r="C23" s="13">
        <f t="shared" si="9"/>
        <v>0.73422867384415913</v>
      </c>
      <c r="D23" s="13">
        <f t="shared" si="9"/>
        <v>0.16840743042686468</v>
      </c>
      <c r="E23" s="13">
        <f t="shared" si="10"/>
        <v>0.1191403543652783</v>
      </c>
      <c r="F23" s="13">
        <f t="shared" si="11"/>
        <v>4.9129494254735742E-2</v>
      </c>
      <c r="G23" s="13">
        <f t="shared" si="11"/>
        <v>0</v>
      </c>
      <c r="H23" s="13">
        <f t="shared" si="11"/>
        <v>0</v>
      </c>
      <c r="I23" s="13">
        <f t="shared" si="11"/>
        <v>0.1101796145699456</v>
      </c>
      <c r="J23" s="13">
        <f t="shared" si="11"/>
        <v>0.24839107099318194</v>
      </c>
      <c r="K23" s="6"/>
      <c r="L23" t="s">
        <v>12</v>
      </c>
      <c r="M23" s="13">
        <f t="shared" ref="M23:P23" si="14">M6/M$16</f>
        <v>0</v>
      </c>
      <c r="N23" s="13">
        <f t="shared" si="14"/>
        <v>0.73175296035011339</v>
      </c>
      <c r="O23" s="13">
        <f t="shared" si="14"/>
        <v>0.17092355513408145</v>
      </c>
      <c r="P23" s="13">
        <f t="shared" si="14"/>
        <v>2.8002745367192862E-2</v>
      </c>
      <c r="Q23" s="13">
        <f t="shared" si="13"/>
        <v>6.5628752432611487E-2</v>
      </c>
      <c r="R23" s="13">
        <f t="shared" si="13"/>
        <v>0</v>
      </c>
      <c r="S23" s="13">
        <f t="shared" si="13"/>
        <v>0</v>
      </c>
      <c r="T23" s="13">
        <f t="shared" si="13"/>
        <v>0.11506980979360583</v>
      </c>
      <c r="U23" s="13">
        <f t="shared" si="13"/>
        <v>0.25786881308411003</v>
      </c>
    </row>
    <row r="24" spans="1:21" x14ac:dyDescent="0.25">
      <c r="A24" t="s">
        <v>56</v>
      </c>
      <c r="B24" s="13">
        <f t="shared" si="9"/>
        <v>0</v>
      </c>
      <c r="C24" s="13">
        <f t="shared" si="9"/>
        <v>0</v>
      </c>
      <c r="D24" s="13">
        <f t="shared" si="9"/>
        <v>0.68588136550036194</v>
      </c>
      <c r="E24" s="13">
        <f t="shared" si="10"/>
        <v>3.4761265994292037E-2</v>
      </c>
      <c r="F24" s="13">
        <f t="shared" si="11"/>
        <v>5.7921314364778147E-2</v>
      </c>
      <c r="G24" s="13">
        <f t="shared" si="11"/>
        <v>0</v>
      </c>
      <c r="H24" s="13">
        <f t="shared" si="11"/>
        <v>0</v>
      </c>
      <c r="I24" s="13">
        <f t="shared" si="11"/>
        <v>0.11223068570029299</v>
      </c>
      <c r="J24" s="13">
        <f t="shared" si="11"/>
        <v>0.15482997271616658</v>
      </c>
      <c r="K24" s="6"/>
      <c r="L24" t="s">
        <v>56</v>
      </c>
      <c r="M24" s="13">
        <f t="shared" ref="M24:P24" si="15">M7/M$16</f>
        <v>0</v>
      </c>
      <c r="N24" s="13">
        <f t="shared" si="15"/>
        <v>0</v>
      </c>
      <c r="O24" s="13">
        <f t="shared" si="15"/>
        <v>0.68750223908118646</v>
      </c>
      <c r="P24" s="13">
        <f t="shared" si="15"/>
        <v>0</v>
      </c>
      <c r="Q24" s="13">
        <f t="shared" si="13"/>
        <v>1.6106993499233987E-2</v>
      </c>
      <c r="R24" s="13">
        <f t="shared" si="13"/>
        <v>0</v>
      </c>
      <c r="S24" s="13">
        <f t="shared" si="13"/>
        <v>0</v>
      </c>
      <c r="T24" s="13">
        <f t="shared" si="13"/>
        <v>0.12276406313233509</v>
      </c>
      <c r="U24" s="13">
        <f t="shared" si="13"/>
        <v>0.15185622334199816</v>
      </c>
    </row>
    <row r="25" spans="1:21" x14ac:dyDescent="0.25">
      <c r="A25" t="s">
        <v>51</v>
      </c>
      <c r="B25" s="13">
        <f t="shared" si="9"/>
        <v>0</v>
      </c>
      <c r="C25" s="13">
        <f t="shared" si="9"/>
        <v>0</v>
      </c>
      <c r="D25" s="13">
        <f t="shared" si="9"/>
        <v>0</v>
      </c>
      <c r="E25" s="13">
        <f t="shared" si="10"/>
        <v>0.24123559095346961</v>
      </c>
      <c r="F25" s="13">
        <f t="shared" si="11"/>
        <v>0.77809456872934302</v>
      </c>
      <c r="G25" s="13">
        <f t="shared" si="11"/>
        <v>0</v>
      </c>
      <c r="H25" s="13">
        <f t="shared" si="11"/>
        <v>0</v>
      </c>
      <c r="I25" s="13">
        <f t="shared" si="11"/>
        <v>2.8538561345495885E-4</v>
      </c>
      <c r="J25" s="13">
        <f t="shared" si="11"/>
        <v>1.0751636274292372E-2</v>
      </c>
      <c r="K25" s="6"/>
      <c r="L25" t="s">
        <v>51</v>
      </c>
      <c r="M25" s="13">
        <f t="shared" ref="M25:P25" si="16">M8/M$16</f>
        <v>0</v>
      </c>
      <c r="N25" s="13">
        <f t="shared" si="16"/>
        <v>0</v>
      </c>
      <c r="O25" s="13">
        <f t="shared" si="16"/>
        <v>0</v>
      </c>
      <c r="P25" s="13">
        <f t="shared" si="16"/>
        <v>0.21564859299931366</v>
      </c>
      <c r="Q25" s="13">
        <f t="shared" si="13"/>
        <v>0.66109063806881707</v>
      </c>
      <c r="R25" s="13">
        <f t="shared" si="13"/>
        <v>0</v>
      </c>
      <c r="S25" s="13">
        <f t="shared" si="13"/>
        <v>0</v>
      </c>
      <c r="T25" s="13">
        <f t="shared" si="13"/>
        <v>2.9340348037231888E-4</v>
      </c>
      <c r="U25" s="13">
        <f t="shared" si="13"/>
        <v>3.9459281139136411E-3</v>
      </c>
    </row>
    <row r="26" spans="1:21" x14ac:dyDescent="0.25">
      <c r="A26" t="s">
        <v>52</v>
      </c>
      <c r="B26" s="13">
        <f t="shared" si="9"/>
        <v>0</v>
      </c>
      <c r="C26" s="13">
        <f t="shared" si="9"/>
        <v>0</v>
      </c>
      <c r="D26" s="13">
        <f t="shared" si="9"/>
        <v>0</v>
      </c>
      <c r="E26" s="13">
        <f t="shared" si="10"/>
        <v>0</v>
      </c>
      <c r="F26" s="13">
        <f t="shared" si="11"/>
        <v>0</v>
      </c>
      <c r="G26" s="13">
        <f t="shared" si="11"/>
        <v>0</v>
      </c>
      <c r="H26" s="13">
        <f t="shared" si="11"/>
        <v>0</v>
      </c>
      <c r="I26" s="13">
        <f t="shared" si="11"/>
        <v>0</v>
      </c>
      <c r="J26" s="13">
        <f t="shared" si="11"/>
        <v>0</v>
      </c>
      <c r="K26" s="6"/>
      <c r="L26" t="s">
        <v>52</v>
      </c>
      <c r="M26" s="13">
        <f t="shared" ref="M26:P26" si="17">M9/M$16</f>
        <v>0</v>
      </c>
      <c r="N26" s="13">
        <f t="shared" si="17"/>
        <v>0</v>
      </c>
      <c r="O26" s="13">
        <f t="shared" si="17"/>
        <v>0</v>
      </c>
      <c r="P26" s="13">
        <f t="shared" si="17"/>
        <v>0</v>
      </c>
      <c r="Q26" s="13">
        <f t="shared" si="13"/>
        <v>0</v>
      </c>
      <c r="R26" s="13">
        <f t="shared" si="13"/>
        <v>0</v>
      </c>
      <c r="S26" s="13">
        <f t="shared" si="13"/>
        <v>0</v>
      </c>
      <c r="T26" s="13">
        <f t="shared" si="13"/>
        <v>0</v>
      </c>
      <c r="U26" s="13">
        <f t="shared" si="13"/>
        <v>0</v>
      </c>
    </row>
    <row r="27" spans="1:21" x14ac:dyDescent="0.25">
      <c r="A27" t="s">
        <v>53</v>
      </c>
      <c r="B27" s="13">
        <f t="shared" si="9"/>
        <v>0</v>
      </c>
      <c r="C27" s="13">
        <f t="shared" si="9"/>
        <v>0</v>
      </c>
      <c r="D27" s="13">
        <f t="shared" si="9"/>
        <v>0</v>
      </c>
      <c r="E27" s="13">
        <f t="shared" si="10"/>
        <v>0.10147941820783399</v>
      </c>
      <c r="F27" s="13">
        <f t="shared" si="11"/>
        <v>3.9472957829351112E-2</v>
      </c>
      <c r="G27" s="13">
        <f t="shared" si="11"/>
        <v>0</v>
      </c>
      <c r="H27" s="13">
        <f t="shared" si="11"/>
        <v>0</v>
      </c>
      <c r="I27" s="13">
        <f t="shared" si="11"/>
        <v>0</v>
      </c>
      <c r="J27" s="13">
        <f t="shared" si="11"/>
        <v>1.2220714632044042E-3</v>
      </c>
      <c r="K27" s="6"/>
      <c r="L27" t="s">
        <v>53</v>
      </c>
      <c r="M27" s="13">
        <f t="shared" ref="M27:P27" si="18">M10/M$16</f>
        <v>0</v>
      </c>
      <c r="N27" s="13">
        <f t="shared" si="18"/>
        <v>0</v>
      </c>
      <c r="O27" s="13">
        <f t="shared" si="18"/>
        <v>0</v>
      </c>
      <c r="P27" s="13">
        <f t="shared" si="18"/>
        <v>9.9931365820178447E-2</v>
      </c>
      <c r="Q27" s="13">
        <f t="shared" si="13"/>
        <v>6.7492029315556298E-2</v>
      </c>
      <c r="R27" s="13">
        <f t="shared" si="13"/>
        <v>0</v>
      </c>
      <c r="S27" s="13">
        <f t="shared" si="13"/>
        <v>0</v>
      </c>
      <c r="T27" s="13">
        <f t="shared" si="13"/>
        <v>5.0586806960744638E-5</v>
      </c>
      <c r="U27" s="13">
        <f t="shared" si="13"/>
        <v>5.3105756031528856E-4</v>
      </c>
    </row>
    <row r="28" spans="1:21" x14ac:dyDescent="0.25">
      <c r="A28" t="s">
        <v>54</v>
      </c>
      <c r="B28" s="13">
        <f t="shared" si="9"/>
        <v>0</v>
      </c>
      <c r="C28" s="13">
        <f t="shared" si="9"/>
        <v>0</v>
      </c>
      <c r="D28" s="13">
        <f t="shared" si="9"/>
        <v>0</v>
      </c>
      <c r="E28" s="13">
        <f t="shared" si="10"/>
        <v>8.3227794543146549E-2</v>
      </c>
      <c r="F28" s="13">
        <f t="shared" si="11"/>
        <v>2.2101584460414588E-3</v>
      </c>
      <c r="G28" s="13">
        <f t="shared" si="11"/>
        <v>0</v>
      </c>
      <c r="H28" s="13">
        <f t="shared" si="11"/>
        <v>0</v>
      </c>
      <c r="I28" s="13">
        <f t="shared" si="11"/>
        <v>0</v>
      </c>
      <c r="J28" s="13">
        <f t="shared" si="11"/>
        <v>6.5692730098590359E-4</v>
      </c>
      <c r="K28" s="6"/>
      <c r="L28" t="s">
        <v>54</v>
      </c>
      <c r="M28" s="13">
        <f t="shared" ref="M28:P28" si="19">M11/M$16</f>
        <v>0</v>
      </c>
      <c r="N28" s="13">
        <f t="shared" si="19"/>
        <v>0</v>
      </c>
      <c r="O28" s="13">
        <f t="shared" si="19"/>
        <v>0</v>
      </c>
      <c r="P28" s="13">
        <f t="shared" si="19"/>
        <v>7.6046671242278652E-2</v>
      </c>
      <c r="Q28" s="13">
        <f t="shared" si="13"/>
        <v>4.3476460602045464E-3</v>
      </c>
      <c r="R28" s="13">
        <f t="shared" si="13"/>
        <v>0</v>
      </c>
      <c r="S28" s="13">
        <f t="shared" si="13"/>
        <v>0</v>
      </c>
      <c r="T28" s="13">
        <f t="shared" si="13"/>
        <v>5.0586806960744642E-6</v>
      </c>
      <c r="U28" s="13">
        <f t="shared" si="13"/>
        <v>1.4801435380409225E-4</v>
      </c>
    </row>
    <row r="29" spans="1:21" x14ac:dyDescent="0.25">
      <c r="A29" t="s">
        <v>55</v>
      </c>
      <c r="B29" s="13">
        <f t="shared" si="9"/>
        <v>0</v>
      </c>
      <c r="C29" s="13">
        <f t="shared" si="9"/>
        <v>0</v>
      </c>
      <c r="D29" s="13">
        <f t="shared" si="9"/>
        <v>0</v>
      </c>
      <c r="E29" s="13">
        <f t="shared" si="10"/>
        <v>0</v>
      </c>
      <c r="F29" s="13">
        <f t="shared" si="11"/>
        <v>0</v>
      </c>
      <c r="G29" s="13">
        <f t="shared" si="11"/>
        <v>0</v>
      </c>
      <c r="H29" s="13">
        <f t="shared" si="11"/>
        <v>0</v>
      </c>
      <c r="I29" s="13">
        <f t="shared" si="11"/>
        <v>0</v>
      </c>
      <c r="J29" s="13">
        <f t="shared" si="11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6.0809883321894305E-2</v>
      </c>
      <c r="Q29" s="13">
        <f t="shared" si="13"/>
        <v>5.9790484866051097E-2</v>
      </c>
      <c r="R29" s="13">
        <f t="shared" si="13"/>
        <v>0</v>
      </c>
      <c r="S29" s="13">
        <f t="shared" si="13"/>
        <v>0</v>
      </c>
      <c r="T29" s="13">
        <f t="shared" si="13"/>
        <v>5.5645487656819101E-5</v>
      </c>
      <c r="U29" s="13">
        <f t="shared" si="13"/>
        <v>4.2565339927298041E-4</v>
      </c>
    </row>
    <row r="30" spans="1:21" x14ac:dyDescent="0.25">
      <c r="A30" t="s">
        <v>24</v>
      </c>
      <c r="B30" s="13">
        <f t="shared" si="9"/>
        <v>0</v>
      </c>
      <c r="C30" s="13">
        <f t="shared" si="9"/>
        <v>0</v>
      </c>
      <c r="D30" s="13">
        <f t="shared" si="9"/>
        <v>0</v>
      </c>
      <c r="E30" s="13">
        <f t="shared" si="10"/>
        <v>0</v>
      </c>
      <c r="F30" s="13">
        <f t="shared" si="11"/>
        <v>0</v>
      </c>
      <c r="G30" s="13">
        <f t="shared" si="11"/>
        <v>0</v>
      </c>
      <c r="H30" s="13">
        <f t="shared" si="11"/>
        <v>0</v>
      </c>
      <c r="I30" s="13">
        <f t="shared" si="11"/>
        <v>0.76530597664530975</v>
      </c>
      <c r="J30" s="13">
        <f t="shared" si="11"/>
        <v>3.2932763304634786E-2</v>
      </c>
      <c r="K30" s="6"/>
      <c r="L30" t="s">
        <v>24</v>
      </c>
      <c r="M30" s="13">
        <f t="shared" ref="M30:P30" si="21">M13/M$16</f>
        <v>0</v>
      </c>
      <c r="N30" s="13">
        <f t="shared" si="21"/>
        <v>0</v>
      </c>
      <c r="O30" s="13">
        <f t="shared" si="21"/>
        <v>0</v>
      </c>
      <c r="P30" s="13">
        <f t="shared" si="21"/>
        <v>0</v>
      </c>
      <c r="Q30" s="13">
        <f t="shared" si="13"/>
        <v>0</v>
      </c>
      <c r="R30" s="13">
        <f t="shared" si="13"/>
        <v>0</v>
      </c>
      <c r="S30" s="13">
        <f t="shared" si="13"/>
        <v>0</v>
      </c>
      <c r="T30" s="13">
        <f t="shared" si="13"/>
        <v>0.72964892755969246</v>
      </c>
      <c r="U30" s="13">
        <f t="shared" si="13"/>
        <v>3.2347191438849773E-2</v>
      </c>
    </row>
    <row r="31" spans="1:21" x14ac:dyDescent="0.25">
      <c r="A31" t="s">
        <v>4</v>
      </c>
      <c r="B31" s="13">
        <f t="shared" si="9"/>
        <v>5.1400647591531791E-4</v>
      </c>
      <c r="C31" s="13">
        <f t="shared" si="9"/>
        <v>2.7881075418194297E-4</v>
      </c>
      <c r="D31" s="13">
        <f t="shared" si="9"/>
        <v>9.231278538208899E-4</v>
      </c>
      <c r="E31" s="13">
        <f t="shared" si="10"/>
        <v>0</v>
      </c>
      <c r="F31" s="13">
        <f t="shared" si="11"/>
        <v>6.9405196622066134E-3</v>
      </c>
      <c r="G31" s="13">
        <f t="shared" si="11"/>
        <v>0.96656849397118172</v>
      </c>
      <c r="H31" s="13">
        <f t="shared" si="11"/>
        <v>0</v>
      </c>
      <c r="I31" s="13">
        <f t="shared" si="11"/>
        <v>6.3913398535608552E-4</v>
      </c>
      <c r="J31" s="13">
        <f t="shared" si="11"/>
        <v>4.6680986042459656E-3</v>
      </c>
      <c r="K31" s="6"/>
      <c r="L31" t="s">
        <v>4</v>
      </c>
      <c r="M31" s="13">
        <f t="shared" ref="M31:P31" si="22">M14/M$16</f>
        <v>7.4580940019499807E-4</v>
      </c>
      <c r="N31" s="13">
        <f t="shared" si="22"/>
        <v>3.5102515300365843E-3</v>
      </c>
      <c r="O31" s="13">
        <f t="shared" si="22"/>
        <v>3.1210157525947001E-3</v>
      </c>
      <c r="P31" s="13">
        <f t="shared" si="22"/>
        <v>0</v>
      </c>
      <c r="Q31" s="13">
        <f t="shared" si="13"/>
        <v>2.0744482630118837E-2</v>
      </c>
      <c r="R31" s="13">
        <f t="shared" si="13"/>
        <v>0.97489070298293801</v>
      </c>
      <c r="S31" s="13">
        <f t="shared" si="13"/>
        <v>0</v>
      </c>
      <c r="T31" s="13">
        <f t="shared" si="13"/>
        <v>5.1345609065155812E-3</v>
      </c>
      <c r="U31" s="13">
        <f t="shared" si="13"/>
        <v>7.9927751054209815E-3</v>
      </c>
    </row>
    <row r="32" spans="1:21" x14ac:dyDescent="0.25">
      <c r="A32" s="4" t="s">
        <v>5</v>
      </c>
      <c r="B32" s="14">
        <f t="shared" si="9"/>
        <v>7.7760848067825556E-3</v>
      </c>
      <c r="C32" s="14">
        <f t="shared" si="9"/>
        <v>8.7427105694512855E-3</v>
      </c>
      <c r="D32" s="14">
        <f t="shared" si="9"/>
        <v>1.4024272630986104E-2</v>
      </c>
      <c r="E32" s="13">
        <f t="shared" si="10"/>
        <v>1.0293105722006698E-2</v>
      </c>
      <c r="F32" s="14">
        <f t="shared" si="11"/>
        <v>5.51385973872996E-2</v>
      </c>
      <c r="G32" s="14">
        <f t="shared" si="11"/>
        <v>3.3431506028818322E-2</v>
      </c>
      <c r="H32" s="14">
        <f t="shared" si="11"/>
        <v>1</v>
      </c>
      <c r="I32" s="14">
        <f t="shared" si="11"/>
        <v>1.0964675430026577E-2</v>
      </c>
      <c r="J32" s="14">
        <f t="shared" si="11"/>
        <v>3.9247289107374066E-2</v>
      </c>
      <c r="K32" s="6"/>
      <c r="L32" s="4" t="s">
        <v>5</v>
      </c>
      <c r="M32" s="14">
        <f t="shared" ref="M32:P32" si="23">M15/M$16</f>
        <v>4.5447760324382695E-3</v>
      </c>
      <c r="N32" s="14">
        <f t="shared" si="23"/>
        <v>9.2535396935747964E-3</v>
      </c>
      <c r="O32" s="14">
        <f t="shared" si="23"/>
        <v>8.7698224540329797E-3</v>
      </c>
      <c r="P32" s="14">
        <f t="shared" si="23"/>
        <v>0</v>
      </c>
      <c r="Q32" s="14">
        <f t="shared" si="13"/>
        <v>8.778104426317751E-2</v>
      </c>
      <c r="R32" s="14">
        <f t="shared" si="13"/>
        <v>2.5109297017061941E-2</v>
      </c>
      <c r="S32" s="14">
        <f t="shared" si="13"/>
        <v>1</v>
      </c>
      <c r="T32" s="14">
        <f t="shared" si="13"/>
        <v>2.2415014164305948E-2</v>
      </c>
      <c r="U32" s="14">
        <f t="shared" si="13"/>
        <v>3.8728628465358024E-2</v>
      </c>
    </row>
    <row r="33" spans="1:32" ht="15.75" thickBot="1" x14ac:dyDescent="0.3">
      <c r="A33" s="12" t="s">
        <v>7</v>
      </c>
      <c r="B33" s="15">
        <f t="shared" si="9"/>
        <v>1</v>
      </c>
      <c r="C33" s="15">
        <f t="shared" si="9"/>
        <v>1</v>
      </c>
      <c r="D33" s="15">
        <f t="shared" si="9"/>
        <v>1</v>
      </c>
      <c r="E33" s="15">
        <f t="shared" si="10"/>
        <v>1</v>
      </c>
      <c r="F33" s="15">
        <f t="shared" si="11"/>
        <v>1</v>
      </c>
      <c r="G33" s="15">
        <f t="shared" si="11"/>
        <v>1</v>
      </c>
      <c r="H33" s="15">
        <f t="shared" si="11"/>
        <v>1</v>
      </c>
      <c r="I33" s="15">
        <f t="shared" si="11"/>
        <v>1</v>
      </c>
      <c r="J33" s="15">
        <f t="shared" si="11"/>
        <v>1</v>
      </c>
      <c r="L33" s="9" t="s">
        <v>7</v>
      </c>
      <c r="M33" s="15">
        <f t="shared" ref="M33:P33" si="24">M16/M$16</f>
        <v>1</v>
      </c>
      <c r="N33" s="15">
        <f t="shared" si="24"/>
        <v>1</v>
      </c>
      <c r="O33" s="15">
        <f t="shared" si="24"/>
        <v>1</v>
      </c>
      <c r="P33" s="15">
        <f t="shared" si="24"/>
        <v>1</v>
      </c>
      <c r="Q33" s="15">
        <f t="shared" si="13"/>
        <v>1</v>
      </c>
      <c r="R33" s="15">
        <f t="shared" si="13"/>
        <v>1</v>
      </c>
      <c r="S33" s="15">
        <f t="shared" si="13"/>
        <v>1</v>
      </c>
      <c r="T33" s="15">
        <f t="shared" si="13"/>
        <v>1</v>
      </c>
      <c r="U33" s="15">
        <f t="shared" si="13"/>
        <v>1</v>
      </c>
    </row>
    <row r="35" spans="1:32" x14ac:dyDescent="0.25">
      <c r="B35" s="39"/>
      <c r="C35" s="40" t="s">
        <v>71</v>
      </c>
      <c r="D35" s="40"/>
      <c r="E35" s="40" t="s">
        <v>72</v>
      </c>
      <c r="F35" s="40"/>
    </row>
    <row r="36" spans="1:32" ht="15.75" thickBot="1" x14ac:dyDescent="0.3">
      <c r="B36" s="36" t="s">
        <v>60</v>
      </c>
      <c r="C36" s="36" t="s">
        <v>69</v>
      </c>
      <c r="D36" s="36" t="s">
        <v>70</v>
      </c>
      <c r="E36" s="36" t="s">
        <v>69</v>
      </c>
      <c r="F36" s="36" t="s">
        <v>70</v>
      </c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B37" t="s">
        <v>61</v>
      </c>
      <c r="C37" s="33">
        <f>Work!F$17</f>
        <v>1.3158687939690831E-2</v>
      </c>
      <c r="D37" s="33">
        <f>Work!E$17</f>
        <v>1.5258558070140175E-2</v>
      </c>
      <c r="E37" s="33">
        <f>Work!Q$17</f>
        <v>5.9297137826723424E-3</v>
      </c>
      <c r="F37" s="33">
        <f>Work!P$17</f>
        <v>4.5418951642064997E-3</v>
      </c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B38" t="s">
        <v>62</v>
      </c>
      <c r="C38" s="33">
        <f>School!F$17</f>
        <v>1.5697413477862129E-2</v>
      </c>
      <c r="D38" s="33">
        <f>School!E$17</f>
        <v>6.9044312840181414E-3</v>
      </c>
      <c r="E38" s="33">
        <f>School!Q$17</f>
        <v>5.255253936610256E-3</v>
      </c>
      <c r="F38" s="33">
        <f>School!P$17</f>
        <v>0</v>
      </c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B39" t="s">
        <v>63</v>
      </c>
      <c r="C39" s="33">
        <f>Escort!F$17</f>
        <v>4.1044704793787058E-3</v>
      </c>
      <c r="D39" s="33">
        <f>Escort!E$17</f>
        <v>3.357300664644063E-3</v>
      </c>
      <c r="E39" s="33">
        <f>Escort!Q$17</f>
        <v>0</v>
      </c>
      <c r="F39" s="33">
        <f>Escort!P$17</f>
        <v>0</v>
      </c>
      <c r="L39" t="s">
        <v>1</v>
      </c>
      <c r="M39" s="13">
        <f t="shared" ref="M39:P44" si="25">M22-B22</f>
        <v>2.9995058500645877E-3</v>
      </c>
      <c r="N39" s="13">
        <f t="shared" si="25"/>
        <v>-1.266556405932262E-3</v>
      </c>
      <c r="O39" s="13">
        <f t="shared" si="25"/>
        <v>-1.0804360098618793E-3</v>
      </c>
      <c r="P39" s="13">
        <f t="shared" si="25"/>
        <v>0.10969827103516921</v>
      </c>
      <c r="Q39" s="13">
        <f t="shared" ref="Q39:Q50" si="26">Q22-F22</f>
        <v>5.9255395379849661E-3</v>
      </c>
      <c r="R39" s="13">
        <f t="shared" ref="R39:R50" si="27">R22-G22</f>
        <v>0</v>
      </c>
      <c r="S39" s="13">
        <f t="shared" ref="S39:S50" si="28">S22-H22</f>
        <v>0</v>
      </c>
      <c r="T39" s="13">
        <f t="shared" ref="T39:T50" si="29">T22-I22</f>
        <v>4.1684019322450975E-3</v>
      </c>
      <c r="U39" s="13">
        <f t="shared" ref="U39:U50" si="30">U22-J22</f>
        <v>-1.1444550989568869E-3</v>
      </c>
      <c r="W39" s="21" t="s">
        <v>1</v>
      </c>
      <c r="X39" s="22">
        <f>M39</f>
        <v>2.9995058500645877E-3</v>
      </c>
      <c r="Y39" s="22">
        <f t="shared" ref="Y39:AF39" si="31">N39</f>
        <v>-1.266556405932262E-3</v>
      </c>
      <c r="Z39" s="22">
        <f t="shared" si="31"/>
        <v>-1.0804360098618793E-3</v>
      </c>
      <c r="AA39" s="22">
        <f t="shared" si="31"/>
        <v>0.10969827103516921</v>
      </c>
      <c r="AB39" s="22">
        <f t="shared" si="31"/>
        <v>5.9255395379849661E-3</v>
      </c>
      <c r="AC39" s="22">
        <f t="shared" si="31"/>
        <v>0</v>
      </c>
      <c r="AD39" s="22">
        <f t="shared" si="31"/>
        <v>0</v>
      </c>
      <c r="AE39" s="22">
        <f t="shared" si="31"/>
        <v>4.1684019322450975E-3</v>
      </c>
      <c r="AF39" s="22">
        <f t="shared" si="31"/>
        <v>-1.1444550989568869E-3</v>
      </c>
    </row>
    <row r="40" spans="1:32" x14ac:dyDescent="0.25">
      <c r="B40" t="s">
        <v>64</v>
      </c>
      <c r="C40" s="33">
        <f>Personal_Business!F$17</f>
        <v>1.9576729271895667E-2</v>
      </c>
      <c r="D40" s="33">
        <f>Personal_Business!E$17</f>
        <v>2.7649888242252301E-3</v>
      </c>
      <c r="E40" s="33">
        <f>Personal_Business!Q$17</f>
        <v>8.704688182406892E-3</v>
      </c>
      <c r="F40" s="33">
        <f>Personal_Business!P$17</f>
        <v>0</v>
      </c>
      <c r="L40" t="s">
        <v>9</v>
      </c>
      <c r="M40" s="13">
        <f t="shared" si="25"/>
        <v>0</v>
      </c>
      <c r="N40" s="13">
        <f t="shared" si="25"/>
        <v>-2.4757134940457393E-3</v>
      </c>
      <c r="O40" s="13">
        <f t="shared" si="25"/>
        <v>2.5161247072167658E-3</v>
      </c>
      <c r="P40" s="13">
        <f t="shared" si="25"/>
        <v>-9.1137608998085429E-2</v>
      </c>
      <c r="Q40" s="13">
        <f t="shared" si="26"/>
        <v>1.6499258177875745E-2</v>
      </c>
      <c r="R40" s="13">
        <f t="shared" si="27"/>
        <v>0</v>
      </c>
      <c r="S40" s="13">
        <f t="shared" si="28"/>
        <v>0</v>
      </c>
      <c r="T40" s="13">
        <f t="shared" si="29"/>
        <v>4.8901952236602292E-3</v>
      </c>
      <c r="U40" s="13">
        <f t="shared" si="30"/>
        <v>9.4777420909280818E-3</v>
      </c>
      <c r="W40" s="27" t="s">
        <v>9</v>
      </c>
      <c r="X40" s="22">
        <f t="shared" ref="X40:X49" si="32">M40</f>
        <v>0</v>
      </c>
      <c r="Y40" s="22">
        <f t="shared" ref="Y40:Y50" si="33">N40</f>
        <v>-2.4757134940457393E-3</v>
      </c>
      <c r="Z40" s="22">
        <f t="shared" ref="Z40:Z50" si="34">O40</f>
        <v>2.5161247072167658E-3</v>
      </c>
      <c r="AA40" s="22">
        <f t="shared" ref="AA40:AA50" si="35">P40</f>
        <v>-9.1137608998085429E-2</v>
      </c>
      <c r="AB40" s="22">
        <f t="shared" ref="AB40:AB50" si="36">Q40</f>
        <v>1.6499258177875745E-2</v>
      </c>
      <c r="AC40" s="22">
        <f t="shared" ref="AC40:AC50" si="37">R40</f>
        <v>0</v>
      </c>
      <c r="AD40" s="22">
        <f t="shared" ref="AD40:AD50" si="38">S40</f>
        <v>0</v>
      </c>
      <c r="AE40" s="22">
        <f t="shared" ref="AE40:AE50" si="39">T40</f>
        <v>4.8901952236602292E-3</v>
      </c>
      <c r="AF40" s="22">
        <f t="shared" ref="AF40:AF50" si="40">U40</f>
        <v>9.4777420909280818E-3</v>
      </c>
    </row>
    <row r="41" spans="1:32" x14ac:dyDescent="0.25">
      <c r="B41" t="s">
        <v>65</v>
      </c>
      <c r="C41" s="33">
        <f>Shop!F$17</f>
        <v>2.2479742397410199E-2</v>
      </c>
      <c r="D41" s="33">
        <f>Shop!E$17</f>
        <v>2.0951391192549013E-3</v>
      </c>
      <c r="E41" s="33">
        <f>Shop!Q$17</f>
        <v>7.0513948781131741E-3</v>
      </c>
      <c r="F41" s="33">
        <f>Shop!P$17</f>
        <v>0</v>
      </c>
      <c r="L41" t="s">
        <v>10</v>
      </c>
      <c r="M41" s="13">
        <f t="shared" si="25"/>
        <v>0</v>
      </c>
      <c r="N41" s="13">
        <f t="shared" si="25"/>
        <v>0</v>
      </c>
      <c r="O41" s="13">
        <f t="shared" si="25"/>
        <v>1.6208735808245223E-3</v>
      </c>
      <c r="P41" s="13">
        <f t="shared" si="25"/>
        <v>-3.4761265994292037E-2</v>
      </c>
      <c r="Q41" s="13">
        <f t="shared" si="26"/>
        <v>-4.1814320865544159E-2</v>
      </c>
      <c r="R41" s="13">
        <f t="shared" si="27"/>
        <v>0</v>
      </c>
      <c r="S41" s="13">
        <f t="shared" si="28"/>
        <v>0</v>
      </c>
      <c r="T41" s="13">
        <f t="shared" si="29"/>
        <v>1.0533377432042107E-2</v>
      </c>
      <c r="U41" s="13">
        <f t="shared" si="30"/>
        <v>-2.9737493741684162E-3</v>
      </c>
      <c r="W41" s="27" t="s">
        <v>10</v>
      </c>
      <c r="X41" s="22">
        <f t="shared" si="32"/>
        <v>0</v>
      </c>
      <c r="Y41" s="22">
        <f t="shared" si="33"/>
        <v>0</v>
      </c>
      <c r="Z41" s="22">
        <f t="shared" si="34"/>
        <v>1.6208735808245223E-3</v>
      </c>
      <c r="AA41" s="22">
        <f t="shared" si="35"/>
        <v>-3.4761265994292037E-2</v>
      </c>
      <c r="AB41" s="22">
        <f t="shared" si="36"/>
        <v>-4.1814320865544159E-2</v>
      </c>
      <c r="AC41" s="22">
        <f t="shared" si="37"/>
        <v>0</v>
      </c>
      <c r="AD41" s="22">
        <f t="shared" si="38"/>
        <v>0</v>
      </c>
      <c r="AE41" s="22">
        <f t="shared" si="39"/>
        <v>1.0533377432042107E-2</v>
      </c>
      <c r="AF41" s="22">
        <f t="shared" si="40"/>
        <v>-2.9737493741684162E-3</v>
      </c>
    </row>
    <row r="42" spans="1:32" x14ac:dyDescent="0.25">
      <c r="B42" t="s">
        <v>66</v>
      </c>
      <c r="C42" s="33">
        <f>Meal!F$17</f>
        <v>1.9239838422855905E-4</v>
      </c>
      <c r="D42" s="33">
        <f>Meal!E$17</f>
        <v>0</v>
      </c>
      <c r="E42" s="33">
        <f>Meal!Q$17</f>
        <v>8.0283735361407395E-3</v>
      </c>
      <c r="F42" s="33">
        <f>Meal!P$17</f>
        <v>0</v>
      </c>
      <c r="L42" t="s">
        <v>51</v>
      </c>
      <c r="M42" s="13">
        <f t="shared" si="25"/>
        <v>0</v>
      </c>
      <c r="N42" s="13">
        <f t="shared" si="25"/>
        <v>0</v>
      </c>
      <c r="O42" s="13">
        <f t="shared" si="25"/>
        <v>0</v>
      </c>
      <c r="P42" s="13">
        <f t="shared" si="25"/>
        <v>-2.5586997954155949E-2</v>
      </c>
      <c r="Q42" s="13">
        <f t="shared" si="26"/>
        <v>-0.11700393066052595</v>
      </c>
      <c r="R42" s="13">
        <f t="shared" si="27"/>
        <v>0</v>
      </c>
      <c r="S42" s="13">
        <f t="shared" si="28"/>
        <v>0</v>
      </c>
      <c r="T42" s="13">
        <f t="shared" si="29"/>
        <v>8.0178669173600297E-6</v>
      </c>
      <c r="U42" s="13">
        <f t="shared" si="30"/>
        <v>-6.8057081603787309E-3</v>
      </c>
      <c r="W42" t="s">
        <v>51</v>
      </c>
      <c r="X42" s="22">
        <f t="shared" si="32"/>
        <v>0</v>
      </c>
      <c r="Y42" s="22">
        <f t="shared" si="33"/>
        <v>0</v>
      </c>
      <c r="Z42" s="22">
        <f t="shared" si="34"/>
        <v>0</v>
      </c>
      <c r="AA42" s="22">
        <f t="shared" si="35"/>
        <v>-2.5586997954155949E-2</v>
      </c>
      <c r="AB42" s="22">
        <f t="shared" si="36"/>
        <v>-0.11700393066052595</v>
      </c>
      <c r="AC42" s="22">
        <f t="shared" si="37"/>
        <v>0</v>
      </c>
      <c r="AD42" s="22">
        <f t="shared" si="38"/>
        <v>0</v>
      </c>
      <c r="AE42" s="22">
        <f t="shared" si="39"/>
        <v>8.0178669173600297E-6</v>
      </c>
      <c r="AF42" s="22">
        <f t="shared" si="40"/>
        <v>-6.8057081603787309E-3</v>
      </c>
    </row>
    <row r="43" spans="1:32" x14ac:dyDescent="0.25">
      <c r="B43" t="s">
        <v>67</v>
      </c>
      <c r="C43" s="33">
        <f>SocRec!F$17</f>
        <v>2.0316609177469698E-3</v>
      </c>
      <c r="D43" s="33">
        <f>SocRec!E$17</f>
        <v>0</v>
      </c>
      <c r="E43" s="33">
        <f>SocRec!Q$17</f>
        <v>5.4148068984304605E-3</v>
      </c>
      <c r="F43" s="33">
        <f>SocRec!P$17</f>
        <v>0</v>
      </c>
      <c r="L43" t="s">
        <v>52</v>
      </c>
      <c r="M43" s="13">
        <f t="shared" si="25"/>
        <v>0</v>
      </c>
      <c r="N43" s="13">
        <f t="shared" si="25"/>
        <v>0</v>
      </c>
      <c r="O43" s="13">
        <f t="shared" si="25"/>
        <v>0</v>
      </c>
      <c r="P43" s="13">
        <f t="shared" si="25"/>
        <v>0</v>
      </c>
      <c r="Q43" s="13">
        <f t="shared" si="26"/>
        <v>0</v>
      </c>
      <c r="R43" s="13">
        <f t="shared" si="27"/>
        <v>0</v>
      </c>
      <c r="S43" s="13">
        <f t="shared" si="28"/>
        <v>0</v>
      </c>
      <c r="T43" s="13">
        <f t="shared" si="29"/>
        <v>0</v>
      </c>
      <c r="U43" s="13">
        <f t="shared" si="30"/>
        <v>0</v>
      </c>
      <c r="W43" t="s">
        <v>52</v>
      </c>
      <c r="X43" s="22">
        <f t="shared" si="32"/>
        <v>0</v>
      </c>
      <c r="Y43" s="22">
        <f t="shared" si="33"/>
        <v>0</v>
      </c>
      <c r="Z43" s="22">
        <f t="shared" si="34"/>
        <v>0</v>
      </c>
      <c r="AA43" s="22">
        <f t="shared" si="35"/>
        <v>0</v>
      </c>
      <c r="AB43" s="22">
        <f t="shared" si="36"/>
        <v>0</v>
      </c>
      <c r="AC43" s="22">
        <f t="shared" si="37"/>
        <v>0</v>
      </c>
      <c r="AD43" s="22">
        <f t="shared" si="38"/>
        <v>0</v>
      </c>
      <c r="AE43" s="22">
        <f t="shared" si="39"/>
        <v>0</v>
      </c>
      <c r="AF43" s="22">
        <f t="shared" si="40"/>
        <v>0</v>
      </c>
    </row>
    <row r="44" spans="1:32" x14ac:dyDescent="0.25">
      <c r="B44" t="s">
        <v>68</v>
      </c>
      <c r="C44" s="33">
        <f>Workbased!F$17</f>
        <v>1.6915473571468842E-3</v>
      </c>
      <c r="D44" s="33">
        <f>Workbased!E$17</f>
        <v>1.1261655540693693E-3</v>
      </c>
      <c r="E44" s="33">
        <f>Workbased!Q$17</f>
        <v>1.7224209413868792E-3</v>
      </c>
      <c r="F44" s="33">
        <f>Workbased!P$17</f>
        <v>0</v>
      </c>
      <c r="L44" t="s">
        <v>53</v>
      </c>
      <c r="M44" s="13">
        <f t="shared" si="25"/>
        <v>0</v>
      </c>
      <c r="N44" s="13">
        <f t="shared" si="25"/>
        <v>0</v>
      </c>
      <c r="O44" s="13">
        <f t="shared" si="25"/>
        <v>0</v>
      </c>
      <c r="P44" s="13">
        <f t="shared" si="25"/>
        <v>-1.5480523876555408E-3</v>
      </c>
      <c r="Q44" s="13">
        <f t="shared" si="26"/>
        <v>2.8019071486205187E-2</v>
      </c>
      <c r="R44" s="13">
        <f t="shared" si="27"/>
        <v>0</v>
      </c>
      <c r="S44" s="13">
        <f t="shared" si="28"/>
        <v>0</v>
      </c>
      <c r="T44" s="13">
        <f t="shared" si="29"/>
        <v>5.0586806960744638E-5</v>
      </c>
      <c r="U44" s="13">
        <f t="shared" si="30"/>
        <v>-6.9101390288911566E-4</v>
      </c>
      <c r="W44" t="s">
        <v>53</v>
      </c>
      <c r="X44" s="22">
        <f t="shared" si="32"/>
        <v>0</v>
      </c>
      <c r="Y44" s="22">
        <f t="shared" si="33"/>
        <v>0</v>
      </c>
      <c r="Z44" s="22">
        <f t="shared" si="34"/>
        <v>0</v>
      </c>
      <c r="AA44" s="22">
        <f t="shared" si="35"/>
        <v>-1.5480523876555408E-3</v>
      </c>
      <c r="AB44" s="22">
        <f t="shared" si="36"/>
        <v>2.8019071486205187E-2</v>
      </c>
      <c r="AC44" s="22">
        <f t="shared" si="37"/>
        <v>0</v>
      </c>
      <c r="AD44" s="22">
        <f t="shared" si="38"/>
        <v>0</v>
      </c>
      <c r="AE44" s="22">
        <f t="shared" si="39"/>
        <v>5.0586806960744638E-5</v>
      </c>
      <c r="AF44" s="22">
        <f t="shared" si="40"/>
        <v>-6.9101390288911566E-4</v>
      </c>
    </row>
    <row r="45" spans="1:32" x14ac:dyDescent="0.25">
      <c r="B45" s="37" t="s">
        <v>7</v>
      </c>
      <c r="C45" s="38">
        <f>F17</f>
        <v>1.1449249148707895E-2</v>
      </c>
      <c r="D45" s="38">
        <f>E17</f>
        <v>7.5890830670949849E-3</v>
      </c>
      <c r="E45" s="38">
        <f>Q17</f>
        <v>5.4162040283676233E-3</v>
      </c>
      <c r="F45" s="38">
        <f>P17</f>
        <v>1.6337644961557758E-3</v>
      </c>
      <c r="L45" t="s">
        <v>54</v>
      </c>
      <c r="M45" s="13">
        <f t="shared" ref="M45:M47" si="41">M28-B28</f>
        <v>0</v>
      </c>
      <c r="N45" s="13">
        <f t="shared" ref="N45:N47" si="42">N28-C28</f>
        <v>0</v>
      </c>
      <c r="O45" s="13">
        <f t="shared" ref="O45:O47" si="43">O28-D28</f>
        <v>0</v>
      </c>
      <c r="P45" s="13">
        <f t="shared" ref="P45:P47" si="44">P28-E28</f>
        <v>-7.1811233008678976E-3</v>
      </c>
      <c r="Q45" s="13">
        <f t="shared" si="26"/>
        <v>2.1374876141630876E-3</v>
      </c>
      <c r="R45" s="13">
        <f t="shared" si="27"/>
        <v>0</v>
      </c>
      <c r="S45" s="13">
        <f t="shared" si="28"/>
        <v>0</v>
      </c>
      <c r="T45" s="13">
        <f t="shared" si="29"/>
        <v>5.0586806960744642E-6</v>
      </c>
      <c r="U45" s="13">
        <f t="shared" si="30"/>
        <v>-5.0891294718181132E-4</v>
      </c>
      <c r="W45" t="s">
        <v>54</v>
      </c>
      <c r="X45" s="22">
        <f t="shared" si="32"/>
        <v>0</v>
      </c>
      <c r="Y45" s="22">
        <f t="shared" si="33"/>
        <v>0</v>
      </c>
      <c r="Z45" s="22">
        <f t="shared" si="34"/>
        <v>0</v>
      </c>
      <c r="AA45" s="22">
        <f t="shared" si="35"/>
        <v>-7.1811233008678976E-3</v>
      </c>
      <c r="AB45" s="22">
        <f t="shared" si="36"/>
        <v>2.1374876141630876E-3</v>
      </c>
      <c r="AC45" s="22">
        <f t="shared" si="37"/>
        <v>0</v>
      </c>
      <c r="AD45" s="22">
        <f t="shared" si="38"/>
        <v>0</v>
      </c>
      <c r="AE45" s="22">
        <f t="shared" si="39"/>
        <v>5.0586806960744642E-6</v>
      </c>
      <c r="AF45" s="22">
        <f t="shared" si="40"/>
        <v>-5.0891294718181132E-4</v>
      </c>
    </row>
    <row r="46" spans="1:32" x14ac:dyDescent="0.25">
      <c r="L46" t="s">
        <v>55</v>
      </c>
      <c r="M46" s="13">
        <f t="shared" si="41"/>
        <v>0</v>
      </c>
      <c r="N46" s="13">
        <f t="shared" si="42"/>
        <v>0</v>
      </c>
      <c r="O46" s="13">
        <f t="shared" si="43"/>
        <v>0</v>
      </c>
      <c r="P46" s="13">
        <f t="shared" si="44"/>
        <v>6.0809883321894305E-2</v>
      </c>
      <c r="Q46" s="13">
        <f t="shared" si="26"/>
        <v>5.9790484866051097E-2</v>
      </c>
      <c r="R46" s="13">
        <f t="shared" si="27"/>
        <v>0</v>
      </c>
      <c r="S46" s="13">
        <f t="shared" si="28"/>
        <v>0</v>
      </c>
      <c r="T46" s="13">
        <f t="shared" si="29"/>
        <v>5.5645487656819101E-5</v>
      </c>
      <c r="U46" s="13">
        <f t="shared" si="30"/>
        <v>4.2565339927298041E-4</v>
      </c>
      <c r="W46" t="s">
        <v>55</v>
      </c>
      <c r="X46" s="22">
        <f t="shared" si="32"/>
        <v>0</v>
      </c>
      <c r="Y46" s="22">
        <f t="shared" si="33"/>
        <v>0</v>
      </c>
      <c r="Z46" s="22">
        <f t="shared" si="34"/>
        <v>0</v>
      </c>
      <c r="AA46" s="22">
        <f t="shared" si="35"/>
        <v>6.0809883321894305E-2</v>
      </c>
      <c r="AB46" s="22">
        <f t="shared" si="36"/>
        <v>5.9790484866051097E-2</v>
      </c>
      <c r="AC46" s="22">
        <f t="shared" si="37"/>
        <v>0</v>
      </c>
      <c r="AD46" s="22">
        <f t="shared" si="38"/>
        <v>0</v>
      </c>
      <c r="AE46" s="22">
        <f t="shared" si="39"/>
        <v>5.5645487656819101E-5</v>
      </c>
      <c r="AF46" s="22">
        <f t="shared" si="40"/>
        <v>4.2565339927298041E-4</v>
      </c>
    </row>
    <row r="47" spans="1:32" x14ac:dyDescent="0.25">
      <c r="L47" t="s">
        <v>24</v>
      </c>
      <c r="M47" s="13">
        <f t="shared" si="41"/>
        <v>0</v>
      </c>
      <c r="N47" s="13">
        <f t="shared" si="42"/>
        <v>0</v>
      </c>
      <c r="O47" s="13">
        <f t="shared" si="43"/>
        <v>0</v>
      </c>
      <c r="P47" s="13">
        <f t="shared" si="44"/>
        <v>0</v>
      </c>
      <c r="Q47" s="13">
        <f t="shared" si="26"/>
        <v>0</v>
      </c>
      <c r="R47" s="13">
        <f t="shared" si="27"/>
        <v>0</v>
      </c>
      <c r="S47" s="13">
        <f t="shared" si="28"/>
        <v>0</v>
      </c>
      <c r="T47" s="13">
        <f t="shared" si="29"/>
        <v>-3.5657049085617287E-2</v>
      </c>
      <c r="U47" s="13">
        <f t="shared" si="30"/>
        <v>-5.8557186578501313E-4</v>
      </c>
      <c r="W47" s="21" t="s">
        <v>24</v>
      </c>
      <c r="X47" s="22">
        <f t="shared" si="32"/>
        <v>0</v>
      </c>
      <c r="Y47" s="22">
        <f t="shared" si="33"/>
        <v>0</v>
      </c>
      <c r="Z47" s="22">
        <f t="shared" si="34"/>
        <v>0</v>
      </c>
      <c r="AA47" s="22">
        <f t="shared" si="35"/>
        <v>0</v>
      </c>
      <c r="AB47" s="22">
        <f t="shared" si="36"/>
        <v>0</v>
      </c>
      <c r="AC47" s="22">
        <f t="shared" si="37"/>
        <v>0</v>
      </c>
      <c r="AD47" s="22">
        <f t="shared" si="38"/>
        <v>0</v>
      </c>
      <c r="AE47" s="22">
        <f t="shared" si="39"/>
        <v>-3.5657049085617287E-2</v>
      </c>
      <c r="AF47" s="22">
        <f t="shared" si="40"/>
        <v>-5.8557186578501313E-4</v>
      </c>
    </row>
    <row r="48" spans="1:32" x14ac:dyDescent="0.25">
      <c r="L48" t="s">
        <v>4</v>
      </c>
      <c r="M48" s="13">
        <f t="shared" ref="M48:P50" si="45">M31-B31</f>
        <v>2.3180292427968016E-4</v>
      </c>
      <c r="N48" s="13">
        <f t="shared" si="45"/>
        <v>3.2314407758546413E-3</v>
      </c>
      <c r="O48" s="13">
        <f t="shared" si="45"/>
        <v>2.1978878987738101E-3</v>
      </c>
      <c r="P48" s="13">
        <f t="shared" si="45"/>
        <v>0</v>
      </c>
      <c r="Q48" s="13">
        <f t="shared" si="26"/>
        <v>1.3803962967912224E-2</v>
      </c>
      <c r="R48" s="13">
        <f t="shared" si="27"/>
        <v>8.3222090117562875E-3</v>
      </c>
      <c r="S48" s="13">
        <f t="shared" si="28"/>
        <v>0</v>
      </c>
      <c r="T48" s="13">
        <f t="shared" si="29"/>
        <v>4.4954269211594953E-3</v>
      </c>
      <c r="U48" s="13">
        <f t="shared" si="30"/>
        <v>3.3246765011750159E-3</v>
      </c>
      <c r="W48" s="27" t="s">
        <v>4</v>
      </c>
      <c r="X48" s="22">
        <f t="shared" si="32"/>
        <v>2.3180292427968016E-4</v>
      </c>
      <c r="Y48" s="22">
        <f t="shared" si="33"/>
        <v>3.2314407758546413E-3</v>
      </c>
      <c r="Z48" s="22">
        <f t="shared" si="34"/>
        <v>2.1978878987738101E-3</v>
      </c>
      <c r="AA48" s="22">
        <f t="shared" si="35"/>
        <v>0</v>
      </c>
      <c r="AB48" s="22">
        <f t="shared" si="36"/>
        <v>1.3803962967912224E-2</v>
      </c>
      <c r="AC48" s="22">
        <f t="shared" si="37"/>
        <v>8.3222090117562875E-3</v>
      </c>
      <c r="AD48" s="22">
        <f t="shared" si="38"/>
        <v>0</v>
      </c>
      <c r="AE48" s="22">
        <f t="shared" si="39"/>
        <v>4.4954269211594953E-3</v>
      </c>
      <c r="AF48" s="22">
        <f t="shared" si="40"/>
        <v>3.3246765011750159E-3</v>
      </c>
    </row>
    <row r="49" spans="12:32" x14ac:dyDescent="0.25">
      <c r="L49" s="4" t="s">
        <v>5</v>
      </c>
      <c r="M49" s="17">
        <f t="shared" si="45"/>
        <v>-3.2313087743442862E-3</v>
      </c>
      <c r="N49" s="17">
        <f t="shared" si="45"/>
        <v>5.1082912412351092E-4</v>
      </c>
      <c r="O49" s="17">
        <f t="shared" si="45"/>
        <v>-5.2544501769531248E-3</v>
      </c>
      <c r="P49" s="17">
        <f t="shared" si="45"/>
        <v>-1.0293105722006698E-2</v>
      </c>
      <c r="Q49" s="17">
        <f t="shared" si="26"/>
        <v>3.264244687587791E-2</v>
      </c>
      <c r="R49" s="17">
        <f t="shared" si="27"/>
        <v>-8.3222090117563811E-3</v>
      </c>
      <c r="S49" s="17">
        <f t="shared" si="28"/>
        <v>0</v>
      </c>
      <c r="T49" s="17">
        <f t="shared" si="29"/>
        <v>1.1450338734279371E-2</v>
      </c>
      <c r="U49" s="13">
        <f t="shared" si="30"/>
        <v>-5.1866064201604167E-4</v>
      </c>
      <c r="W49" s="20" t="s">
        <v>5</v>
      </c>
      <c r="X49" s="22">
        <f t="shared" si="32"/>
        <v>-3.2313087743442862E-3</v>
      </c>
      <c r="Y49" s="22">
        <f t="shared" si="33"/>
        <v>5.1082912412351092E-4</v>
      </c>
      <c r="Z49" s="22">
        <f t="shared" si="34"/>
        <v>-5.2544501769531248E-3</v>
      </c>
      <c r="AA49" s="22">
        <f t="shared" si="35"/>
        <v>-1.0293105722006698E-2</v>
      </c>
      <c r="AB49" s="22">
        <f t="shared" si="36"/>
        <v>3.264244687587791E-2</v>
      </c>
      <c r="AC49" s="22">
        <f t="shared" si="37"/>
        <v>-8.3222090117563811E-3</v>
      </c>
      <c r="AD49" s="22">
        <f t="shared" si="38"/>
        <v>0</v>
      </c>
      <c r="AE49" s="22">
        <f t="shared" si="39"/>
        <v>1.1450338734279371E-2</v>
      </c>
      <c r="AF49" s="22">
        <f t="shared" si="40"/>
        <v>-5.1866064201604167E-4</v>
      </c>
    </row>
    <row r="50" spans="12:32" ht="15.75" thickBot="1" x14ac:dyDescent="0.3">
      <c r="L50" s="9" t="s">
        <v>7</v>
      </c>
      <c r="M50" s="15">
        <f t="shared" si="45"/>
        <v>0</v>
      </c>
      <c r="N50" s="15">
        <f t="shared" si="45"/>
        <v>0</v>
      </c>
      <c r="O50" s="15">
        <f t="shared" si="45"/>
        <v>0</v>
      </c>
      <c r="P50" s="15">
        <f t="shared" si="45"/>
        <v>0</v>
      </c>
      <c r="Q50" s="15">
        <f t="shared" si="26"/>
        <v>0</v>
      </c>
      <c r="R50" s="15">
        <f t="shared" si="27"/>
        <v>0</v>
      </c>
      <c r="S50" s="15">
        <f t="shared" si="28"/>
        <v>0</v>
      </c>
      <c r="T50" s="15">
        <f t="shared" si="29"/>
        <v>0</v>
      </c>
      <c r="U50" s="15">
        <f t="shared" si="30"/>
        <v>0</v>
      </c>
      <c r="W50" s="28" t="s">
        <v>7</v>
      </c>
      <c r="X50" s="29">
        <f>M50</f>
        <v>0</v>
      </c>
      <c r="Y50" s="29">
        <f t="shared" si="33"/>
        <v>0</v>
      </c>
      <c r="Z50" s="29">
        <f t="shared" si="34"/>
        <v>0</v>
      </c>
      <c r="AA50" s="29">
        <f t="shared" si="35"/>
        <v>0</v>
      </c>
      <c r="AB50" s="29">
        <f t="shared" si="36"/>
        <v>0</v>
      </c>
      <c r="AC50" s="29">
        <f t="shared" si="37"/>
        <v>0</v>
      </c>
      <c r="AD50" s="29">
        <f t="shared" si="38"/>
        <v>0</v>
      </c>
      <c r="AE50" s="29">
        <f t="shared" si="39"/>
        <v>0</v>
      </c>
      <c r="AF50" s="29">
        <f t="shared" si="40"/>
        <v>0</v>
      </c>
    </row>
  </sheetData>
  <mergeCells count="10">
    <mergeCell ref="X37:AE37"/>
    <mergeCell ref="B3:I3"/>
    <mergeCell ref="M3:U3"/>
    <mergeCell ref="B20:I20"/>
    <mergeCell ref="M20:U20"/>
    <mergeCell ref="M37:U37"/>
    <mergeCell ref="C35:D35"/>
    <mergeCell ref="E35:F35"/>
    <mergeCell ref="X3:Y3"/>
    <mergeCell ref="Z3:AA3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206226.58577669054</v>
      </c>
      <c r="C5" s="6" t="n">
        <v>12365.063438821879</v>
      </c>
      <c r="D5" s="6" t="n">
        <v>2290.2571816503023</v>
      </c>
      <c r="E5" s="6" t="n">
        <v>284.64779626499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221166.5541934277</v>
      </c>
      <c r="K5" s="6"/>
      <c r="L5" t="s">
        <v>1</v>
      </c>
      <c r="M5" s="6" t="n">
        <v>109501.0</v>
      </c>
      <c r="N5" s="6" t="n">
        <v>5192.0</v>
      </c>
      <c r="O5" s="6" t="n">
        <v>843.0</v>
      </c>
      <c r="P5" s="6" t="n">
        <v>0.0</v>
      </c>
      <c r="Q5" s="6" t="n">
        <v>5.0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105859</v>
      </c>
    </row>
    <row r="6" spans="1:21" x14ac:dyDescent="0.25">
      <c r="A6" t="s">
        <v>12</v>
      </c>
      <c r="B6" s="6" t="n">
        <v>0.0</v>
      </c>
      <c r="C6" s="6" t="n">
        <v>125103.02751501248</v>
      </c>
      <c r="D6" s="6" t="n">
        <v>5246.5113618518435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307.8425142727642</v>
      </c>
      <c r="J6" s="6">
        <f t="shared" ref="J6:J15" si="1">SUM(B6:I6)</f>
        <v>130657.38139113708</v>
      </c>
      <c r="K6" s="6"/>
      <c r="L6" t="s">
        <v>12</v>
      </c>
      <c r="M6" s="6" t="n">
        <v>0.0</v>
      </c>
      <c r="N6" s="6" t="n">
        <v>41445.0</v>
      </c>
      <c r="O6" s="6" t="n">
        <v>3187.0</v>
      </c>
      <c r="P6" s="6" t="n">
        <v>0.0</v>
      </c>
      <c r="Q6" s="6" t="n">
        <v>60.0</v>
      </c>
      <c r="R6" s="6" t="n">
        <v>0.0</v>
      </c>
      <c r="S6" s="6" t="n">
        <v>0.0</v>
      </c>
      <c r="T6" s="6" t="n">
        <v>0.0</v>
      </c>
      <c r="U6" s="6">
        <f t="shared" si="0"/>
        <v>45540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84676.41814649857</v>
      </c>
      <c r="E7" s="6" t="n">
        <v>0.0</v>
      </c>
      <c r="F7" s="6" t="n">
        <v>28.200165668471</v>
      </c>
      <c r="G7" s="6" t="n">
        <v>0.0</v>
      </c>
      <c r="H7" s="6" t="n">
        <v>0.0</v>
      </c>
      <c r="I7" s="6" t="n">
        <v>250.684090657719</v>
      </c>
      <c r="J7" s="6">
        <f t="shared" si="1"/>
        <v>84955.30240282476</v>
      </c>
      <c r="K7" s="6"/>
      <c r="L7" t="s">
        <v>56</v>
      </c>
      <c r="M7" s="6" t="n">
        <v>0.0</v>
      </c>
      <c r="N7" s="6" t="n">
        <v>0.0</v>
      </c>
      <c r="O7" s="6" t="n">
        <v>14638.0</v>
      </c>
      <c r="P7" s="6" t="n">
        <v>0.0</v>
      </c>
      <c r="Q7" s="6" t="n">
        <v>21.0</v>
      </c>
      <c r="R7" s="6" t="n">
        <v>0.0</v>
      </c>
      <c r="S7" s="6" t="n">
        <v>0.0</v>
      </c>
      <c r="T7" s="6" t="n">
        <v>0.0</v>
      </c>
      <c r="U7" s="6">
        <f t="shared" si="0"/>
        <v>15405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284.64779626499</v>
      </c>
      <c r="F8" s="6" t="n">
        <v>479.4747240105503</v>
      </c>
      <c r="G8" s="6" t="n">
        <v>0.0</v>
      </c>
      <c r="H8" s="6" t="n">
        <v>0.0</v>
      </c>
      <c r="I8" s="6" t="n">
        <v>0.0</v>
      </c>
      <c r="J8" s="6">
        <f t="shared" si="1"/>
        <v>764.1225202755403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515.0</v>
      </c>
      <c r="R8" s="6" t="n">
        <v>0.0</v>
      </c>
      <c r="S8" s="6" t="n">
        <v>0.0</v>
      </c>
      <c r="T8" s="6" t="n">
        <v>0.0</v>
      </c>
      <c r="U8" s="6">
        <f t="shared" si="0"/>
        <v>192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172.3942232068524</v>
      </c>
      <c r="G10" s="6" t="n">
        <v>0.0</v>
      </c>
      <c r="H10" s="6" t="n">
        <v>0.0</v>
      </c>
      <c r="I10" s="6" t="n">
        <v>0.0</v>
      </c>
      <c r="J10" s="6">
        <f t="shared" si="1"/>
        <v>172.39422320685239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7.0</v>
      </c>
      <c r="R10" s="6" t="n">
        <v>0.0</v>
      </c>
      <c r="S10" s="6" t="n">
        <v>0.0</v>
      </c>
      <c r="T10" s="6" t="n">
        <v>0.0</v>
      </c>
      <c r="U10" s="6">
        <f t="shared" si="0"/>
        <v>24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14.0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15.0</v>
      </c>
      <c r="R12" s="6" t="n">
        <v>0.0</v>
      </c>
      <c r="S12" s="6" t="n">
        <v>0.0</v>
      </c>
      <c r="T12" s="6" t="n">
        <v>0.0</v>
      </c>
      <c r="U12" s="6">
        <f t="shared" si="0"/>
        <v>35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4631.6720827455565</v>
      </c>
      <c r="J13" s="6">
        <f t="shared" si="1"/>
        <v>4631.6720827455565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220.700208500043</v>
      </c>
      <c r="C14" s="6" t="n">
        <v>188.069235937932</v>
      </c>
      <c r="D14" s="6" t="n">
        <v>0.0</v>
      </c>
      <c r="E14" s="6" t="n">
        <v>0.0</v>
      </c>
      <c r="F14" s="6" t="n">
        <v>21.2728495925376</v>
      </c>
      <c r="G14" s="6" t="n">
        <v>5052.558791126102</v>
      </c>
      <c r="H14" s="6" t="n">
        <v>0.0</v>
      </c>
      <c r="I14" s="6" t="n">
        <v>0.0</v>
      </c>
      <c r="J14" s="6">
        <f t="shared" si="1"/>
        <v>5482.6010851566143</v>
      </c>
      <c r="K14" s="6"/>
      <c r="L14" t="s">
        <v>4</v>
      </c>
      <c r="M14" s="6" t="n">
        <v>80.0</v>
      </c>
      <c r="N14" s="6" t="n">
        <v>61.0</v>
      </c>
      <c r="O14" s="6" t="n">
        <v>14.0</v>
      </c>
      <c r="P14" s="6" t="n">
        <v>0.0</v>
      </c>
      <c r="Q14" s="6" t="n">
        <v>3.0</v>
      </c>
      <c r="R14" s="6" t="n">
        <v>717.0</v>
      </c>
      <c r="S14" s="6" t="n">
        <v>0.0</v>
      </c>
      <c r="T14" s="6" t="n">
        <v>0.0</v>
      </c>
      <c r="U14" s="6">
        <f t="shared" si="0"/>
        <v>915</v>
      </c>
    </row>
    <row r="15" spans="1:21" x14ac:dyDescent="0.25">
      <c r="A15" s="4" t="s">
        <v>5</v>
      </c>
      <c r="B15" s="10" t="n">
        <v>878.2603621920107</v>
      </c>
      <c r="C15" s="10" t="n">
        <v>1194.5684253914192</v>
      </c>
      <c r="D15" s="10" t="n">
        <v>6373.753616813292</v>
      </c>
      <c r="E15" s="10" t="n">
        <v>0.0</v>
      </c>
      <c r="F15" s="10" t="n">
        <v>153.7636225749735</v>
      </c>
      <c r="G15" s="10" t="n">
        <v>531.9292309422959</v>
      </c>
      <c r="H15" s="10" t="n">
        <v>48554.48384931254</v>
      </c>
      <c r="I15" s="10" t="n">
        <v>0.0</v>
      </c>
      <c r="J15" s="6">
        <f t="shared" si="1"/>
        <v>57686.759107226535</v>
      </c>
      <c r="K15" s="6"/>
      <c r="L15" s="4" t="s">
        <v>5</v>
      </c>
      <c r="M15" s="8" t="n">
        <v>465.0</v>
      </c>
      <c r="N15" s="8" t="n">
        <v>126.0</v>
      </c>
      <c r="O15" s="8" t="n">
        <v>31.0</v>
      </c>
      <c r="P15" s="8" t="n">
        <v>0.0</v>
      </c>
      <c r="Q15" s="8" t="n">
        <v>11.0</v>
      </c>
      <c r="R15" s="8" t="n">
        <v>19.0</v>
      </c>
      <c r="S15" s="8" t="n">
        <v>26844.0</v>
      </c>
      <c r="T15" s="8" t="n">
        <v>0.0</v>
      </c>
      <c r="U15" s="6">
        <f t="shared" si="0"/>
        <v>28846</v>
      </c>
    </row>
    <row r="16" spans="1:21" ht="15.75" thickBot="1" x14ac:dyDescent="0.3">
      <c r="A16" s="12" t="s">
        <v>7</v>
      </c>
      <c r="B16" s="16">
        <f t="shared" ref="B16:J16" si="2">SUM(B5:B15)</f>
        <v>207325.54634738259</v>
      </c>
      <c r="C16" s="16">
        <f t="shared" si="2"/>
        <v>138850.72861516371</v>
      </c>
      <c r="D16" s="16">
        <f t="shared" si="2"/>
        <v>98586.940306814009</v>
      </c>
      <c r="E16" s="16">
        <f t="shared" si="2"/>
        <v>569.29559252998001</v>
      </c>
      <c r="F16" s="16">
        <f t="shared" si="2"/>
        <v>855.10558505338474</v>
      </c>
      <c r="G16" s="16">
        <f t="shared" si="2"/>
        <v>5584.4880220683981</v>
      </c>
      <c r="H16" s="16">
        <f t="shared" si="2"/>
        <v>48554.483849312543</v>
      </c>
      <c r="I16" s="16">
        <f t="shared" si="2"/>
        <v>5190.1986876760402</v>
      </c>
      <c r="J16" s="16">
        <f t="shared" si="2"/>
        <v>505516.78700600064</v>
      </c>
      <c r="L16" s="9" t="s">
        <v>7</v>
      </c>
      <c r="M16" s="16">
        <f t="shared" ref="M16:U16" si="3">SUM(M5:M15)</f>
        <v>100027</v>
      </c>
      <c r="N16" s="16">
        <f t="shared" si="3"/>
        <v>47697</v>
      </c>
      <c r="O16" s="16">
        <f t="shared" si="3"/>
        <v>19840</v>
      </c>
      <c r="P16" s="16">
        <f t="shared" si="3"/>
        <v>0</v>
      </c>
      <c r="Q16" s="16">
        <f t="shared" si="3"/>
        <v>339</v>
      </c>
      <c r="R16" s="16">
        <f t="shared" si="3"/>
        <v>816</v>
      </c>
      <c r="S16" s="16">
        <f t="shared" si="3"/>
        <v>28097</v>
      </c>
      <c r="T16" s="16">
        <f t="shared" si="3"/>
        <v>0</v>
      </c>
      <c r="U16" s="16">
        <f t="shared" si="3"/>
        <v>196816</v>
      </c>
    </row>
    <row r="17" spans="1:21" x14ac:dyDescent="0.25">
      <c r="E17" s="33">
        <f>E16/J16</f>
        <v>1.1261655540693693E-3</v>
      </c>
      <c r="F17" s="33">
        <f>F16/J16</f>
        <v>1.6915473571468842E-3</v>
      </c>
      <c r="P17" s="33">
        <f>P16/U16</f>
        <v>0</v>
      </c>
      <c r="Q17" s="33">
        <f>Q16/U16</f>
        <v>1.7224209413868792E-3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0.9946993480058135</v>
      </c>
      <c r="C22" s="13">
        <f t="shared" si="4"/>
        <v>8.9052924404110806E-2</v>
      </c>
      <c r="D22" s="13">
        <f t="shared" si="4"/>
        <v>2.323083741642408E-2</v>
      </c>
      <c r="E22" s="13">
        <f t="shared" si="4"/>
        <v>0.5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0.43750585515333712</v>
      </c>
      <c r="K22" s="6"/>
      <c r="L22" t="s">
        <v>1</v>
      </c>
      <c r="M22" s="13">
        <f t="shared" ref="M22:P22" si="5">M5/M$16</f>
        <v>0.99416157637437896</v>
      </c>
      <c r="N22" s="13">
        <f t="shared" si="5"/>
        <v>0.11373880956873599</v>
      </c>
      <c r="O22" s="13">
        <f t="shared" si="5"/>
        <v>4.9848790322580647E-2</v>
      </c>
      <c r="P22" s="13" t="e">
        <f t="shared" si="5"/>
        <v>#DIV/0!</v>
      </c>
      <c r="Q22" s="13">
        <f t="shared" ref="Q22:U33" si="6">Q5/Q$16</f>
        <v>5.8997050147492625E-3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0.53785769449638243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0.90098934850926049</v>
      </c>
      <c r="D23" s="13">
        <f t="shared" si="7"/>
        <v>5.321710305162216E-2</v>
      </c>
      <c r="E23" s="13">
        <f t="shared" si="7"/>
        <v>0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>
        <f t="shared" si="7"/>
        <v>5.9312279316729506E-2</v>
      </c>
      <c r="J23" s="13">
        <f t="shared" si="7"/>
        <v>0.25846299222816144</v>
      </c>
      <c r="K23" s="6"/>
      <c r="L23" t="s">
        <v>12</v>
      </c>
      <c r="M23" s="13">
        <f t="shared" ref="M23:P23" si="8">M6/M$16</f>
        <v>0</v>
      </c>
      <c r="N23" s="13">
        <f t="shared" si="8"/>
        <v>0.8822148143489108</v>
      </c>
      <c r="O23" s="13">
        <f t="shared" si="8"/>
        <v>0.17147177419354839</v>
      </c>
      <c r="P23" s="13" t="e">
        <f t="shared" si="8"/>
        <v>#DIV/0!</v>
      </c>
      <c r="Q23" s="13">
        <f t="shared" si="6"/>
        <v>0.17404129793510326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0.23138362734737014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0.8589009648030026</v>
      </c>
      <c r="E24" s="13">
        <f t="shared" si="9"/>
        <v>0</v>
      </c>
      <c r="F24" s="13">
        <f t="shared" si="9"/>
        <v>3.2978577337569898E-2</v>
      </c>
      <c r="G24" s="13">
        <f t="shared" si="9"/>
        <v>0</v>
      </c>
      <c r="H24" s="13">
        <f t="shared" si="9"/>
        <v>0</v>
      </c>
      <c r="I24" s="13">
        <f t="shared" si="9"/>
        <v>4.8299517175124783E-2</v>
      </c>
      <c r="J24" s="13">
        <f t="shared" si="9"/>
        <v>0.16805634271017061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0.7759072580645161</v>
      </c>
      <c r="P24" s="13" t="e">
        <f t="shared" si="10"/>
        <v>#DIV/0!</v>
      </c>
      <c r="Q24" s="13">
        <f t="shared" si="6"/>
        <v>3.2448377581120944E-2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7.8271075522315256E-2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0.5</v>
      </c>
      <c r="F25" s="13">
        <f t="shared" si="11"/>
        <v>0.56071990686462003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1.5115670535911796E-3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0.5663716814159292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9.7553044467929432E-4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0.20160577386018327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3.4102571395874538E-4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7.0796460176991149E-2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1.2194130558491179E-4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0.10324483775811209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1.7783107064466304E-4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0.89238820350814563</v>
      </c>
      <c r="J30" s="13">
        <f t="shared" si="21"/>
        <v>9.1622517823341382E-3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1.0645104396843146E-3</v>
      </c>
      <c r="C31" s="13">
        <f t="shared" si="23"/>
        <v>1.3544706449411688E-3</v>
      </c>
      <c r="D31" s="13">
        <f t="shared" si="23"/>
        <v>0</v>
      </c>
      <c r="E31" s="13">
        <f t="shared" si="23"/>
        <v>0</v>
      </c>
      <c r="F31" s="13">
        <f t="shared" si="23"/>
        <v>2.4877453690364475E-2</v>
      </c>
      <c r="G31" s="13">
        <f t="shared" si="23"/>
        <v>0.90474879186055113</v>
      </c>
      <c r="H31" s="13">
        <f t="shared" si="23"/>
        <v>0</v>
      </c>
      <c r="I31" s="13">
        <f t="shared" si="23"/>
        <v>0</v>
      </c>
      <c r="J31" s="13">
        <f t="shared" si="23"/>
        <v>1.0845537133649202E-2</v>
      </c>
      <c r="K31" s="6"/>
      <c r="L31" t="s">
        <v>4</v>
      </c>
      <c r="M31" s="13">
        <f t="shared" ref="M31:P31" si="24">M14/M$16</f>
        <v>6.1983264518579982E-4</v>
      </c>
      <c r="N31" s="13">
        <f t="shared" si="24"/>
        <v>1.0482839591588571E-3</v>
      </c>
      <c r="O31" s="13">
        <f t="shared" si="24"/>
        <v>5.0403225806451612E-4</v>
      </c>
      <c r="P31" s="13" t="e">
        <f t="shared" si="24"/>
        <v>#DIV/0!</v>
      </c>
      <c r="Q31" s="13">
        <f t="shared" si="6"/>
        <v>8.8495575221238937E-3</v>
      </c>
      <c r="R31" s="13">
        <f t="shared" si="6"/>
        <v>0.96813725490196079</v>
      </c>
      <c r="S31" s="13">
        <f t="shared" si="6"/>
        <v>0</v>
      </c>
      <c r="T31" s="13" t="e">
        <f t="shared" si="6"/>
        <v>#DIV/0!</v>
      </c>
      <c r="U31" s="13">
        <f t="shared" si="6"/>
        <v>4.6490122754247621E-3</v>
      </c>
    </row>
    <row r="32" spans="1:21" x14ac:dyDescent="0.25">
      <c r="A32" s="4" t="s">
        <v>5</v>
      </c>
      <c r="B32" s="14">
        <f t="shared" ref="B32:J32" si="25">B15/B$16</f>
        <v>4.2361415545021592E-3</v>
      </c>
      <c r="C32" s="14">
        <f t="shared" si="25"/>
        <v>8.6032564416875651E-3</v>
      </c>
      <c r="D32" s="14">
        <f t="shared" si="25"/>
        <v>6.4651094728951225E-2</v>
      </c>
      <c r="E32" s="14">
        <f t="shared" si="25"/>
        <v>0</v>
      </c>
      <c r="F32" s="14">
        <f t="shared" si="25"/>
        <v>0.17981828824726243</v>
      </c>
      <c r="G32" s="14">
        <f t="shared" si="25"/>
        <v>9.5251208139448831E-2</v>
      </c>
      <c r="H32" s="14">
        <f t="shared" si="25"/>
        <v>1</v>
      </c>
      <c r="I32" s="14">
        <f t="shared" si="25"/>
        <v>0</v>
      </c>
      <c r="J32" s="14">
        <f t="shared" si="25"/>
        <v>0.11411442822479756</v>
      </c>
      <c r="K32" s="6"/>
      <c r="L32" s="4" t="s">
        <v>5</v>
      </c>
      <c r="M32" s="14">
        <f t="shared" ref="M32:P32" si="26">M15/M$16</f>
        <v>5.2185909804352828E-3</v>
      </c>
      <c r="N32" s="14">
        <f t="shared" si="26"/>
        <v>2.998092123194331E-3</v>
      </c>
      <c r="O32" s="14">
        <f t="shared" si="26"/>
        <v>2.2681451612903227E-3</v>
      </c>
      <c r="P32" s="14" t="e">
        <f t="shared" si="26"/>
        <v>#DIV/0!</v>
      </c>
      <c r="Q32" s="14">
        <f t="shared" si="6"/>
        <v>3.8348082595870206E-2</v>
      </c>
      <c r="R32" s="14">
        <f t="shared" si="6"/>
        <v>3.1862745098039214E-2</v>
      </c>
      <c r="S32" s="14">
        <f t="shared" si="6"/>
        <v>1</v>
      </c>
      <c r="T32" s="14" t="e">
        <f t="shared" si="6"/>
        <v>#DIV/0!</v>
      </c>
      <c r="U32" s="14">
        <f t="shared" si="6"/>
        <v>0.14656328753759856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1" si="29">M22-B22</f>
        <v>-5.3777163143453599E-4</v>
      </c>
      <c r="N39" s="13">
        <f t="shared" si="29"/>
        <v>2.4685885164625179E-2</v>
      </c>
      <c r="O39" s="13">
        <f t="shared" si="29"/>
        <v>2.6617952906156567E-2</v>
      </c>
      <c r="P39" s="13" t="e">
        <f t="shared" si="29"/>
        <v>#DIV/0!</v>
      </c>
      <c r="Q39" s="13">
        <f t="shared" ref="Q39:Q50" si="30">Q22-F22</f>
        <v>5.8997050147492625E-3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0.10035183934304531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t="shared" si="29"/>
        <v>0</v>
      </c>
      <c r="N40" s="13">
        <f t="shared" si="29"/>
        <v>-1.8774534160349687E-2</v>
      </c>
      <c r="O40" s="13">
        <f t="shared" si="29"/>
        <v>0.11825467114192623</v>
      </c>
      <c r="P40" s="13" t="e">
        <f t="shared" si="29"/>
        <v>#DIV/0!</v>
      </c>
      <c r="Q40" s="13">
        <f t="shared" si="30"/>
        <v>0.17404129793510326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-2.7079364880791296E-2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-8.2993706738486495E-2</v>
      </c>
      <c r="P41" s="13" t="e">
        <f t="shared" si="29"/>
        <v>#DIV/0!</v>
      </c>
      <c r="Q41" s="13">
        <f t="shared" si="30"/>
        <v>-5.3019975644895412E-4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-8.9785267187855358E-2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ref="M42:P42" si="35">M25-B25</f>
        <v>0</v>
      </c>
      <c r="N42" s="13">
        <f t="shared" si="35"/>
        <v>0</v>
      </c>
      <c r="O42" s="13">
        <f t="shared" si="35"/>
        <v>0</v>
      </c>
      <c r="P42" s="13" t="e">
        <f t="shared" si="35"/>
        <v>#DIV/0!</v>
      </c>
      <c r="Q42" s="13">
        <f t="shared" si="30"/>
        <v>5.6517745513091633E-3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-5.3603660891188526E-4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ref="M43:P43" si="36">M26-B26</f>
        <v>0</v>
      </c>
      <c r="N43" s="13">
        <f t="shared" si="36"/>
        <v>0</v>
      </c>
      <c r="O43" s="13">
        <f t="shared" si="36"/>
        <v>0</v>
      </c>
      <c r="P43" s="13" t="e">
        <f t="shared" si="36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ref="M44:P44" si="37">M27-B27</f>
        <v>0</v>
      </c>
      <c r="N44" s="13">
        <f t="shared" si="37"/>
        <v>0</v>
      </c>
      <c r="O44" s="13">
        <f t="shared" si="37"/>
        <v>0</v>
      </c>
      <c r="P44" s="13" t="e">
        <f t="shared" si="37"/>
        <v>#DIV/0!</v>
      </c>
      <c r="Q44" s="13">
        <f t="shared" si="30"/>
        <v>-0.13080931368319212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-2.1908440837383359E-4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8">M28-B28</f>
        <v>0</v>
      </c>
      <c r="N45" s="13">
        <f t="shared" ref="N45:N47" si="39">N28-C28</f>
        <v>0</v>
      </c>
      <c r="O45" s="13">
        <f t="shared" ref="O45:O47" si="40">O28-D28</f>
        <v>0</v>
      </c>
      <c r="P45" s="13" t="e">
        <f t="shared" ref="P45:P47" si="41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8"/>
        <v>0</v>
      </c>
      <c r="N46" s="13">
        <f t="shared" si="39"/>
        <v>0</v>
      </c>
      <c r="O46" s="13">
        <f t="shared" si="40"/>
        <v>0</v>
      </c>
      <c r="P46" s="13" t="e">
        <f t="shared" si="41"/>
        <v>#DIV/0!</v>
      </c>
      <c r="Q46" s="13">
        <f t="shared" si="30"/>
        <v>0.10324483775811209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1.7783107064466304E-4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8"/>
        <v>0</v>
      </c>
      <c r="N47" s="13">
        <f t="shared" si="39"/>
        <v>0</v>
      </c>
      <c r="O47" s="13">
        <f t="shared" si="40"/>
        <v>0</v>
      </c>
      <c r="P47" s="13" t="e">
        <f t="shared" si="41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-9.1622517823341382E-3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48" si="42">M31-B31</f>
        <v>-4.4467779449851481E-4</v>
      </c>
      <c r="N48" s="13">
        <f t="shared" si="42"/>
        <v>-3.0618668578231176E-4</v>
      </c>
      <c r="O48" s="13">
        <f t="shared" si="42"/>
        <v>5.0403225806451612E-4</v>
      </c>
      <c r="P48" s="13" t="e">
        <f t="shared" si="42"/>
        <v>#DIV/0!</v>
      </c>
      <c r="Q48" s="13">
        <f t="shared" si="30"/>
        <v>-1.6027896168240581E-2</v>
      </c>
      <c r="R48" s="13">
        <f t="shared" si="31"/>
        <v>6.3388463041409659E-2</v>
      </c>
      <c r="S48" s="13">
        <f t="shared" si="32"/>
        <v>0</v>
      </c>
      <c r="T48" s="13" t="e">
        <f t="shared" si="33"/>
        <v>#DIV/0!</v>
      </c>
      <c r="U48" s="13">
        <f t="shared" si="34"/>
        <v>-6.1965248582244396E-3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ref="M49:P49" si="43">M32-B32</f>
        <v>9.8244942593312366E-4</v>
      </c>
      <c r="N49" s="17">
        <f t="shared" si="43"/>
        <v>-5.6051643184932345E-3</v>
      </c>
      <c r="O49" s="17">
        <f t="shared" si="43"/>
        <v>-6.2382949567660904E-2</v>
      </c>
      <c r="P49" s="17" t="e">
        <f t="shared" si="43"/>
        <v>#DIV/0!</v>
      </c>
      <c r="Q49" s="17">
        <f t="shared" si="30"/>
        <v>-0.14147020565139223</v>
      </c>
      <c r="R49" s="17">
        <f t="shared" si="31"/>
        <v>-6.3388463041409618E-2</v>
      </c>
      <c r="S49" s="17">
        <f t="shared" si="32"/>
        <v>0</v>
      </c>
      <c r="T49" s="17" t="e">
        <f t="shared" si="33"/>
        <v>#DIV/0!</v>
      </c>
      <c r="U49" s="13">
        <f t="shared" si="34"/>
        <v>3.2448859312801004E-2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ref="M50:P50" si="44">M33-B33</f>
        <v>0</v>
      </c>
      <c r="N50" s="15">
        <f t="shared" si="44"/>
        <v>0</v>
      </c>
      <c r="O50" s="15">
        <f t="shared" si="44"/>
        <v>0</v>
      </c>
      <c r="P50" s="15" t="e">
        <f t="shared" si="44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1055595.8532362387</v>
      </c>
      <c r="C5" s="6" t="n">
        <v>172235.14166975798</v>
      </c>
      <c r="D5" s="6" t="n">
        <v>65467.35227247007</v>
      </c>
      <c r="E5" s="6" t="n">
        <v>11127.597647257731</v>
      </c>
      <c r="F5" s="6" t="n">
        <v>576.755495765708</v>
      </c>
      <c r="G5" s="6" t="n">
        <v>0.0</v>
      </c>
      <c r="H5" s="6" t="n">
        <v>0.0</v>
      </c>
      <c r="I5" s="6" t="n">
        <v>77.1011029845701</v>
      </c>
      <c r="J5" s="6">
        <f>SUM(B5:I5)</f>
        <v>1305079.8014244745</v>
      </c>
      <c r="K5" s="6"/>
      <c r="L5" t="s">
        <v>1</v>
      </c>
      <c r="M5" s="6" t="n">
        <v>1073300.0</v>
      </c>
      <c r="N5" s="6" t="n">
        <v>188146.0</v>
      </c>
      <c r="O5" s="6" t="n">
        <v>46507.0</v>
      </c>
      <c r="P5" s="6" t="n">
        <v>8067.0</v>
      </c>
      <c r="Q5" s="6" t="n">
        <v>203.0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1258797</v>
      </c>
    </row>
    <row r="6" spans="1:21" x14ac:dyDescent="0.25">
      <c r="A6" t="s">
        <v>12</v>
      </c>
      <c r="B6" s="6" t="n">
        <v>0.0</v>
      </c>
      <c r="C6" s="6" t="n">
        <v>216599.97474958035</v>
      </c>
      <c r="D6" s="6" t="n">
        <v>34935.55440651843</v>
      </c>
      <c r="E6" s="6" t="n">
        <v>3001.070129237127</v>
      </c>
      <c r="F6" s="6" t="n">
        <v>1056.1592949689364</v>
      </c>
      <c r="G6" s="6" t="n">
        <v>0.0</v>
      </c>
      <c r="H6" s="6" t="n">
        <v>0.0</v>
      </c>
      <c r="I6" s="6" t="n">
        <v>74.876583728347</v>
      </c>
      <c r="J6" s="6">
        <f t="shared" ref="J6:J15" si="1">SUM(B6:I6)</f>
        <v>255667.63516403321</v>
      </c>
      <c r="K6" s="6"/>
      <c r="L6" t="s">
        <v>12</v>
      </c>
      <c r="M6" s="6" t="n">
        <v>0.0</v>
      </c>
      <c r="N6" s="6" t="n">
        <v>191072.0</v>
      </c>
      <c r="O6" s="6" t="n">
        <v>21115.0</v>
      </c>
      <c r="P6" s="6" t="n">
        <v>371.0</v>
      </c>
      <c r="Q6" s="6" t="n">
        <v>432.0</v>
      </c>
      <c r="R6" s="6" t="n">
        <v>0.0</v>
      </c>
      <c r="S6" s="6" t="n">
        <v>0.0</v>
      </c>
      <c r="T6" s="6" t="n">
        <v>0.0</v>
      </c>
      <c r="U6" s="6">
        <f t="shared" si="0"/>
        <v>217823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79525.07067115238</v>
      </c>
      <c r="E7" s="6" t="n">
        <v>480.729954811248</v>
      </c>
      <c r="F7" s="6" t="n">
        <v>1414.4190208421644</v>
      </c>
      <c r="G7" s="6" t="n">
        <v>0.0</v>
      </c>
      <c r="H7" s="6" t="n">
        <v>0.0</v>
      </c>
      <c r="I7" s="6" t="n">
        <v>232.6109380974213</v>
      </c>
      <c r="J7" s="6">
        <f t="shared" si="1"/>
        <v>81652.830584903219</v>
      </c>
      <c r="K7" s="6"/>
      <c r="L7" t="s">
        <v>56</v>
      </c>
      <c r="M7" s="6" t="n">
        <v>0.0</v>
      </c>
      <c r="N7" s="6" t="n">
        <v>0.0</v>
      </c>
      <c r="O7" s="6" t="n">
        <v>78887.0</v>
      </c>
      <c r="P7" s="6" t="n">
        <v>0.0</v>
      </c>
      <c r="Q7" s="6" t="n">
        <v>134.0</v>
      </c>
      <c r="R7" s="6" t="n">
        <v>0.0</v>
      </c>
      <c r="S7" s="6" t="n">
        <v>0.0</v>
      </c>
      <c r="T7" s="6" t="n">
        <v>0.0</v>
      </c>
      <c r="U7" s="6">
        <f t="shared" si="0"/>
        <v>80784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5137.899226536232</v>
      </c>
      <c r="F8" s="6" t="n">
        <v>15953.747002015725</v>
      </c>
      <c r="G8" s="6" t="n">
        <v>0.0</v>
      </c>
      <c r="H8" s="6" t="n">
        <v>0.0</v>
      </c>
      <c r="I8" s="6" t="n">
        <v>0.0</v>
      </c>
      <c r="J8" s="6">
        <f t="shared" si="1"/>
        <v>21091.646228551959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2610.0</v>
      </c>
      <c r="Q8" s="6" t="n">
        <v>4521.0</v>
      </c>
      <c r="R8" s="6" t="n">
        <v>0.0</v>
      </c>
      <c r="S8" s="6" t="n">
        <v>0.0</v>
      </c>
      <c r="T8" s="6" t="n">
        <v>0.0</v>
      </c>
      <c r="U8" s="6">
        <f t="shared" si="0"/>
        <v>7489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3140.707046673779</v>
      </c>
      <c r="F10" s="6" t="n">
        <v>1610.4684019566484</v>
      </c>
      <c r="G10" s="6" t="n">
        <v>0.0</v>
      </c>
      <c r="H10" s="6" t="n">
        <v>0.0</v>
      </c>
      <c r="I10" s="6" t="n">
        <v>0.0</v>
      </c>
      <c r="J10" s="6">
        <f t="shared" si="1"/>
        <v>4751.1754486304271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1450.0</v>
      </c>
      <c r="Q10" s="6" t="n">
        <v>686.0</v>
      </c>
      <c r="R10" s="6" t="n">
        <v>0.0</v>
      </c>
      <c r="S10" s="6" t="n">
        <v>0.0</v>
      </c>
      <c r="T10" s="6" t="n">
        <v>0.0</v>
      </c>
      <c r="U10" s="6">
        <f t="shared" si="0"/>
        <v>1455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2868.4502628845958</v>
      </c>
      <c r="F11" s="6" t="n">
        <v>114.9185259168155</v>
      </c>
      <c r="G11" s="6" t="n">
        <v>0.0</v>
      </c>
      <c r="H11" s="6" t="n">
        <v>0.0</v>
      </c>
      <c r="I11" s="6" t="n">
        <v>0.0</v>
      </c>
      <c r="J11" s="6">
        <f t="shared" si="1"/>
        <v>2983.368788801411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1192.0</v>
      </c>
      <c r="Q11" s="6" t="n">
        <v>203.0</v>
      </c>
      <c r="R11" s="6" t="n">
        <v>0.0</v>
      </c>
      <c r="S11" s="6" t="n">
        <v>0.0</v>
      </c>
      <c r="T11" s="6" t="n">
        <v>0.0</v>
      </c>
      <c r="U11" s="6">
        <f t="shared" si="0"/>
        <v>638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1606.0</v>
      </c>
      <c r="Q12" s="6" t="n">
        <v>517.0</v>
      </c>
      <c r="R12" s="6" t="n">
        <v>0.0</v>
      </c>
      <c r="S12" s="6" t="n">
        <v>0.0</v>
      </c>
      <c r="T12" s="6" t="n">
        <v>0.0</v>
      </c>
      <c r="U12" s="6">
        <f t="shared" si="0"/>
        <v>902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876.9180111701835</v>
      </c>
      <c r="J13" s="6">
        <f t="shared" si="1"/>
        <v>876.91801117018349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729.6224455661578</v>
      </c>
      <c r="C14" s="6" t="n">
        <v>166.45807309175098</v>
      </c>
      <c r="D14" s="6" t="n">
        <v>251.4354421891287</v>
      </c>
      <c r="E14" s="6" t="n">
        <v>0.0</v>
      </c>
      <c r="F14" s="6" t="n">
        <v>0.0</v>
      </c>
      <c r="G14" s="6" t="n">
        <v>9040.465660666081</v>
      </c>
      <c r="H14" s="6" t="n">
        <v>0.0</v>
      </c>
      <c r="I14" s="6" t="n">
        <v>0.0</v>
      </c>
      <c r="J14" s="6">
        <f t="shared" si="1"/>
        <v>10187.981621513118</v>
      </c>
      <c r="K14" s="6"/>
      <c r="L14" t="s">
        <v>4</v>
      </c>
      <c r="M14" s="6" t="n">
        <v>715.0</v>
      </c>
      <c r="N14" s="6" t="n">
        <v>1403.0</v>
      </c>
      <c r="O14" s="6" t="n">
        <v>434.0</v>
      </c>
      <c r="P14" s="6" t="n">
        <v>0.0</v>
      </c>
      <c r="Q14" s="6" t="n">
        <v>152.0</v>
      </c>
      <c r="R14" s="6" t="n">
        <v>10583.0</v>
      </c>
      <c r="S14" s="6" t="n">
        <v>0.0</v>
      </c>
      <c r="T14" s="6" t="n">
        <v>0.0</v>
      </c>
      <c r="U14" s="6">
        <f t="shared" si="0"/>
        <v>11821</v>
      </c>
    </row>
    <row r="15" spans="1:21" x14ac:dyDescent="0.25">
      <c r="A15" s="4" t="s">
        <v>5</v>
      </c>
      <c r="B15" s="10" t="n">
        <v>9049.305109232124</v>
      </c>
      <c r="C15" s="10" t="n">
        <v>3712.061007435991</v>
      </c>
      <c r="D15" s="10" t="n">
        <v>1000.5660896784448</v>
      </c>
      <c r="E15" s="10" t="n">
        <v>354.752423469334</v>
      </c>
      <c r="F15" s="10" t="n">
        <v>1791.3362996841195</v>
      </c>
      <c r="G15" s="10" t="n">
        <v>107.8726180368078</v>
      </c>
      <c r="H15" s="10" t="n">
        <v>12942.696314490262</v>
      </c>
      <c r="I15" s="10" t="n">
        <v>0.0</v>
      </c>
      <c r="J15" s="6">
        <f t="shared" si="1"/>
        <v>28958.589862027082</v>
      </c>
      <c r="K15" s="6"/>
      <c r="L15" s="4" t="s">
        <v>5</v>
      </c>
      <c r="M15" s="8" t="n">
        <v>3265.0</v>
      </c>
      <c r="N15" s="8" t="n">
        <v>3215.0</v>
      </c>
      <c r="O15" s="8" t="n">
        <v>1036.0</v>
      </c>
      <c r="P15" s="8" t="n">
        <v>0.0</v>
      </c>
      <c r="Q15" s="8" t="n">
        <v>233.0</v>
      </c>
      <c r="R15" s="8" t="n">
        <v>277.0</v>
      </c>
      <c r="S15" s="8" t="n">
        <v>12916.0</v>
      </c>
      <c r="T15" s="8" t="n">
        <v>0.0</v>
      </c>
      <c r="U15" s="6">
        <f t="shared" si="0"/>
        <v>24247</v>
      </c>
    </row>
    <row r="16" spans="1:21" ht="15.75" thickBot="1" x14ac:dyDescent="0.3">
      <c r="A16" s="12" t="s">
        <v>7</v>
      </c>
      <c r="B16" s="16">
        <f t="shared" ref="B16:J16" si="2">SUM(B5:B15)</f>
        <v>1065374.780791037</v>
      </c>
      <c r="C16" s="16">
        <f t="shared" si="2"/>
        <v>392713.6354998661</v>
      </c>
      <c r="D16" s="16">
        <f t="shared" si="2"/>
        <v>181179.97888200844</v>
      </c>
      <c r="E16" s="16">
        <f t="shared" si="2"/>
        <v>26111.206690870044</v>
      </c>
      <c r="F16" s="16">
        <f t="shared" si="2"/>
        <v>22517.804041150117</v>
      </c>
      <c r="G16" s="16">
        <f t="shared" si="2"/>
        <v>9148.3382787028895</v>
      </c>
      <c r="H16" s="16">
        <f t="shared" si="2"/>
        <v>12942.696314490262</v>
      </c>
      <c r="I16" s="16">
        <f t="shared" si="2"/>
        <v>1261.5066359805219</v>
      </c>
      <c r="J16" s="16">
        <f t="shared" si="2"/>
        <v>1711249.9471341048</v>
      </c>
      <c r="L16" s="9" t="s">
        <v>7</v>
      </c>
      <c r="M16" s="16">
        <f t="shared" ref="M16:U16" si="3">SUM(M5:M15)</f>
        <v>1015210</v>
      </c>
      <c r="N16" s="16">
        <f t="shared" si="3"/>
        <v>395863</v>
      </c>
      <c r="O16" s="16">
        <f t="shared" si="3"/>
        <v>152425</v>
      </c>
      <c r="P16" s="16">
        <f t="shared" si="3"/>
        <v>7285</v>
      </c>
      <c r="Q16" s="16">
        <f t="shared" si="3"/>
        <v>9511</v>
      </c>
      <c r="R16" s="16">
        <f t="shared" si="3"/>
        <v>9663</v>
      </c>
      <c r="S16" s="16">
        <f t="shared" si="3"/>
        <v>13999</v>
      </c>
      <c r="T16" s="16">
        <f t="shared" si="3"/>
        <v>0</v>
      </c>
      <c r="U16" s="16">
        <f t="shared" si="3"/>
        <v>1603956</v>
      </c>
    </row>
    <row r="17" spans="1:21" x14ac:dyDescent="0.25">
      <c r="E17" s="33">
        <f>E16/J16</f>
        <v>1.5258558070140175E-2</v>
      </c>
      <c r="F17" s="33">
        <f>F16/J16</f>
        <v>1.3158687939690831E-2</v>
      </c>
      <c r="P17" s="33">
        <f>P16/U16</f>
        <v>4.5418951642064997E-3</v>
      </c>
      <c r="Q17" s="33">
        <f>Q16/U16</f>
        <v>5.9297137826723424E-3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0.99082113850344988</v>
      </c>
      <c r="C22" s="13">
        <f t="shared" si="4"/>
        <v>0.43857693265610259</v>
      </c>
      <c r="D22" s="13">
        <f t="shared" si="4"/>
        <v>0.36133877858052404</v>
      </c>
      <c r="E22" s="13">
        <f t="shared" si="4"/>
        <v>0.42616175418459573</v>
      </c>
      <c r="F22" s="13">
        <f t="shared" si="4"/>
        <v>2.561331001512036E-2</v>
      </c>
      <c r="G22" s="13">
        <f t="shared" si="4"/>
        <v>0</v>
      </c>
      <c r="H22" s="13">
        <f t="shared" si="4"/>
        <v>0</v>
      </c>
      <c r="I22" s="13">
        <f t="shared" si="4"/>
        <v>6.1118269841396677E-2</v>
      </c>
      <c r="J22" s="13">
        <f t="shared" si="4"/>
        <v>0.76264709524762364</v>
      </c>
      <c r="K22" s="6"/>
      <c r="L22" t="s">
        <v>1</v>
      </c>
      <c r="M22" s="13">
        <f t="shared" ref="M22:P22" si="5">M5/M$16</f>
        <v>0.9960096925759202</v>
      </c>
      <c r="N22" s="13">
        <f t="shared" si="5"/>
        <v>0.49177114304696323</v>
      </c>
      <c r="O22" s="13">
        <f t="shared" si="5"/>
        <v>0.32011809086435949</v>
      </c>
      <c r="P22" s="13">
        <f t="shared" si="5"/>
        <v>0.51956074124914209</v>
      </c>
      <c r="Q22" s="13">
        <f t="shared" ref="Q22:U33" si="6">Q5/Q$16</f>
        <v>4.0479444853327724E-2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0.78480768799144118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0.55154686562864252</v>
      </c>
      <c r="D23" s="13">
        <f t="shared" si="7"/>
        <v>0.19282237817937845</v>
      </c>
      <c r="E23" s="13">
        <f t="shared" si="7"/>
        <v>0.11493417997746044</v>
      </c>
      <c r="F23" s="13">
        <f t="shared" si="7"/>
        <v>4.6903298964626396E-2</v>
      </c>
      <c r="G23" s="13">
        <f t="shared" si="7"/>
        <v>0</v>
      </c>
      <c r="H23" s="13">
        <f t="shared" si="7"/>
        <v>0</v>
      </c>
      <c r="I23" s="13">
        <f t="shared" si="7"/>
        <v>5.9354886920708297E-2</v>
      </c>
      <c r="J23" s="13">
        <f t="shared" si="7"/>
        <v>0.14940402808614223</v>
      </c>
      <c r="K23" s="6"/>
      <c r="L23" t="s">
        <v>12</v>
      </c>
      <c r="M23" s="13">
        <f t="shared" ref="M23:P23" si="8">M6/M$16</f>
        <v>0</v>
      </c>
      <c r="N23" s="13">
        <f t="shared" si="8"/>
        <v>0.49434779203916507</v>
      </c>
      <c r="O23" s="13">
        <f t="shared" si="8"/>
        <v>0.13936034115138593</v>
      </c>
      <c r="P23" s="13">
        <f t="shared" si="8"/>
        <v>2.8002745367192862E-2</v>
      </c>
      <c r="Q23" s="13">
        <f t="shared" si="6"/>
        <v>7.1811586583955422E-2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0.13580360059752264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0.43892857898466947</v>
      </c>
      <c r="E24" s="13">
        <f t="shared" si="9"/>
        <v>1.8410867046575002E-2</v>
      </c>
      <c r="F24" s="13">
        <f t="shared" si="9"/>
        <v>6.2813363961129923E-2</v>
      </c>
      <c r="G24" s="13">
        <f t="shared" si="9"/>
        <v>0</v>
      </c>
      <c r="H24" s="13">
        <f t="shared" si="9"/>
        <v>0</v>
      </c>
      <c r="I24" s="13">
        <f t="shared" si="9"/>
        <v>0.18439137097096719</v>
      </c>
      <c r="J24" s="13">
        <f t="shared" si="9"/>
        <v>4.7715315183296463E-2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0.52886337543053963</v>
      </c>
      <c r="P24" s="13">
        <f t="shared" si="10"/>
        <v>0</v>
      </c>
      <c r="Q24" s="13">
        <f t="shared" si="6"/>
        <v>1.8084323414993164E-2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5.036547137203265E-2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0.19676988839940257</v>
      </c>
      <c r="F25" s="13">
        <f t="shared" si="11"/>
        <v>0.70849479695538164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1.2325286708627772E-2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>
        <f t="shared" si="12"/>
        <v>0.21564859299931366</v>
      </c>
      <c r="Q25" s="13">
        <f t="shared" si="6"/>
        <v>0.62222689517400909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4.6690806979742591E-3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>
        <f t="shared" si="14"/>
        <v>0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0.12028195723991371</v>
      </c>
      <c r="F27" s="13">
        <f t="shared" si="15"/>
        <v>7.1519780481862319E-2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2.7764357022113579E-3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>
        <f t="shared" si="16"/>
        <v>9.9931365820178447E-2</v>
      </c>
      <c r="Q27" s="13">
        <f t="shared" si="6"/>
        <v>7.6437808852907158E-2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9.0713211584357676E-4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0.10985513985792041</v>
      </c>
      <c r="F28" s="13">
        <f t="shared" si="17"/>
        <v>5.1034517267673106E-3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1.7433857595132564E-3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>
        <f t="shared" si="18"/>
        <v>7.6046671242278652E-2</v>
      </c>
      <c r="Q28" s="13">
        <f t="shared" si="6"/>
        <v>8.8318788770896852E-3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3.9776652227367832E-4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6.0809883321894305E-2</v>
      </c>
      <c r="Q29" s="13">
        <f t="shared" si="6"/>
        <v>4.8259909578382928E-2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5.6235956597313144E-4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0.69513547226692785</v>
      </c>
      <c r="J30" s="13">
        <f t="shared" si="21"/>
        <v>5.1244297341764206E-4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6.8485049460661692E-4</v>
      </c>
      <c r="C31" s="13">
        <f t="shared" si="23"/>
        <v>4.2386629351403747E-4</v>
      </c>
      <c r="D31" s="13">
        <f t="shared" si="23"/>
        <v>1.3877661524227983E-3</v>
      </c>
      <c r="E31" s="13">
        <f t="shared" si="23"/>
        <v>0</v>
      </c>
      <c r="F31" s="13">
        <f t="shared" si="23"/>
        <v>0</v>
      </c>
      <c r="G31" s="13">
        <f t="shared" si="23"/>
        <v>0.98820850139659422</v>
      </c>
      <c r="H31" s="13">
        <f t="shared" si="23"/>
        <v>0</v>
      </c>
      <c r="I31" s="13">
        <f t="shared" si="23"/>
        <v>0</v>
      </c>
      <c r="J31" s="13">
        <f t="shared" si="23"/>
        <v>5.9535321760420309E-3</v>
      </c>
      <c r="K31" s="6"/>
      <c r="L31" t="s">
        <v>4</v>
      </c>
      <c r="M31" s="13">
        <f t="shared" ref="M31:P31" si="24">M14/M$16</f>
        <v>5.4569990445326583E-4</v>
      </c>
      <c r="N31" s="13">
        <f t="shared" si="24"/>
        <v>3.2839644018258841E-3</v>
      </c>
      <c r="O31" s="13">
        <f t="shared" si="24"/>
        <v>2.6504838445136954E-3</v>
      </c>
      <c r="P31" s="13">
        <f t="shared" si="24"/>
        <v>0</v>
      </c>
      <c r="Q31" s="13">
        <f t="shared" si="6"/>
        <v>2.4182525496793186E-2</v>
      </c>
      <c r="R31" s="13">
        <f t="shared" si="6"/>
        <v>0.96584911518162064</v>
      </c>
      <c r="S31" s="13">
        <f t="shared" si="6"/>
        <v>0</v>
      </c>
      <c r="T31" s="13" t="e">
        <f t="shared" si="6"/>
        <v>#DIV/0!</v>
      </c>
      <c r="U31" s="13">
        <f t="shared" si="6"/>
        <v>7.3699029150425576E-3</v>
      </c>
    </row>
    <row r="32" spans="1:21" x14ac:dyDescent="0.25">
      <c r="A32" s="4" t="s">
        <v>5</v>
      </c>
      <c r="B32" s="14">
        <f t="shared" ref="B32:J32" si="25">B15/B$16</f>
        <v>8.4940110019434169E-3</v>
      </c>
      <c r="C32" s="14">
        <f t="shared" si="25"/>
        <v>9.4523354217408029E-3</v>
      </c>
      <c r="D32" s="14">
        <f t="shared" si="25"/>
        <v>5.5224981030053714E-3</v>
      </c>
      <c r="E32" s="14">
        <f t="shared" si="25"/>
        <v>1.3586213294132269E-2</v>
      </c>
      <c r="F32" s="14">
        <f t="shared" si="25"/>
        <v>7.9551997895112039E-2</v>
      </c>
      <c r="G32" s="14">
        <f t="shared" si="25"/>
        <v>1.1791498603405674E-2</v>
      </c>
      <c r="H32" s="14">
        <f t="shared" si="25"/>
        <v>1</v>
      </c>
      <c r="I32" s="14">
        <f t="shared" si="25"/>
        <v>0</v>
      </c>
      <c r="J32" s="14">
        <f t="shared" si="25"/>
        <v>1.6922478163125809E-2</v>
      </c>
      <c r="K32" s="6"/>
      <c r="L32" s="4" t="s">
        <v>5</v>
      </c>
      <c r="M32" s="14">
        <f t="shared" ref="M32:P32" si="26">M15/M$16</f>
        <v>3.4446075196264813E-3</v>
      </c>
      <c r="N32" s="14">
        <f t="shared" si="26"/>
        <v>1.0597100512045834E-2</v>
      </c>
      <c r="O32" s="14">
        <f t="shared" si="26"/>
        <v>9.007708709201246E-3</v>
      </c>
      <c r="P32" s="14">
        <f t="shared" si="26"/>
        <v>0</v>
      </c>
      <c r="Q32" s="14">
        <f t="shared" si="6"/>
        <v>8.9685627168541684E-2</v>
      </c>
      <c r="R32" s="14">
        <f t="shared" si="6"/>
        <v>3.4150884818379384E-2</v>
      </c>
      <c r="S32" s="14">
        <f t="shared" si="6"/>
        <v>1</v>
      </c>
      <c r="T32" s="14" t="e">
        <f t="shared" si="6"/>
        <v>#DIV/0!</v>
      </c>
      <c r="U32" s="14">
        <f t="shared" si="6"/>
        <v>1.5116998221896362E-2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>
        <f t="shared" si="28"/>
        <v>1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5.1885540724703194E-3</v>
      </c>
      <c r="N39" s="13">
        <f t="shared" si="29"/>
        <v>5.3194210390860641E-2</v>
      </c>
      <c r="O39" s="13">
        <f t="shared" si="29"/>
        <v>-4.122068771616455E-2</v>
      </c>
      <c r="P39" s="13">
        <f t="shared" si="29"/>
        <v>9.3398987064546357E-2</v>
      </c>
      <c r="Q39" s="13">
        <f t="shared" ref="Q39:Q50" si="30">Q22-F22</f>
        <v>1.4866134838207364E-2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2.2160592743817542E-2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t="shared" si="29"/>
        <v>0</v>
      </c>
      <c r="N40" s="13">
        <f t="shared" si="29"/>
        <v>-5.7199073589477456E-2</v>
      </c>
      <c r="O40" s="13">
        <f t="shared" si="29"/>
        <v>-5.3462037027992515E-2</v>
      </c>
      <c r="P40" s="13">
        <f t="shared" si="29"/>
        <v>-8.6931434610267588E-2</v>
      </c>
      <c r="Q40" s="13">
        <f t="shared" si="30"/>
        <v>2.4908287619329027E-2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-1.3600427488619588E-2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8.9934796445870158E-2</v>
      </c>
      <c r="P41" s="13">
        <f t="shared" si="29"/>
        <v>-1.8410867046575002E-2</v>
      </c>
      <c r="Q41" s="13">
        <f t="shared" si="30"/>
        <v>-4.4729040546136759E-2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2.6501561887361871E-3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>
        <f t="shared" si="29"/>
        <v>1.8878704599911089E-2</v>
      </c>
      <c r="Q42" s="13">
        <f t="shared" si="30"/>
        <v>-8.6267901781372558E-2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-7.6562060106535133E-3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>
        <f t="shared" si="29"/>
        <v>0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>
        <f t="shared" si="29"/>
        <v>-2.0350591419735262E-2</v>
      </c>
      <c r="Q44" s="13">
        <f t="shared" si="30"/>
        <v>4.9180283710448386E-3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-1.8693035863677813E-3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>
        <f t="shared" ref="P45:P47" si="38">P28-E28</f>
        <v>-3.3808468615641754E-2</v>
      </c>
      <c r="Q45" s="13">
        <f t="shared" si="30"/>
        <v>3.7284271503223746E-3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-1.345619237239578E-3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>
        <f t="shared" si="38"/>
        <v>6.0809883321894305E-2</v>
      </c>
      <c r="Q46" s="13">
        <f t="shared" si="30"/>
        <v>4.8259909578382928E-2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5.6235956597313144E-4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>
        <f t="shared" si="38"/>
        <v>0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-5.1244297341764206E-4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-1.391505901533511E-4</v>
      </c>
      <c r="N48" s="13">
        <f t="shared" si="39"/>
        <v>2.8600981083118466E-3</v>
      </c>
      <c r="O48" s="13">
        <f t="shared" si="39"/>
        <v>1.2627176920908972E-3</v>
      </c>
      <c r="P48" s="13">
        <f t="shared" si="39"/>
        <v>0</v>
      </c>
      <c r="Q48" s="13">
        <f t="shared" si="30"/>
        <v>2.4182525496793186E-2</v>
      </c>
      <c r="R48" s="13">
        <f t="shared" si="31"/>
        <v>-2.2359386214973576E-2</v>
      </c>
      <c r="S48" s="13">
        <f t="shared" si="32"/>
        <v>0</v>
      </c>
      <c r="T48" s="13" t="e">
        <f t="shared" si="33"/>
        <v>#DIV/0!</v>
      </c>
      <c r="U48" s="13">
        <f t="shared" si="34"/>
        <v>1.4163707390005267E-3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-5.0494034823169356E-3</v>
      </c>
      <c r="N49" s="17">
        <f t="shared" si="39"/>
        <v>1.1447650903050315E-3</v>
      </c>
      <c r="O49" s="17">
        <f t="shared" si="39"/>
        <v>3.4852106061958746E-3</v>
      </c>
      <c r="P49" s="17">
        <f t="shared" si="39"/>
        <v>-1.3586213294132269E-2</v>
      </c>
      <c r="Q49" s="17">
        <f t="shared" si="30"/>
        <v>1.0133629273429645E-2</v>
      </c>
      <c r="R49" s="17">
        <f t="shared" si="31"/>
        <v>2.2359386214973711E-2</v>
      </c>
      <c r="S49" s="17">
        <f t="shared" si="32"/>
        <v>0</v>
      </c>
      <c r="T49" s="17" t="e">
        <f t="shared" si="33"/>
        <v>#DIV/0!</v>
      </c>
      <c r="U49" s="13">
        <f t="shared" si="34"/>
        <v>-1.8054799412294473E-3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>
        <f t="shared" si="39"/>
        <v>0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64387.66210105469</v>
      </c>
      <c r="C5" s="6" t="n">
        <v>10692.846364099636</v>
      </c>
      <c r="D5" s="6" t="n">
        <v>4805.678448814718</v>
      </c>
      <c r="E5" s="6" t="n">
        <v>1548.6950817873828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81434.881995756441</v>
      </c>
      <c r="K5" s="6"/>
      <c r="L5" t="s">
        <v>1</v>
      </c>
      <c r="M5" s="6" t="n">
        <v>65210.0</v>
      </c>
      <c r="N5" s="6" t="n">
        <v>4855.0</v>
      </c>
      <c r="O5" s="6" t="n">
        <v>4577.0</v>
      </c>
      <c r="P5" s="6" t="n">
        <v>0.0</v>
      </c>
      <c r="Q5" s="6" t="n">
        <v>1.0</v>
      </c>
      <c r="R5" s="6" t="n">
        <v>0.0</v>
      </c>
      <c r="S5" s="6" t="n">
        <v>0.0</v>
      </c>
      <c r="T5" s="6" t="n">
        <v>926.0</v>
      </c>
      <c r="U5" s="6">
        <f t="shared" ref="U5:U15" si="0">SUM(M5:T5)</f>
        <v>67033</v>
      </c>
    </row>
    <row r="6" spans="1:21" x14ac:dyDescent="0.25">
      <c r="A6" t="s">
        <v>12</v>
      </c>
      <c r="B6" s="6" t="n">
        <v>0.0</v>
      </c>
      <c r="C6" s="6" t="n">
        <v>80739.82716143887</v>
      </c>
      <c r="D6" s="6" t="n">
        <v>46802.80349224918</v>
      </c>
      <c r="E6" s="6" t="n">
        <v>51.8421211207097</v>
      </c>
      <c r="F6" s="6" t="n">
        <v>701.9174025389738</v>
      </c>
      <c r="G6" s="6" t="n">
        <v>0.0</v>
      </c>
      <c r="H6" s="6" t="n">
        <v>0.0</v>
      </c>
      <c r="I6" s="6" t="n">
        <v>20774.532190888378</v>
      </c>
      <c r="J6" s="6">
        <f t="shared" ref="J6:J15" si="1">SUM(B6:I6)</f>
        <v>149070.92236823612</v>
      </c>
      <c r="K6" s="6"/>
      <c r="L6" t="s">
        <v>12</v>
      </c>
      <c r="M6" s="6" t="n">
        <v>0.0</v>
      </c>
      <c r="N6" s="6" t="n">
        <v>87116.0</v>
      </c>
      <c r="O6" s="6" t="n">
        <v>35854.0</v>
      </c>
      <c r="P6" s="6" t="n">
        <v>0.0</v>
      </c>
      <c r="Q6" s="6" t="n">
        <v>26.0</v>
      </c>
      <c r="R6" s="6" t="n">
        <v>0.0</v>
      </c>
      <c r="S6" s="6" t="n">
        <v>0.0</v>
      </c>
      <c r="T6" s="6" t="n">
        <v>23485.0</v>
      </c>
      <c r="U6" s="6">
        <f t="shared" si="0"/>
        <v>137979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156946.35258468892</v>
      </c>
      <c r="E7" s="6" t="n">
        <v>717.3188836430342</v>
      </c>
      <c r="F7" s="6" t="n">
        <v>1569.034605952313</v>
      </c>
      <c r="G7" s="6" t="n">
        <v>0.0</v>
      </c>
      <c r="H7" s="6" t="n">
        <v>0.0</v>
      </c>
      <c r="I7" s="6" t="n">
        <v>19957.566000502913</v>
      </c>
      <c r="J7" s="6">
        <f t="shared" si="1"/>
        <v>179190.27207478715</v>
      </c>
      <c r="K7" s="6"/>
      <c r="L7" t="s">
        <v>56</v>
      </c>
      <c r="M7" s="6" t="n">
        <v>0.0</v>
      </c>
      <c r="N7" s="6" t="n">
        <v>0.0</v>
      </c>
      <c r="O7" s="6" t="n">
        <v>159278.0</v>
      </c>
      <c r="P7" s="6" t="n">
        <v>0.0</v>
      </c>
      <c r="Q7" s="6" t="n">
        <v>6.0</v>
      </c>
      <c r="R7" s="6" t="n">
        <v>0.0</v>
      </c>
      <c r="S7" s="6" t="n">
        <v>0.0</v>
      </c>
      <c r="T7" s="6" t="n">
        <v>25201.0</v>
      </c>
      <c r="U7" s="6">
        <f t="shared" si="0"/>
        <v>174580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1671.2473382953829</v>
      </c>
      <c r="F8" s="6" t="n">
        <v>6773.747389348501</v>
      </c>
      <c r="G8" s="6" t="n">
        <v>0.0</v>
      </c>
      <c r="H8" s="6" t="n">
        <v>0.0</v>
      </c>
      <c r="I8" s="6" t="n">
        <v>55.771814602786</v>
      </c>
      <c r="J8" s="6">
        <f t="shared" si="1"/>
        <v>8500.7665422466689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1377.0</v>
      </c>
      <c r="R8" s="6" t="n">
        <v>0.0</v>
      </c>
      <c r="S8" s="6" t="n">
        <v>0.0</v>
      </c>
      <c r="T8" s="6" t="n">
        <v>87.0</v>
      </c>
      <c r="U8" s="6">
        <f t="shared" si="0"/>
        <v>2179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60.3370631273951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60.337063127395098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26.0</v>
      </c>
      <c r="R10" s="6" t="n">
        <v>0.0</v>
      </c>
      <c r="S10" s="6" t="n">
        <v>0.0</v>
      </c>
      <c r="T10" s="6" t="n">
        <v>9.0</v>
      </c>
      <c r="U10" s="6">
        <f t="shared" si="0"/>
        <v>313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142.0</v>
      </c>
      <c r="R11" s="6" t="n">
        <v>0.0</v>
      </c>
      <c r="S11" s="6" t="n">
        <v>0.0</v>
      </c>
      <c r="T11" s="6" t="n">
        <v>20.0</v>
      </c>
      <c r="U11" s="6">
        <f t="shared" si="0"/>
        <v>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105.0</v>
      </c>
      <c r="R12" s="6" t="n">
        <v>0.0</v>
      </c>
      <c r="S12" s="6" t="n">
        <v>0.0</v>
      </c>
      <c r="T12" s="6" t="n">
        <v>7.0</v>
      </c>
      <c r="U12" s="6">
        <f t="shared" si="0"/>
        <v>144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143361.94381666955</v>
      </c>
      <c r="J13" s="6">
        <f t="shared" si="1"/>
        <v>143361.94381666955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148511.0</v>
      </c>
      <c r="U13" s="6">
        <f t="shared" si="0"/>
        <v>144237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267.3929728860348</v>
      </c>
      <c r="E14" s="6" t="n">
        <v>0.0</v>
      </c>
      <c r="F14" s="6" t="n">
        <v>0.0</v>
      </c>
      <c r="G14" s="6" t="n">
        <v>1236.1276623375736</v>
      </c>
      <c r="H14" s="6" t="n">
        <v>0.0</v>
      </c>
      <c r="I14" s="6" t="n">
        <v>124.9035005867426</v>
      </c>
      <c r="J14" s="6">
        <f t="shared" si="1"/>
        <v>1628.4241358103511</v>
      </c>
      <c r="K14" s="6"/>
      <c r="L14" t="s">
        <v>4</v>
      </c>
      <c r="M14" s="6" t="n">
        <v>117.0</v>
      </c>
      <c r="N14" s="6" t="n">
        <v>1006.0</v>
      </c>
      <c r="O14" s="6" t="n">
        <v>1112.0</v>
      </c>
      <c r="P14" s="6" t="n">
        <v>0.0</v>
      </c>
      <c r="Q14" s="6" t="n">
        <v>24.0</v>
      </c>
      <c r="R14" s="6" t="n">
        <v>1144.0</v>
      </c>
      <c r="S14" s="6" t="n">
        <v>0.0</v>
      </c>
      <c r="T14" s="6" t="n">
        <v>1046.0</v>
      </c>
      <c r="U14" s="6">
        <f t="shared" si="0"/>
        <v>3883</v>
      </c>
    </row>
    <row r="15" spans="1:21" x14ac:dyDescent="0.25">
      <c r="A15" s="4" t="s">
        <v>5</v>
      </c>
      <c r="B15" s="10" t="n">
        <v>2325.825171798793</v>
      </c>
      <c r="C15" s="10" t="n">
        <v>2141.3665506444327</v>
      </c>
      <c r="D15" s="10" t="n">
        <v>4676.269281341713</v>
      </c>
      <c r="E15" s="10" t="n">
        <v>0.0</v>
      </c>
      <c r="F15" s="10" t="n">
        <v>161.8143726512547</v>
      </c>
      <c r="G15" s="10" t="n">
        <v>0.0</v>
      </c>
      <c r="H15" s="10" t="n">
        <v>11877.139447527561</v>
      </c>
      <c r="I15" s="10" t="n">
        <v>2068.811864472603</v>
      </c>
      <c r="J15" s="6">
        <f t="shared" si="1"/>
        <v>23251.226688436356</v>
      </c>
      <c r="K15" s="6"/>
      <c r="L15" s="4" t="s">
        <v>5</v>
      </c>
      <c r="M15" s="8" t="n">
        <v>1136.0</v>
      </c>
      <c r="N15" s="8" t="n">
        <v>3794.0</v>
      </c>
      <c r="O15" s="8" t="n">
        <v>4106.0</v>
      </c>
      <c r="P15" s="8" t="n">
        <v>0.0</v>
      </c>
      <c r="Q15" s="8" t="n">
        <v>119.0</v>
      </c>
      <c r="R15" s="8" t="n">
        <v>45.0</v>
      </c>
      <c r="S15" s="8" t="n">
        <v>20708.0</v>
      </c>
      <c r="T15" s="8" t="n">
        <v>4000.0</v>
      </c>
      <c r="U15" s="6">
        <f t="shared" si="0"/>
        <v>38983</v>
      </c>
    </row>
    <row r="16" spans="1:21" ht="15.75" thickBot="1" x14ac:dyDescent="0.3">
      <c r="A16" s="12" t="s">
        <v>7</v>
      </c>
      <c r="B16" s="16">
        <f t="shared" ref="B16:J16" si="2">SUM(B5:B15)</f>
        <v>66713.487272853483</v>
      </c>
      <c r="C16" s="16">
        <f t="shared" si="2"/>
        <v>93574.040076182937</v>
      </c>
      <c r="D16" s="16">
        <f t="shared" si="2"/>
        <v>213498.49677998057</v>
      </c>
      <c r="E16" s="16">
        <f t="shared" si="2"/>
        <v>4049.4404879739045</v>
      </c>
      <c r="F16" s="16">
        <f t="shared" si="2"/>
        <v>9206.513770491043</v>
      </c>
      <c r="G16" s="16">
        <f t="shared" si="2"/>
        <v>1236.1276623375736</v>
      </c>
      <c r="H16" s="16">
        <f t="shared" si="2"/>
        <v>11877.139447527561</v>
      </c>
      <c r="I16" s="16">
        <f t="shared" si="2"/>
        <v>186343.52918772298</v>
      </c>
      <c r="J16" s="16">
        <f t="shared" si="2"/>
        <v>586498.77468507004</v>
      </c>
      <c r="L16" s="9" t="s">
        <v>7</v>
      </c>
      <c r="M16" s="16">
        <f t="shared" ref="M16:U16" si="3">SUM(M5:M15)</f>
        <v>57858</v>
      </c>
      <c r="N16" s="16">
        <f t="shared" si="3"/>
        <v>91029</v>
      </c>
      <c r="O16" s="16">
        <f t="shared" si="3"/>
        <v>193992</v>
      </c>
      <c r="P16" s="16">
        <f t="shared" si="3"/>
        <v>0</v>
      </c>
      <c r="Q16" s="16">
        <f t="shared" si="3"/>
        <v>2992</v>
      </c>
      <c r="R16" s="16">
        <f t="shared" si="3"/>
        <v>819</v>
      </c>
      <c r="S16" s="16">
        <f t="shared" si="3"/>
        <v>24965</v>
      </c>
      <c r="T16" s="16">
        <f t="shared" si="3"/>
        <v>197680</v>
      </c>
      <c r="U16" s="16">
        <f t="shared" si="3"/>
        <v>569335</v>
      </c>
    </row>
    <row r="17" spans="1:21" x14ac:dyDescent="0.25">
      <c r="E17" s="33">
        <f>E16/J16</f>
        <v>6.9044312840181414E-3</v>
      </c>
      <c r="F17" s="34">
        <f>F16/J16</f>
        <v>1.5697413477862129E-2</v>
      </c>
      <c r="P17" s="33">
        <f>P16/U16</f>
        <v>0</v>
      </c>
      <c r="Q17" s="34">
        <f>Q16/U16</f>
        <v>5.255253936610256E-3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0.96513710694980859</v>
      </c>
      <c r="C22" s="13">
        <f t="shared" si="4"/>
        <v>0.11427150473992677</v>
      </c>
      <c r="D22" s="13">
        <f t="shared" si="4"/>
        <v>2.2509191030825743E-2</v>
      </c>
      <c r="E22" s="13">
        <f t="shared" si="4"/>
        <v>0.38244668279154198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0.13884919374210836</v>
      </c>
      <c r="K22" s="6"/>
      <c r="L22" t="s">
        <v>1</v>
      </c>
      <c r="M22" s="13">
        <f t="shared" ref="M22:P22" si="5">M5/M$16</f>
        <v>0.9832175325797643</v>
      </c>
      <c r="N22" s="13">
        <f t="shared" si="5"/>
        <v>5.2071317931648153E-2</v>
      </c>
      <c r="O22" s="13">
        <f t="shared" si="5"/>
        <v>2.3134974638129406E-2</v>
      </c>
      <c r="P22" s="13" t="e">
        <f t="shared" si="5"/>
        <v>#DIV/0!</v>
      </c>
      <c r="Q22" s="13">
        <f t="shared" ref="Q22:U33" si="6">Q5/Q$16</f>
        <v>5.3475935828877002E-3</v>
      </c>
      <c r="R22" s="13">
        <f t="shared" si="6"/>
        <v>0</v>
      </c>
      <c r="S22" s="13">
        <f t="shared" si="6"/>
        <v>0</v>
      </c>
      <c r="T22" s="13">
        <f t="shared" si="6"/>
        <v>4.5629299878591663E-3</v>
      </c>
      <c r="U22" s="13">
        <f t="shared" si="6"/>
        <v>0.11773911668876848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0.86284430057422823</v>
      </c>
      <c r="D23" s="13">
        <f t="shared" si="7"/>
        <v>0.21921842166636654</v>
      </c>
      <c r="E23" s="13">
        <f t="shared" si="7"/>
        <v>1.2802292384508746E-2</v>
      </c>
      <c r="F23" s="13">
        <f t="shared" si="7"/>
        <v>7.6241389524531814E-2</v>
      </c>
      <c r="G23" s="13">
        <f t="shared" si="7"/>
        <v>0</v>
      </c>
      <c r="H23" s="13">
        <f t="shared" si="7"/>
        <v>0</v>
      </c>
      <c r="I23" s="13">
        <f t="shared" si="7"/>
        <v>0.11148512793250823</v>
      </c>
      <c r="J23" s="13">
        <f t="shared" si="7"/>
        <v>0.25417090163279904</v>
      </c>
      <c r="K23" s="6"/>
      <c r="L23" t="s">
        <v>12</v>
      </c>
      <c r="M23" s="13">
        <f t="shared" ref="M23:P23" si="8">M6/M$16</f>
        <v>0</v>
      </c>
      <c r="N23" s="13">
        <f t="shared" si="8"/>
        <v>0.8948576827164969</v>
      </c>
      <c r="O23" s="13">
        <f t="shared" si="8"/>
        <v>0.17379582663202606</v>
      </c>
      <c r="P23" s="13" t="e">
        <f t="shared" si="8"/>
        <v>#DIV/0!</v>
      </c>
      <c r="Q23" s="13">
        <f t="shared" si="6"/>
        <v>1.9719251336898395E-2</v>
      </c>
      <c r="R23" s="13">
        <f t="shared" si="6"/>
        <v>0</v>
      </c>
      <c r="S23" s="13">
        <f t="shared" si="6"/>
        <v>0</v>
      </c>
      <c r="T23" s="13">
        <f t="shared" si="6"/>
        <v>0.11506980979360583</v>
      </c>
      <c r="U23" s="13">
        <f t="shared" si="6"/>
        <v>0.24235116407738852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0.73511689755094123</v>
      </c>
      <c r="E24" s="13">
        <f t="shared" si="9"/>
        <v>0.17714024586195048</v>
      </c>
      <c r="F24" s="13">
        <f t="shared" si="9"/>
        <v>0.1704265746043224</v>
      </c>
      <c r="G24" s="13">
        <f t="shared" si="9"/>
        <v>0</v>
      </c>
      <c r="H24" s="13">
        <f t="shared" si="9"/>
        <v>0</v>
      </c>
      <c r="I24" s="13">
        <f t="shared" si="9"/>
        <v>0.1071009338907476</v>
      </c>
      <c r="J24" s="13">
        <f t="shared" si="9"/>
        <v>0.30552539887403218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0.774753598086519</v>
      </c>
      <c r="P24" s="13" t="e">
        <f t="shared" si="10"/>
        <v>#DIV/0!</v>
      </c>
      <c r="Q24" s="13">
        <f t="shared" si="6"/>
        <v>5.3475935828877002E-3</v>
      </c>
      <c r="R24" s="13">
        <f t="shared" si="6"/>
        <v>0</v>
      </c>
      <c r="S24" s="13">
        <f t="shared" si="6"/>
        <v>0</v>
      </c>
      <c r="T24" s="13">
        <f t="shared" si="6"/>
        <v>0.12276406313233509</v>
      </c>
      <c r="U24" s="13">
        <f t="shared" si="6"/>
        <v>0.30663844660876288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0.41271068021833657</v>
      </c>
      <c r="F25" s="13">
        <f t="shared" si="11"/>
        <v>0.73575596129122101</v>
      </c>
      <c r="G25" s="13">
        <f t="shared" si="11"/>
        <v>0</v>
      </c>
      <c r="H25" s="13">
        <f t="shared" si="11"/>
        <v>0</v>
      </c>
      <c r="I25" s="13">
        <f t="shared" si="11"/>
        <v>2.9929568708877101E-4</v>
      </c>
      <c r="J25" s="13">
        <f t="shared" si="11"/>
        <v>1.449409088162425E-2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0.70889037433155078</v>
      </c>
      <c r="R25" s="13">
        <f t="shared" si="6"/>
        <v>0</v>
      </c>
      <c r="S25" s="13">
        <f t="shared" si="6"/>
        <v>0</v>
      </c>
      <c r="T25" s="13">
        <f t="shared" si="6"/>
        <v>2.9340348037231888E-4</v>
      </c>
      <c r="U25" s="13">
        <f t="shared" si="6"/>
        <v>3.8272721684070011E-3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>
        <f t="shared" si="6"/>
        <v>0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1.4900098743662268E-2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1.0287670790070116E-4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0.10127005347593583</v>
      </c>
      <c r="R27" s="13">
        <f t="shared" si="6"/>
        <v>0</v>
      </c>
      <c r="S27" s="13">
        <f t="shared" si="6"/>
        <v>0</v>
      </c>
      <c r="T27" s="13">
        <f t="shared" si="6"/>
        <v>5.0586806960744638E-5</v>
      </c>
      <c r="U27" s="13">
        <f t="shared" si="6"/>
        <v>5.4976419858255687E-4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1.002673796791444E-3</v>
      </c>
      <c r="R28" s="13">
        <f t="shared" si="6"/>
        <v>0</v>
      </c>
      <c r="S28" s="13">
        <f t="shared" si="6"/>
        <v>0</v>
      </c>
      <c r="T28" s="13">
        <f t="shared" si="6"/>
        <v>5.0586806960744642E-6</v>
      </c>
      <c r="U28" s="13">
        <f t="shared" si="6"/>
        <v>7.0257405569655825E-6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4.4451871657754008E-2</v>
      </c>
      <c r="R29" s="13">
        <f t="shared" si="6"/>
        <v>0</v>
      </c>
      <c r="S29" s="13">
        <f t="shared" si="6"/>
        <v>0</v>
      </c>
      <c r="T29" s="13">
        <f t="shared" si="6"/>
        <v>5.5645487656819101E-5</v>
      </c>
      <c r="U29" s="13">
        <f t="shared" si="6"/>
        <v>2.5292666005076095E-4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0.76934221671977854</v>
      </c>
      <c r="J30" s="13">
        <f t="shared" si="21"/>
        <v>0.244436902521493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>
        <f t="shared" si="6"/>
        <v>0.72964892755969246</v>
      </c>
      <c r="U30" s="13">
        <f t="shared" si="6"/>
        <v>0.25334293517876116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1.2524349207085742E-3</v>
      </c>
      <c r="E31" s="13">
        <f t="shared" si="23"/>
        <v>0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6.7028622421825266E-4</v>
      </c>
      <c r="J31" s="13">
        <f t="shared" si="23"/>
        <v>2.7765175412084358E-3</v>
      </c>
      <c r="K31" s="6"/>
      <c r="L31" t="s">
        <v>4</v>
      </c>
      <c r="M31" s="13">
        <f t="shared" ref="M31:P31" si="24">M14/M$16</f>
        <v>1.6419509834422205E-3</v>
      </c>
      <c r="N31" s="13">
        <f t="shared" si="24"/>
        <v>9.9199156312823385E-3</v>
      </c>
      <c r="O31" s="13">
        <f t="shared" si="24"/>
        <v>5.2837230401253663E-3</v>
      </c>
      <c r="P31" s="13" t="e">
        <f t="shared" si="24"/>
        <v>#DIV/0!</v>
      </c>
      <c r="Q31" s="13">
        <f t="shared" si="6"/>
        <v>2.1390374331550801E-2</v>
      </c>
      <c r="R31" s="13">
        <f t="shared" si="6"/>
        <v>0.95360195360195366</v>
      </c>
      <c r="S31" s="13">
        <f t="shared" si="6"/>
        <v>0</v>
      </c>
      <c r="T31" s="13">
        <f t="shared" si="6"/>
        <v>5.1345609065155812E-3</v>
      </c>
      <c r="U31" s="13">
        <f t="shared" si="6"/>
        <v>6.8202376456743393E-3</v>
      </c>
    </row>
    <row r="32" spans="1:21" x14ac:dyDescent="0.25">
      <c r="A32" s="4" t="s">
        <v>5</v>
      </c>
      <c r="B32" s="14">
        <f t="shared" ref="B32:J32" si="25">B15/B$16</f>
        <v>3.486289305019135E-2</v>
      </c>
      <c r="C32" s="14">
        <f t="shared" si="25"/>
        <v>2.2884194685844999E-2</v>
      </c>
      <c r="D32" s="14">
        <f t="shared" si="25"/>
        <v>2.190305483115795E-2</v>
      </c>
      <c r="E32" s="14">
        <f t="shared" si="25"/>
        <v>0</v>
      </c>
      <c r="F32" s="14">
        <f t="shared" si="25"/>
        <v>1.7576074579924741E-2</v>
      </c>
      <c r="G32" s="14">
        <f t="shared" si="25"/>
        <v>0</v>
      </c>
      <c r="H32" s="14">
        <f t="shared" si="25"/>
        <v>1</v>
      </c>
      <c r="I32" s="14">
        <f t="shared" si="25"/>
        <v>1.1102139545658578E-2</v>
      </c>
      <c r="J32" s="14">
        <f t="shared" si="25"/>
        <v>3.9644118098834009E-2</v>
      </c>
      <c r="K32" s="6"/>
      <c r="L32" s="4" t="s">
        <v>5</v>
      </c>
      <c r="M32" s="14">
        <f t="shared" ref="M32:P32" si="26">M15/M$16</f>
        <v>1.5140516436793528E-2</v>
      </c>
      <c r="N32" s="14">
        <f t="shared" si="26"/>
        <v>4.3151083720572567E-2</v>
      </c>
      <c r="O32" s="14">
        <f t="shared" si="26"/>
        <v>2.3031877603200131E-2</v>
      </c>
      <c r="P32" s="14" t="e">
        <f t="shared" si="26"/>
        <v>#DIV/0!</v>
      </c>
      <c r="Q32" s="14">
        <f t="shared" si="6"/>
        <v>9.2580213903743311E-2</v>
      </c>
      <c r="R32" s="14">
        <f t="shared" si="6"/>
        <v>4.63980463980464E-2</v>
      </c>
      <c r="S32" s="14">
        <f t="shared" si="6"/>
        <v>1</v>
      </c>
      <c r="T32" s="14">
        <f t="shared" si="6"/>
        <v>2.2415014164305948E-2</v>
      </c>
      <c r="U32" s="14">
        <f t="shared" si="6"/>
        <v>6.847111103304733E-2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>
        <f t="shared" si="6"/>
        <v>1</v>
      </c>
      <c r="U33" s="15">
        <f t="shared" si="6"/>
        <v>1</v>
      </c>
    </row>
    <row r="36" spans="1:32" ht="15.75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1.808042562995571E-2</v>
      </c>
      <c r="N39" s="13">
        <f t="shared" si="29"/>
        <v>-6.2200186808278615E-2</v>
      </c>
      <c r="O39" s="13">
        <f t="shared" si="29"/>
        <v>6.257836073036635E-4</v>
      </c>
      <c r="P39" s="13" t="e">
        <f t="shared" si="29"/>
        <v>#DIV/0!</v>
      </c>
      <c r="Q39" s="13">
        <f t="shared" ref="Q39:Q50" si="30">Q22-F22</f>
        <v>5.3475935828877002E-3</v>
      </c>
      <c r="R39" s="13">
        <f t="shared" ref="R39:R50" si="31">R22-G22</f>
        <v>0</v>
      </c>
      <c r="S39" s="13">
        <f t="shared" ref="S39:S50" si="32">S22-H22</f>
        <v>0</v>
      </c>
      <c r="T39" s="13">
        <f t="shared" ref="T39:T50" si="33">T22-I22</f>
        <v>4.5629299878591663E-3</v>
      </c>
      <c r="U39" s="13">
        <f t="shared" ref="U39:U50" si="34">U22-J22</f>
        <v>-2.1110077053339879E-2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3.2013382142268676E-2</v>
      </c>
      <c r="O40" s="13">
        <f t="shared" si="29"/>
        <v>-4.5422595034340485E-2</v>
      </c>
      <c r="P40" s="13" t="e">
        <f t="shared" si="29"/>
        <v>#DIV/0!</v>
      </c>
      <c r="Q40" s="13">
        <f t="shared" si="30"/>
        <v>-5.6522138187633422E-2</v>
      </c>
      <c r="R40" s="13">
        <f t="shared" si="31"/>
        <v>0</v>
      </c>
      <c r="S40" s="13">
        <f t="shared" si="32"/>
        <v>0</v>
      </c>
      <c r="T40" s="13">
        <f t="shared" si="33"/>
        <v>3.5846818610976022E-3</v>
      </c>
      <c r="U40" s="13">
        <f t="shared" si="34"/>
        <v>-1.181973755541052E-2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3.9636700535577774E-2</v>
      </c>
      <c r="P41" s="13" t="e">
        <f t="shared" si="29"/>
        <v>#DIV/0!</v>
      </c>
      <c r="Q41" s="13">
        <f t="shared" si="30"/>
        <v>-0.1650789810214347</v>
      </c>
      <c r="R41" s="13">
        <f t="shared" si="31"/>
        <v>0</v>
      </c>
      <c r="S41" s="13">
        <f t="shared" si="32"/>
        <v>0</v>
      </c>
      <c r="T41" s="13">
        <f t="shared" si="33"/>
        <v>1.5663129241587498E-2</v>
      </c>
      <c r="U41" s="13">
        <f t="shared" si="34"/>
        <v>1.1130477347306988E-3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-2.6865586959670229E-2</v>
      </c>
      <c r="R42" s="13">
        <f t="shared" si="31"/>
        <v>0</v>
      </c>
      <c r="S42" s="13">
        <f t="shared" si="32"/>
        <v>0</v>
      </c>
      <c r="T42" s="13">
        <f t="shared" si="33"/>
        <v>-5.892206716452133E-6</v>
      </c>
      <c r="U42" s="13">
        <f t="shared" si="34"/>
        <v>-1.0666818713217249E-2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>
        <f t="shared" si="33"/>
        <v>0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0.10127005347593583</v>
      </c>
      <c r="R44" s="13">
        <f t="shared" si="31"/>
        <v>0</v>
      </c>
      <c r="S44" s="13">
        <f t="shared" si="32"/>
        <v>0</v>
      </c>
      <c r="T44" s="13">
        <f t="shared" si="33"/>
        <v>5.0586806960744638E-5</v>
      </c>
      <c r="U44" s="13">
        <f t="shared" si="34"/>
        <v>4.4688749068185569E-4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1.002673796791444E-3</v>
      </c>
      <c r="R45" s="13">
        <f t="shared" si="31"/>
        <v>0</v>
      </c>
      <c r="S45" s="13">
        <f t="shared" si="32"/>
        <v>0</v>
      </c>
      <c r="T45" s="13">
        <f t="shared" si="33"/>
        <v>5.0586806960744642E-6</v>
      </c>
      <c r="U45" s="13">
        <f t="shared" si="34"/>
        <v>7.0257405569655825E-6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4.4451871657754008E-2</v>
      </c>
      <c r="R46" s="13">
        <f t="shared" si="31"/>
        <v>0</v>
      </c>
      <c r="S46" s="13">
        <f t="shared" si="32"/>
        <v>0</v>
      </c>
      <c r="T46" s="13">
        <f t="shared" si="33"/>
        <v>5.5645487656819101E-5</v>
      </c>
      <c r="U46" s="13">
        <f t="shared" si="34"/>
        <v>2.5292666005076095E-4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>
        <f t="shared" si="33"/>
        <v>-3.9693289160086076E-2</v>
      </c>
      <c r="U47" s="13">
        <f t="shared" si="34"/>
        <v>8.9060326572681647E-3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1.6419509834422205E-3</v>
      </c>
      <c r="N48" s="13">
        <f t="shared" si="39"/>
        <v>9.9199156312823385E-3</v>
      </c>
      <c r="O48" s="13">
        <f t="shared" si="39"/>
        <v>4.0312881194167916E-3</v>
      </c>
      <c r="P48" s="13" t="e">
        <f t="shared" si="39"/>
        <v>#DIV/0!</v>
      </c>
      <c r="Q48" s="13">
        <f t="shared" si="30"/>
        <v>2.1390374331550801E-2</v>
      </c>
      <c r="R48" s="13">
        <f t="shared" si="31"/>
        <v>-4.6398046398046344E-2</v>
      </c>
      <c r="S48" s="13">
        <f t="shared" si="32"/>
        <v>0</v>
      </c>
      <c r="T48" s="13">
        <f t="shared" si="33"/>
        <v>4.4642746822973287E-3</v>
      </c>
      <c r="U48" s="13">
        <f t="shared" si="34"/>
        <v>4.0437201044659036E-3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-1.9722376613397822E-2</v>
      </c>
      <c r="N49" s="17">
        <f t="shared" si="39"/>
        <v>2.0266889034727568E-2</v>
      </c>
      <c r="O49" s="17">
        <f t="shared" si="39"/>
        <v>1.1288227720421817E-3</v>
      </c>
      <c r="P49" s="17" t="e">
        <f t="shared" si="39"/>
        <v>#DIV/0!</v>
      </c>
      <c r="Q49" s="17">
        <f t="shared" si="30"/>
        <v>7.5004139323818567E-2</v>
      </c>
      <c r="R49" s="17">
        <f t="shared" si="31"/>
        <v>4.63980463980464E-2</v>
      </c>
      <c r="S49" s="17">
        <f t="shared" si="32"/>
        <v>0</v>
      </c>
      <c r="T49" s="17">
        <f t="shared" si="33"/>
        <v>1.131287461864737E-2</v>
      </c>
      <c r="U49" s="13">
        <f t="shared" si="34"/>
        <v>2.882699293421332E-2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>
        <f t="shared" si="33"/>
        <v>0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50"/>
  <sheetViews>
    <sheetView zoomScaleNormal="100"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9214.121457822852</v>
      </c>
      <c r="C5" s="6" t="n">
        <v>114942.4670278053</v>
      </c>
      <c r="D5" s="6" t="n">
        <v>50042.23370539543</v>
      </c>
      <c r="E5" s="6" t="n">
        <v>593.25632717503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174792.07851819863</v>
      </c>
      <c r="K5" s="6"/>
      <c r="L5" t="s">
        <v>1</v>
      </c>
      <c r="M5" s="6" t="n">
        <v>6529.0</v>
      </c>
      <c r="N5" s="6" t="n">
        <v>85735.0</v>
      </c>
      <c r="O5" s="6" t="n">
        <v>53361.0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160305</v>
      </c>
    </row>
    <row r="6" spans="1:21" x14ac:dyDescent="0.25">
      <c r="A6" t="s">
        <v>12</v>
      </c>
      <c r="B6" s="6" t="n">
        <v>0.0</v>
      </c>
      <c r="C6" s="6" t="n">
        <v>120182.5395688241</v>
      </c>
      <c r="D6" s="6" t="n">
        <v>69403.07894281414</v>
      </c>
      <c r="E6" s="6" t="n">
        <v>593.25632717503</v>
      </c>
      <c r="F6" s="6" t="n">
        <v>0.0</v>
      </c>
      <c r="G6" s="6" t="n">
        <v>0.0</v>
      </c>
      <c r="H6" s="6" t="n">
        <v>0.0</v>
      </c>
      <c r="I6" s="6" t="n">
        <v>374.72771456946</v>
      </c>
      <c r="J6" s="6">
        <f t="shared" ref="J6:J15" si="1">SUM(B6:I6)</f>
        <v>190553.60255338275</v>
      </c>
      <c r="K6" s="6"/>
      <c r="L6" t="s">
        <v>12</v>
      </c>
      <c r="M6" s="6" t="n">
        <v>0.0</v>
      </c>
      <c r="N6" s="6" t="n">
        <v>129868.0</v>
      </c>
      <c r="O6" s="6" t="n">
        <v>42238.0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t="shared" si="0"/>
        <v>191238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147364.0315832108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1124.18314370838</v>
      </c>
      <c r="J7" s="6">
        <f t="shared" si="1"/>
        <v>148488.21472691919</v>
      </c>
      <c r="K7" s="6"/>
      <c r="L7" t="s">
        <v>56</v>
      </c>
      <c r="M7" s="6" t="n">
        <v>0.0</v>
      </c>
      <c r="N7" s="6" t="n">
        <v>0.0</v>
      </c>
      <c r="O7" s="6" t="n">
        <v>132024.0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t="shared" si="0"/>
        <v>146082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593.25632717503</v>
      </c>
      <c r="F8" s="6" t="n">
        <v>2175.8579211308456</v>
      </c>
      <c r="G8" s="6" t="n">
        <v>0.0</v>
      </c>
      <c r="H8" s="6" t="n">
        <v>0.0</v>
      </c>
      <c r="I8" s="6" t="n">
        <v>0.0</v>
      </c>
      <c r="J8" s="6">
        <f t="shared" si="1"/>
        <v>2769.1142483058757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t="shared" si="0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374.72771456946</v>
      </c>
      <c r="J13" s="6">
        <f t="shared" si="1"/>
        <v>374.72771456945998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346.2733952823935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t="shared" si="1"/>
        <v>346.27339528239349</v>
      </c>
      <c r="K14" s="6"/>
      <c r="L14" t="s">
        <v>4</v>
      </c>
      <c r="M14" s="6" t="n">
        <v>5.0</v>
      </c>
      <c r="N14" s="6" t="n">
        <v>1540.0</v>
      </c>
      <c r="O14" s="6" t="n">
        <v>1142.0</v>
      </c>
      <c r="P14" s="6" t="n">
        <v>0.0</v>
      </c>
      <c r="Q14" s="6" t="n">
        <v>0.0</v>
      </c>
      <c r="R14" s="6" t="n">
        <v>9377.0</v>
      </c>
      <c r="S14" s="6" t="n">
        <v>0.0</v>
      </c>
      <c r="T14" s="6" t="n">
        <v>0.0</v>
      </c>
      <c r="U14" s="6">
        <f t="shared" si="0"/>
        <v>7377</v>
      </c>
    </row>
    <row r="15" spans="1:21" x14ac:dyDescent="0.25">
      <c r="A15" s="4" t="s">
        <v>5</v>
      </c>
      <c r="B15" s="10" t="n">
        <v>0.0</v>
      </c>
      <c r="C15" s="10" t="n">
        <v>679.4115306604758</v>
      </c>
      <c r="D15" s="10" t="n">
        <v>1178.299872557536</v>
      </c>
      <c r="E15" s="10" t="n">
        <v>0.0</v>
      </c>
      <c r="F15" s="10" t="n">
        <v>0.0</v>
      </c>
      <c r="G15" s="10" t="n">
        <v>0.0</v>
      </c>
      <c r="H15" s="10" t="n">
        <v>10937.310348896255</v>
      </c>
      <c r="I15" s="10" t="n">
        <v>0.0</v>
      </c>
      <c r="J15" s="6">
        <f t="shared" si="1"/>
        <v>12795.021752114268</v>
      </c>
      <c r="K15" s="6"/>
      <c r="L15" s="4" t="s">
        <v>5</v>
      </c>
      <c r="M15" s="8" t="n">
        <v>12.0</v>
      </c>
      <c r="N15" s="8" t="n">
        <v>2094.0</v>
      </c>
      <c r="O15" s="8" t="n">
        <v>1570.0</v>
      </c>
      <c r="P15" s="8" t="n">
        <v>0.0</v>
      </c>
      <c r="Q15" s="8" t="n">
        <v>0.0</v>
      </c>
      <c r="R15" s="8" t="n">
        <v>55.0</v>
      </c>
      <c r="S15" s="8" t="n">
        <v>9814.0</v>
      </c>
      <c r="T15" s="8" t="n">
        <v>0.0</v>
      </c>
      <c r="U15" s="6">
        <f t="shared" si="0"/>
        <v>20438</v>
      </c>
    </row>
    <row r="16" spans="1:21" ht="15.75" thickBot="1" x14ac:dyDescent="0.3">
      <c r="A16" s="12" t="s">
        <v>7</v>
      </c>
      <c r="B16" s="16">
        <f t="shared" ref="B16:J16" si="2">SUM(B5:B15)</f>
        <v>9214.1214578228519</v>
      </c>
      <c r="C16" s="16">
        <f t="shared" si="2"/>
        <v>235804.41812728986</v>
      </c>
      <c r="D16" s="16">
        <f t="shared" si="2"/>
        <v>268333.91749926028</v>
      </c>
      <c r="E16" s="16">
        <f t="shared" si="2"/>
        <v>1779.7689815250901</v>
      </c>
      <c r="F16" s="16">
        <f t="shared" si="2"/>
        <v>2175.8579211308456</v>
      </c>
      <c r="G16" s="16">
        <f t="shared" si="2"/>
        <v>0</v>
      </c>
      <c r="H16" s="16">
        <f t="shared" si="2"/>
        <v>10937.310348896255</v>
      </c>
      <c r="I16" s="16">
        <f t="shared" si="2"/>
        <v>1873.6385728472999</v>
      </c>
      <c r="J16" s="16">
        <f t="shared" si="2"/>
        <v>530119.03290877258</v>
      </c>
      <c r="L16" s="9" t="s">
        <v>7</v>
      </c>
      <c r="M16" s="16">
        <f t="shared" ref="M16:U16" si="3">SUM(M5:M15)</f>
        <v>672</v>
      </c>
      <c r="N16" s="16">
        <f t="shared" si="3"/>
        <v>246353</v>
      </c>
      <c r="O16" s="16">
        <f t="shared" si="3"/>
        <v>258115</v>
      </c>
      <c r="P16" s="16">
        <f t="shared" si="3"/>
        <v>0</v>
      </c>
      <c r="Q16" s="16">
        <f t="shared" si="3"/>
        <v>0</v>
      </c>
      <c r="R16" s="16">
        <f t="shared" si="3"/>
        <v>4575</v>
      </c>
      <c r="S16" s="16">
        <f t="shared" si="3"/>
        <v>15725</v>
      </c>
      <c r="T16" s="16">
        <f t="shared" si="3"/>
        <v>0</v>
      </c>
      <c r="U16" s="16">
        <f t="shared" si="3"/>
        <v>525440</v>
      </c>
    </row>
    <row r="17" spans="1:21" x14ac:dyDescent="0.25">
      <c r="E17" s="33">
        <f>E16/J16</f>
        <v>3.357300664644063E-3</v>
      </c>
      <c r="F17" s="34">
        <f>F16/J16</f>
        <v>4.1044704793787058E-3</v>
      </c>
      <c r="P17" s="33">
        <f>P16/U16</f>
        <v>0</v>
      </c>
      <c r="Q17" s="34">
        <f>Q16/U16</f>
        <v>0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1</v>
      </c>
      <c r="C22" s="13">
        <f t="shared" si="4"/>
        <v>0.48744831814710982</v>
      </c>
      <c r="D22" s="13">
        <f t="shared" si="4"/>
        <v>0.18649239042072788</v>
      </c>
      <c r="E22" s="13">
        <f t="shared" si="4"/>
        <v>0.33333333333333331</v>
      </c>
      <c r="F22" s="13">
        <f t="shared" si="4"/>
        <v>0</v>
      </c>
      <c r="G22" s="13" t="e">
        <f t="shared" si="4"/>
        <v>#DIV/0!</v>
      </c>
      <c r="H22" s="13">
        <f t="shared" si="4"/>
        <v>0</v>
      </c>
      <c r="I22" s="13">
        <f t="shared" si="4"/>
        <v>0</v>
      </c>
      <c r="J22" s="13">
        <f t="shared" si="4"/>
        <v>0.3297223220964382</v>
      </c>
      <c r="K22" s="6"/>
      <c r="L22" t="s">
        <v>1</v>
      </c>
      <c r="M22" s="13">
        <f t="shared" ref="M22:P22" si="5">M5/M$16</f>
        <v>0.9955357142857143</v>
      </c>
      <c r="N22" s="13">
        <f t="shared" si="5"/>
        <v>0.39673151940508133</v>
      </c>
      <c r="O22" s="13">
        <f t="shared" si="5"/>
        <v>0.23981558607597389</v>
      </c>
      <c r="P22" s="13" t="e">
        <f t="shared" si="5"/>
        <v>#DIV/0!</v>
      </c>
      <c r="Q22" s="13" t="e">
        <f t="shared" ref="Q22:U33" si="6">Q5/Q$16</f>
        <v>#DIV/0!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0.30508716504263095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0.50967043163690096</v>
      </c>
      <c r="D23" s="13">
        <f t="shared" si="7"/>
        <v>0.2586444516206397</v>
      </c>
      <c r="E23" s="13">
        <f t="shared" si="7"/>
        <v>0.33333333333333331</v>
      </c>
      <c r="F23" s="13">
        <f t="shared" si="7"/>
        <v>0</v>
      </c>
      <c r="G23" s="13" t="e">
        <f t="shared" si="7"/>
        <v>#DIV/0!</v>
      </c>
      <c r="H23" s="13">
        <f t="shared" si="7"/>
        <v>0</v>
      </c>
      <c r="I23" s="13">
        <f t="shared" si="7"/>
        <v>0.2</v>
      </c>
      <c r="J23" s="13">
        <f t="shared" si="7"/>
        <v>0.35945436915896367</v>
      </c>
      <c r="K23" s="6"/>
      <c r="L23" t="s">
        <v>12</v>
      </c>
      <c r="M23" s="13">
        <f t="shared" ref="M23:P23" si="8">M6/M$16</f>
        <v>0</v>
      </c>
      <c r="N23" s="13">
        <f t="shared" si="8"/>
        <v>0.5864105572085585</v>
      </c>
      <c r="O23" s="13">
        <f t="shared" si="8"/>
        <v>0.18121380005036514</v>
      </c>
      <c r="P23" s="13" t="e">
        <f t="shared" si="8"/>
        <v>#DIV/0!</v>
      </c>
      <c r="Q23" s="13" t="e">
        <f t="shared" si="6"/>
        <v>#DIV/0!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0.36395782582216807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0.54918153082014709</v>
      </c>
      <c r="E24" s="13">
        <f t="shared" si="9"/>
        <v>0</v>
      </c>
      <c r="F24" s="13">
        <f t="shared" si="9"/>
        <v>0</v>
      </c>
      <c r="G24" s="13" t="e">
        <f t="shared" si="9"/>
        <v>#DIV/0!</v>
      </c>
      <c r="H24" s="13">
        <f t="shared" si="9"/>
        <v>0</v>
      </c>
      <c r="I24" s="13">
        <f t="shared" si="9"/>
        <v>0.6</v>
      </c>
      <c r="J24" s="13">
        <f t="shared" si="9"/>
        <v>0.28010353431787144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0.56595703465509561</v>
      </c>
      <c r="P24" s="13" t="e">
        <f t="shared" si="10"/>
        <v>#DIV/0!</v>
      </c>
      <c r="Q24" s="13" t="e">
        <f t="shared" si="6"/>
        <v>#DIV/0!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0.27801842265529841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0.33333333333333331</v>
      </c>
      <c r="F25" s="13">
        <f t="shared" si="11"/>
        <v>1</v>
      </c>
      <c r="G25" s="13" t="e">
        <f t="shared" si="11"/>
        <v>#DIV/0!</v>
      </c>
      <c r="H25" s="13">
        <f t="shared" si="11"/>
        <v>0</v>
      </c>
      <c r="I25" s="13">
        <f t="shared" si="11"/>
        <v>0</v>
      </c>
      <c r="J25" s="13">
        <f t="shared" si="11"/>
        <v>5.2235707009267267E-3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 t="e">
        <f t="shared" si="6"/>
        <v>#DIV/0!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 t="e">
        <f t="shared" si="13"/>
        <v>#DIV/0!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 t="e">
        <f t="shared" si="6"/>
        <v>#DIV/0!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 t="e">
        <f t="shared" si="15"/>
        <v>#DIV/0!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 t="e">
        <f t="shared" si="6"/>
        <v>#DIV/0!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 t="e">
        <f t="shared" si="17"/>
        <v>#DIV/0!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 t="e">
        <f t="shared" si="6"/>
        <v>#DIV/0!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 t="e">
        <f t="shared" si="19"/>
        <v>#DIV/0!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 t="e">
        <f t="shared" si="6"/>
        <v>#DIV/0!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 t="e">
        <f t="shared" si="21"/>
        <v>#DIV/0!</v>
      </c>
      <c r="H30" s="13">
        <f t="shared" si="21"/>
        <v>0</v>
      </c>
      <c r="I30" s="13">
        <f t="shared" si="21"/>
        <v>0.2</v>
      </c>
      <c r="J30" s="13">
        <f t="shared" si="21"/>
        <v>7.0687466645617749E-4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 t="e">
        <f t="shared" si="6"/>
        <v>#DIV/0!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1.2904570488497715E-3</v>
      </c>
      <c r="E31" s="13">
        <f t="shared" si="23"/>
        <v>0</v>
      </c>
      <c r="F31" s="13">
        <f t="shared" si="23"/>
        <v>0</v>
      </c>
      <c r="G31" s="13" t="e">
        <f t="shared" si="23"/>
        <v>#DIV/0!</v>
      </c>
      <c r="H31" s="13">
        <f t="shared" si="23"/>
        <v>0</v>
      </c>
      <c r="I31" s="13">
        <f t="shared" si="23"/>
        <v>0</v>
      </c>
      <c r="J31" s="13">
        <f t="shared" si="23"/>
        <v>6.5319932654065479E-4</v>
      </c>
      <c r="K31" s="6"/>
      <c r="L31" t="s">
        <v>4</v>
      </c>
      <c r="M31" s="13">
        <f t="shared" ref="M31:P31" si="24">M14/M$16</f>
        <v>1.488095238095238E-3</v>
      </c>
      <c r="N31" s="13">
        <f t="shared" si="24"/>
        <v>6.397324164917821E-3</v>
      </c>
      <c r="O31" s="13">
        <f t="shared" si="24"/>
        <v>4.9474071634736452E-3</v>
      </c>
      <c r="P31" s="13" t="e">
        <f t="shared" si="24"/>
        <v>#DIV/0!</v>
      </c>
      <c r="Q31" s="13" t="e">
        <f t="shared" si="6"/>
        <v>#DIV/0!</v>
      </c>
      <c r="R31" s="13">
        <f t="shared" si="6"/>
        <v>0.98863387978142081</v>
      </c>
      <c r="S31" s="13">
        <f t="shared" si="6"/>
        <v>0</v>
      </c>
      <c r="T31" s="13" t="e">
        <f t="shared" si="6"/>
        <v>#DIV/0!</v>
      </c>
      <c r="U31" s="13">
        <f t="shared" si="6"/>
        <v>1.4039661997563947E-2</v>
      </c>
    </row>
    <row r="32" spans="1:21" x14ac:dyDescent="0.25">
      <c r="A32" s="4" t="s">
        <v>5</v>
      </c>
      <c r="B32" s="14">
        <f t="shared" ref="B32:J32" si="25">B15/B$16</f>
        <v>0</v>
      </c>
      <c r="C32" s="14">
        <f t="shared" si="25"/>
        <v>2.8812502159892605E-3</v>
      </c>
      <c r="D32" s="14">
        <f t="shared" si="25"/>
        <v>4.3911700896357396E-3</v>
      </c>
      <c r="E32" s="14">
        <f t="shared" si="25"/>
        <v>0</v>
      </c>
      <c r="F32" s="14">
        <f t="shared" si="25"/>
        <v>0</v>
      </c>
      <c r="G32" s="14" t="e">
        <f t="shared" si="25"/>
        <v>#DIV/0!</v>
      </c>
      <c r="H32" s="14">
        <f t="shared" si="25"/>
        <v>1</v>
      </c>
      <c r="I32" s="14">
        <f t="shared" si="25"/>
        <v>0</v>
      </c>
      <c r="J32" s="14">
        <f t="shared" si="25"/>
        <v>2.413612973280313E-2</v>
      </c>
      <c r="K32" s="6"/>
      <c r="L32" s="4" t="s">
        <v>5</v>
      </c>
      <c r="M32" s="14">
        <f t="shared" ref="M32:P32" si="26">M15/M$16</f>
        <v>2.976190476190476E-3</v>
      </c>
      <c r="N32" s="14">
        <f t="shared" si="26"/>
        <v>1.0460599221442402E-2</v>
      </c>
      <c r="O32" s="14">
        <f t="shared" si="26"/>
        <v>8.0661720550917228E-3</v>
      </c>
      <c r="P32" s="14" t="e">
        <f t="shared" si="26"/>
        <v>#DIV/0!</v>
      </c>
      <c r="Q32" s="14" t="e">
        <f t="shared" si="6"/>
        <v>#DIV/0!</v>
      </c>
      <c r="R32" s="14">
        <f t="shared" si="6"/>
        <v>1.1366120218579235E-2</v>
      </c>
      <c r="S32" s="14">
        <f t="shared" si="6"/>
        <v>1</v>
      </c>
      <c r="T32" s="14" t="e">
        <f t="shared" si="6"/>
        <v>#DIV/0!</v>
      </c>
      <c r="U32" s="14">
        <f t="shared" si="6"/>
        <v>3.8896924482338613E-2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 t="e">
        <f t="shared" si="27"/>
        <v>#DIV/0!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 t="e">
        <f t="shared" si="6"/>
        <v>#DIV/0!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-4.4642857142856984E-3</v>
      </c>
      <c r="N39" s="13">
        <f t="shared" si="29"/>
        <v>-9.0716798742028482E-2</v>
      </c>
      <c r="O39" s="13">
        <f t="shared" si="29"/>
        <v>5.3323195655246014E-2</v>
      </c>
      <c r="P39" s="13" t="e">
        <f t="shared" si="29"/>
        <v>#DIV/0!</v>
      </c>
      <c r="Q39" s="13" t="e">
        <f t="shared" ref="Q39:Q50" si="30">Q22-F22</f>
        <v>#DIV/0!</v>
      </c>
      <c r="R39" s="13" t="e">
        <f t="shared" ref="R39:R50" si="31">R22-G22</f>
        <v>#DIV/0!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-2.4635157053807255E-2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7.6740125571657547E-2</v>
      </c>
      <c r="O40" s="13">
        <f t="shared" si="29"/>
        <v>-7.7430651570274567E-2</v>
      </c>
      <c r="P40" s="13" t="e">
        <f t="shared" si="29"/>
        <v>#DIV/0!</v>
      </c>
      <c r="Q40" s="13" t="e">
        <f t="shared" si="30"/>
        <v>#DIV/0!</v>
      </c>
      <c r="R40" s="13" t="e">
        <f t="shared" si="31"/>
        <v>#DIV/0!</v>
      </c>
      <c r="S40" s="13">
        <f t="shared" si="32"/>
        <v>0</v>
      </c>
      <c r="T40" s="13" t="e">
        <f t="shared" si="33"/>
        <v>#DIV/0!</v>
      </c>
      <c r="U40" s="13">
        <f t="shared" si="34"/>
        <v>4.5034566632043971E-3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1.6775503834948524E-2</v>
      </c>
      <c r="P41" s="13" t="e">
        <f t="shared" si="29"/>
        <v>#DIV/0!</v>
      </c>
      <c r="Q41" s="13" t="e">
        <f t="shared" si="30"/>
        <v>#DIV/0!</v>
      </c>
      <c r="R41" s="13" t="e">
        <f t="shared" si="31"/>
        <v>#DIV/0!</v>
      </c>
      <c r="S41" s="13">
        <f t="shared" si="32"/>
        <v>0</v>
      </c>
      <c r="T41" s="13" t="e">
        <f t="shared" si="33"/>
        <v>#DIV/0!</v>
      </c>
      <c r="U41" s="13">
        <f t="shared" si="34"/>
        <v>-2.0851116625730248E-3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 t="e">
        <f t="shared" si="30"/>
        <v>#DIV/0!</v>
      </c>
      <c r="R42" s="13" t="e">
        <f t="shared" si="31"/>
        <v>#DIV/0!</v>
      </c>
      <c r="S42" s="13">
        <f t="shared" si="32"/>
        <v>0</v>
      </c>
      <c r="T42" s="13" t="e">
        <f t="shared" si="33"/>
        <v>#DIV/0!</v>
      </c>
      <c r="U42" s="13">
        <f t="shared" si="34"/>
        <v>-5.2235707009267267E-3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 t="e">
        <f t="shared" si="30"/>
        <v>#DIV/0!</v>
      </c>
      <c r="R43" s="13" t="e">
        <f t="shared" si="31"/>
        <v>#DIV/0!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 t="e">
        <f t="shared" si="30"/>
        <v>#DIV/0!</v>
      </c>
      <c r="R44" s="13" t="e">
        <f t="shared" si="31"/>
        <v>#DIV/0!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 t="e">
        <f t="shared" si="30"/>
        <v>#DIV/0!</v>
      </c>
      <c r="R45" s="13" t="e">
        <f t="shared" si="31"/>
        <v>#DIV/0!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 t="e">
        <f t="shared" si="30"/>
        <v>#DIV/0!</v>
      </c>
      <c r="R46" s="13" t="e">
        <f t="shared" si="31"/>
        <v>#DIV/0!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 t="e">
        <f t="shared" si="30"/>
        <v>#DIV/0!</v>
      </c>
      <c r="R47" s="13" t="e">
        <f t="shared" si="31"/>
        <v>#DIV/0!</v>
      </c>
      <c r="S47" s="13">
        <f t="shared" si="32"/>
        <v>0</v>
      </c>
      <c r="T47" s="13" t="e">
        <f t="shared" si="33"/>
        <v>#DIV/0!</v>
      </c>
      <c r="U47" s="13">
        <f t="shared" si="34"/>
        <v>-7.0687466645617749E-4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1.488095238095238E-3</v>
      </c>
      <c r="N48" s="13">
        <f t="shared" si="39"/>
        <v>6.397324164917821E-3</v>
      </c>
      <c r="O48" s="13">
        <f t="shared" si="39"/>
        <v>3.6569501146238737E-3</v>
      </c>
      <c r="P48" s="13" t="e">
        <f t="shared" si="39"/>
        <v>#DIV/0!</v>
      </c>
      <c r="Q48" s="13" t="e">
        <f t="shared" si="30"/>
        <v>#DIV/0!</v>
      </c>
      <c r="R48" s="13" t="e">
        <f t="shared" si="31"/>
        <v>#DIV/0!</v>
      </c>
      <c r="S48" s="13">
        <f t="shared" si="32"/>
        <v>0</v>
      </c>
      <c r="T48" s="13" t="e">
        <f t="shared" si="33"/>
        <v>#DIV/0!</v>
      </c>
      <c r="U48" s="13">
        <f t="shared" si="34"/>
        <v>1.3386462671023293E-2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2.976190476190476E-3</v>
      </c>
      <c r="N49" s="17">
        <f t="shared" si="39"/>
        <v>7.5793490054531414E-3</v>
      </c>
      <c r="O49" s="17">
        <f t="shared" si="39"/>
        <v>3.6750019654559832E-3</v>
      </c>
      <c r="P49" s="17" t="e">
        <f t="shared" si="39"/>
        <v>#DIV/0!</v>
      </c>
      <c r="Q49" s="17" t="e">
        <f t="shared" si="30"/>
        <v>#DIV/0!</v>
      </c>
      <c r="R49" s="17" t="e">
        <f t="shared" si="31"/>
        <v>#DIV/0!</v>
      </c>
      <c r="S49" s="17">
        <f t="shared" si="32"/>
        <v>0</v>
      </c>
      <c r="T49" s="17" t="e">
        <f t="shared" si="33"/>
        <v>#DIV/0!</v>
      </c>
      <c r="U49" s="13">
        <f t="shared" si="34"/>
        <v>1.4760794749535483E-2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 t="e">
        <f t="shared" si="30"/>
        <v>#DIV/0!</v>
      </c>
      <c r="R50" s="15" t="e">
        <f t="shared" si="31"/>
        <v>#DIV/0!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202030.25803497672</v>
      </c>
      <c r="C5" s="6" t="n">
        <v>6845.961103899771</v>
      </c>
      <c r="D5" s="6" t="n">
        <v>2631.360697481801</v>
      </c>
      <c r="E5" s="6" t="n">
        <v>349.2924965360611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211856.87233289439</v>
      </c>
      <c r="K5" s="6"/>
      <c r="L5" t="s">
        <v>1</v>
      </c>
      <c r="M5" s="6" t="n">
        <v>255096.0</v>
      </c>
      <c r="N5" s="6" t="n">
        <v>14108.0</v>
      </c>
      <c r="O5" s="6" t="n">
        <v>2862.0</v>
      </c>
      <c r="P5" s="6" t="n">
        <v>0.0</v>
      </c>
      <c r="Q5" s="6" t="n">
        <v>1.0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268888</v>
      </c>
    </row>
    <row r="6" spans="1:21" x14ac:dyDescent="0.25">
      <c r="A6" t="s">
        <v>12</v>
      </c>
      <c r="B6" s="6" t="n">
        <v>0.0</v>
      </c>
      <c r="C6" s="6" t="n">
        <v>104299.41802227082</v>
      </c>
      <c r="D6" s="6" t="n">
        <v>4728.964353994099</v>
      </c>
      <c r="E6" s="6" t="n">
        <v>460.009925395972</v>
      </c>
      <c r="F6" s="6" t="n">
        <v>117.2337469799493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109605.62604864086</v>
      </c>
      <c r="K6" s="6"/>
      <c r="L6" t="s">
        <v>12</v>
      </c>
      <c r="M6" s="6" t="n">
        <v>0.0</v>
      </c>
      <c r="N6" s="6" t="n">
        <v>153609.0</v>
      </c>
      <c r="O6" s="6" t="n">
        <v>18440.0</v>
      </c>
      <c r="P6" s="6" t="n">
        <v>0.0</v>
      </c>
      <c r="Q6" s="6" t="n">
        <v>86.0</v>
      </c>
      <c r="R6" s="6" t="n">
        <v>0.0</v>
      </c>
      <c r="S6" s="6" t="n">
        <v>0.0</v>
      </c>
      <c r="T6" s="6" t="n">
        <v>0.0</v>
      </c>
      <c r="U6" s="6">
        <f t="shared" si="0"/>
        <v>162264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64134.53632761817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178.4146453632772</v>
      </c>
      <c r="J7" s="6">
        <f t="shared" si="1"/>
        <v>64312.950972981445</v>
      </c>
      <c r="K7" s="6"/>
      <c r="L7" t="s">
        <v>56</v>
      </c>
      <c r="M7" s="6" t="n">
        <v>0.0</v>
      </c>
      <c r="N7" s="6" t="n">
        <v>0.0</v>
      </c>
      <c r="O7" s="6" t="n">
        <v>79239.0</v>
      </c>
      <c r="P7" s="6" t="n">
        <v>0.0</v>
      </c>
      <c r="Q7" s="6" t="n">
        <v>30.0</v>
      </c>
      <c r="R7" s="6" t="n">
        <v>0.0</v>
      </c>
      <c r="S7" s="6" t="n">
        <v>0.0</v>
      </c>
      <c r="T7" s="6" t="n">
        <v>0.0</v>
      </c>
      <c r="U7" s="6">
        <f t="shared" si="0"/>
        <v>74312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330.2771863753362</v>
      </c>
      <c r="F8" s="6" t="n">
        <v>7452.807638350925</v>
      </c>
      <c r="G8" s="6" t="n">
        <v>0.0</v>
      </c>
      <c r="H8" s="6" t="n">
        <v>0.0</v>
      </c>
      <c r="I8" s="6" t="n">
        <v>0.0</v>
      </c>
      <c r="J8" s="6">
        <f t="shared" si="1"/>
        <v>7783.0848247262611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2915.0</v>
      </c>
      <c r="R8" s="6" t="n">
        <v>0.0</v>
      </c>
      <c r="S8" s="6" t="n">
        <v>0.0</v>
      </c>
      <c r="T8" s="6" t="n">
        <v>0.0</v>
      </c>
      <c r="U8" s="6">
        <f t="shared" si="0"/>
        <v>3138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269.557704903894</v>
      </c>
      <c r="G10" s="6" t="n">
        <v>0.0</v>
      </c>
      <c r="H10" s="6" t="n">
        <v>0.0</v>
      </c>
      <c r="I10" s="6" t="n">
        <v>0.0</v>
      </c>
      <c r="J10" s="6">
        <f t="shared" si="1"/>
        <v>269.55770490389398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107.0</v>
      </c>
      <c r="R10" s="6" t="n">
        <v>0.0</v>
      </c>
      <c r="S10" s="6" t="n">
        <v>0.0</v>
      </c>
      <c r="T10" s="6" t="n">
        <v>0.0</v>
      </c>
      <c r="U10" s="6">
        <f t="shared" si="0"/>
        <v>290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83.0</v>
      </c>
      <c r="R11" s="6" t="n">
        <v>0.0</v>
      </c>
      <c r="S11" s="6" t="n">
        <v>0.0</v>
      </c>
      <c r="T11" s="6" t="n">
        <v>0.0</v>
      </c>
      <c r="U11" s="6">
        <f t="shared" si="0"/>
        <v>9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167.0</v>
      </c>
      <c r="R12" s="6" t="n">
        <v>0.0</v>
      </c>
      <c r="S12" s="6" t="n">
        <v>0.0</v>
      </c>
      <c r="T12" s="6" t="n">
        <v>0.0</v>
      </c>
      <c r="U12" s="6">
        <f t="shared" si="0"/>
        <v>360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126.1935987979819</v>
      </c>
      <c r="J13" s="6">
        <f t="shared" si="1"/>
        <v>126.19359879798191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624.7980319554634</v>
      </c>
      <c r="H14" s="6" t="n">
        <v>0.0</v>
      </c>
      <c r="I14" s="6" t="n">
        <v>0.0</v>
      </c>
      <c r="J14" s="6">
        <f t="shared" si="1"/>
        <v>624.79803195546344</v>
      </c>
      <c r="K14" s="6"/>
      <c r="L14" t="s">
        <v>4</v>
      </c>
      <c r="M14" s="6" t="n">
        <v>249.0</v>
      </c>
      <c r="N14" s="6" t="n">
        <v>379.0</v>
      </c>
      <c r="O14" s="6" t="n">
        <v>113.0</v>
      </c>
      <c r="P14" s="6" t="n">
        <v>0.0</v>
      </c>
      <c r="Q14" s="6" t="n">
        <v>37.0</v>
      </c>
      <c r="R14" s="6" t="n">
        <v>3667.0</v>
      </c>
      <c r="S14" s="6" t="n">
        <v>0.0</v>
      </c>
      <c r="T14" s="6" t="n">
        <v>0.0</v>
      </c>
      <c r="U14" s="6">
        <f t="shared" si="0"/>
        <v>3734</v>
      </c>
    </row>
    <row r="15" spans="1:21" x14ac:dyDescent="0.25">
      <c r="A15" s="4" t="s">
        <v>5</v>
      </c>
      <c r="B15" s="10" t="n">
        <v>395.2836461875852</v>
      </c>
      <c r="C15" s="10" t="n">
        <v>832.3920948356271</v>
      </c>
      <c r="D15" s="10" t="n">
        <v>173.3358604971688</v>
      </c>
      <c r="E15" s="10" t="n">
        <v>0.0</v>
      </c>
      <c r="F15" s="10" t="n">
        <v>228.8752848316428</v>
      </c>
      <c r="G15" s="10" t="n">
        <v>0.0</v>
      </c>
      <c r="H15" s="10" t="n">
        <v>15863.246688597017</v>
      </c>
      <c r="I15" s="10" t="n">
        <v>73.9725522326866</v>
      </c>
      <c r="J15" s="6">
        <f t="shared" si="1"/>
        <v>17567.106127181727</v>
      </c>
      <c r="K15" s="6"/>
      <c r="L15" s="4" t="s">
        <v>5</v>
      </c>
      <c r="M15" s="8" t="n">
        <v>1360.0</v>
      </c>
      <c r="N15" s="8" t="n">
        <v>637.0</v>
      </c>
      <c r="O15" s="8" t="n">
        <v>173.0</v>
      </c>
      <c r="P15" s="8" t="n">
        <v>0.0</v>
      </c>
      <c r="Q15" s="8" t="n">
        <v>102.0</v>
      </c>
      <c r="R15" s="8" t="n">
        <v>63.0</v>
      </c>
      <c r="S15" s="8" t="n">
        <v>14184.0</v>
      </c>
      <c r="T15" s="8" t="n">
        <v>0.0</v>
      </c>
      <c r="U15" s="6">
        <f t="shared" si="0"/>
        <v>18213</v>
      </c>
    </row>
    <row r="16" spans="1:21" ht="15.75" thickBot="1" x14ac:dyDescent="0.3">
      <c r="A16" s="12" t="s">
        <v>7</v>
      </c>
      <c r="B16" s="16">
        <f t="shared" ref="B16:J16" si="2">SUM(B5:B15)</f>
        <v>202425.54168116432</v>
      </c>
      <c r="C16" s="16">
        <f t="shared" si="2"/>
        <v>111977.77122100622</v>
      </c>
      <c r="D16" s="16">
        <f t="shared" si="2"/>
        <v>71668.197239591245</v>
      </c>
      <c r="E16" s="16">
        <f t="shared" si="2"/>
        <v>1139.5796083073692</v>
      </c>
      <c r="F16" s="16">
        <f t="shared" si="2"/>
        <v>8068.4743750664111</v>
      </c>
      <c r="G16" s="16">
        <f t="shared" si="2"/>
        <v>624.79803195546344</v>
      </c>
      <c r="H16" s="16">
        <f t="shared" si="2"/>
        <v>15863.246688597017</v>
      </c>
      <c r="I16" s="16">
        <f t="shared" si="2"/>
        <v>378.58079639394572</v>
      </c>
      <c r="J16" s="16">
        <f t="shared" si="2"/>
        <v>412146.18964208208</v>
      </c>
      <c r="L16" s="9" t="s">
        <v>7</v>
      </c>
      <c r="M16" s="16">
        <f t="shared" ref="M16:U16" si="3">SUM(M5:M15)</f>
        <v>254031</v>
      </c>
      <c r="N16" s="16">
        <f t="shared" si="3"/>
        <v>159368</v>
      </c>
      <c r="O16" s="16">
        <f t="shared" si="3"/>
        <v>94503</v>
      </c>
      <c r="P16" s="16">
        <f t="shared" si="3"/>
        <v>0</v>
      </c>
      <c r="Q16" s="16">
        <f t="shared" si="3"/>
        <v>4624</v>
      </c>
      <c r="R16" s="16">
        <f t="shared" si="3"/>
        <v>3113</v>
      </c>
      <c r="S16" s="16">
        <f t="shared" si="3"/>
        <v>15569</v>
      </c>
      <c r="T16" s="16">
        <f t="shared" si="3"/>
        <v>0</v>
      </c>
      <c r="U16" s="16">
        <f t="shared" si="3"/>
        <v>531208</v>
      </c>
    </row>
    <row r="17" spans="1:21" x14ac:dyDescent="0.25">
      <c r="E17" s="33">
        <f>E16/J16</f>
        <v>2.7649888242252301E-3</v>
      </c>
      <c r="F17" s="34">
        <f>F16/J16</f>
        <v>1.9576729271895667E-2</v>
      </c>
      <c r="P17" s="33">
        <f>P16/U16</f>
        <v>0</v>
      </c>
      <c r="Q17" s="34">
        <f>Q16/U16</f>
        <v>8.704688182406892E-3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0.99804726398208088</v>
      </c>
      <c r="C22" s="13">
        <f t="shared" si="4"/>
        <v>6.1136786607300486E-2</v>
      </c>
      <c r="D22" s="13">
        <f t="shared" si="4"/>
        <v>3.6715876760301337E-2</v>
      </c>
      <c r="E22" s="13">
        <f t="shared" si="4"/>
        <v>0.3065099568207168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0.51403331550117237</v>
      </c>
      <c r="K22" s="6"/>
      <c r="L22" t="s">
        <v>1</v>
      </c>
      <c r="M22" s="13">
        <f t="shared" ref="M22:P22" si="5">M5/M$16</f>
        <v>0.99363857167038672</v>
      </c>
      <c r="N22" s="13">
        <f t="shared" si="5"/>
        <v>8.5795140806184431E-2</v>
      </c>
      <c r="O22" s="13">
        <f t="shared" si="5"/>
        <v>2.9575780663047734E-2</v>
      </c>
      <c r="P22" s="13" t="e">
        <f t="shared" si="5"/>
        <v>#DIV/0!</v>
      </c>
      <c r="Q22" s="13">
        <f t="shared" ref="Q22:U33" si="6">Q5/Q$16</f>
        <v>1.0813148788927337E-3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0.50618213581120763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0.93142966577196007</v>
      </c>
      <c r="D23" s="13">
        <f t="shared" si="7"/>
        <v>6.5984139913340872E-2</v>
      </c>
      <c r="E23" s="13">
        <f t="shared" si="7"/>
        <v>0.4036663362897745</v>
      </c>
      <c r="F23" s="13">
        <f t="shared" si="7"/>
        <v>1.4529853046597097E-2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0.26593871010629766</v>
      </c>
      <c r="K23" s="6"/>
      <c r="L23" t="s">
        <v>12</v>
      </c>
      <c r="M23" s="13">
        <f t="shared" ref="M23:P23" si="8">M6/M$16</f>
        <v>0</v>
      </c>
      <c r="N23" s="13">
        <f t="shared" si="8"/>
        <v>0.90866422368355004</v>
      </c>
      <c r="O23" s="13">
        <f t="shared" si="8"/>
        <v>0.18202596742960542</v>
      </c>
      <c r="P23" s="13" t="e">
        <f t="shared" si="8"/>
        <v>#DIV/0!</v>
      </c>
      <c r="Q23" s="13">
        <f t="shared" si="6"/>
        <v>5.4065743944636681E-2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0.30546226713453112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0.89488139506582565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0.47127230716061336</v>
      </c>
      <c r="J24" s="13">
        <f t="shared" si="9"/>
        <v>0.15604402658394681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0.7858374866406358</v>
      </c>
      <c r="P24" s="13" t="e">
        <f t="shared" si="10"/>
        <v>#DIV/0!</v>
      </c>
      <c r="Q24" s="13">
        <f t="shared" si="6"/>
        <v>1.0380622837370242E-2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0.1398924714989232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0.28982370688950881</v>
      </c>
      <c r="F25" s="13">
        <f t="shared" si="11"/>
        <v>0.92369477696823965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1.8884281889116297E-2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0.67863321799307963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5.90729055285312E-3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3.3408757637862024E-2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6.5403420358680145E-4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6.271626297577855E-2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5.4592551316998237E-4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1.9463667820069203E-3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1.694251592596497E-5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7.7854671280276816E-2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6.7770063703859879E-4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0.33333333333333331</v>
      </c>
      <c r="J30" s="13">
        <f t="shared" si="21"/>
        <v>3.0618649879444847E-4</v>
      </c>
      <c r="K30" s="6"/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>
        <f t="shared" si="23"/>
        <v>0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1.5159621698748532E-3</v>
      </c>
      <c r="K31" s="6"/>
      <c r="L31" t="s">
        <v>4</v>
      </c>
      <c r="M31" s="13">
        <f t="shared" ref="M31:P31" si="24">M14/M$16</f>
        <v>9.6838574819608635E-4</v>
      </c>
      <c r="N31" s="13">
        <f t="shared" si="24"/>
        <v>1.9012599769087897E-3</v>
      </c>
      <c r="O31" s="13">
        <f t="shared" si="24"/>
        <v>8.5711564712231362E-4</v>
      </c>
      <c r="P31" s="13" t="e">
        <f t="shared" si="24"/>
        <v>#DIV/0!</v>
      </c>
      <c r="Q31" s="13">
        <f t="shared" si="6"/>
        <v>1.5787197231833909E-2</v>
      </c>
      <c r="R31" s="13">
        <f t="shared" si="6"/>
        <v>0.97365884998393837</v>
      </c>
      <c r="S31" s="13">
        <f t="shared" si="6"/>
        <v>0</v>
      </c>
      <c r="T31" s="13" t="e">
        <f t="shared" si="6"/>
        <v>#DIV/0!</v>
      </c>
      <c r="U31" s="13">
        <f t="shared" si="6"/>
        <v>7.0292616075059112E-3</v>
      </c>
    </row>
    <row r="32" spans="1:21" x14ac:dyDescent="0.25">
      <c r="A32" s="4" t="s">
        <v>5</v>
      </c>
      <c r="B32" s="14">
        <f t="shared" ref="B32:J32" si="25">B15/B$16</f>
        <v>1.9527360179190584E-3</v>
      </c>
      <c r="C32" s="14">
        <f t="shared" si="25"/>
        <v>7.4335476207395383E-3</v>
      </c>
      <c r="D32" s="14">
        <f t="shared" si="25"/>
        <v>2.418588260532021E-3</v>
      </c>
      <c r="E32" s="14">
        <f t="shared" si="25"/>
        <v>0</v>
      </c>
      <c r="F32" s="14">
        <f t="shared" si="25"/>
        <v>2.8366612347301277E-2</v>
      </c>
      <c r="G32" s="14">
        <f t="shared" si="25"/>
        <v>0</v>
      </c>
      <c r="H32" s="14">
        <f t="shared" si="25"/>
        <v>1</v>
      </c>
      <c r="I32" s="14">
        <f t="shared" si="25"/>
        <v>0.1953943595060533</v>
      </c>
      <c r="J32" s="14">
        <f t="shared" si="25"/>
        <v>4.2623483047210593E-2</v>
      </c>
      <c r="K32" s="6"/>
      <c r="L32" s="4" t="s">
        <v>5</v>
      </c>
      <c r="M32" s="14">
        <f t="shared" ref="M32:P32" si="26">M15/M$16</f>
        <v>5.3930425814172284E-3</v>
      </c>
      <c r="N32" s="14">
        <f t="shared" si="26"/>
        <v>3.6393755333567592E-3</v>
      </c>
      <c r="O32" s="14">
        <f t="shared" si="26"/>
        <v>1.7036496195887961E-3</v>
      </c>
      <c r="P32" s="14" t="e">
        <f t="shared" si="26"/>
        <v>#DIV/0!</v>
      </c>
      <c r="Q32" s="14">
        <f t="shared" si="6"/>
        <v>9.7534602076124563E-2</v>
      </c>
      <c r="R32" s="14">
        <f t="shared" si="6"/>
        <v>2.6341150016061677E-2</v>
      </c>
      <c r="S32" s="14">
        <f t="shared" si="6"/>
        <v>1</v>
      </c>
      <c r="T32" s="14" t="e">
        <f t="shared" si="6"/>
        <v>#DIV/0!</v>
      </c>
      <c r="U32" s="14">
        <f t="shared" si="6"/>
        <v>3.4286004728844445E-2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-4.4086923116941623E-3</v>
      </c>
      <c r="N39" s="13">
        <f t="shared" si="29"/>
        <v>2.4658354198883944E-2</v>
      </c>
      <c r="O39" s="13">
        <f t="shared" si="29"/>
        <v>-7.140096097253603E-3</v>
      </c>
      <c r="P39" s="13" t="e">
        <f t="shared" si="29"/>
        <v>#DIV/0!</v>
      </c>
      <c r="Q39" s="13">
        <f t="shared" ref="Q39:Q50" si="30">Q22-F22</f>
        <v>1.0813148788927337E-3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-7.8511796899647379E-3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-2.2765442088410026E-2</v>
      </c>
      <c r="O40" s="13">
        <f t="shared" si="29"/>
        <v>0.11604182751626455</v>
      </c>
      <c r="P40" s="13" t="e">
        <f t="shared" si="29"/>
        <v>#DIV/0!</v>
      </c>
      <c r="Q40" s="13">
        <f t="shared" si="30"/>
        <v>3.9535890898039584E-2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3.9523557028233458E-2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-0.10904390842518985</v>
      </c>
      <c r="P41" s="13" t="e">
        <f t="shared" si="29"/>
        <v>#DIV/0!</v>
      </c>
      <c r="Q41" s="13">
        <f t="shared" si="30"/>
        <v>1.0380622837370242E-2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-1.6151555085023611E-2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-0.24506155897516002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-1.2976991336263177E-2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2.9307505337916526E-2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-1.0810869041681908E-4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1.9463667820069203E-3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1.694251592596497E-5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7.7854671280276816E-2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6.7770063703859879E-4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-3.0618649879444847E-4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9.6838574819608635E-4</v>
      </c>
      <c r="N48" s="13">
        <f t="shared" si="39"/>
        <v>1.9012599769087897E-3</v>
      </c>
      <c r="O48" s="13">
        <f t="shared" si="39"/>
        <v>8.5711564712231362E-4</v>
      </c>
      <c r="P48" s="13" t="e">
        <f t="shared" si="39"/>
        <v>#DIV/0!</v>
      </c>
      <c r="Q48" s="13">
        <f t="shared" si="30"/>
        <v>1.5787197231833909E-2</v>
      </c>
      <c r="R48" s="13">
        <f t="shared" si="31"/>
        <v>-2.6341150016061632E-2</v>
      </c>
      <c r="S48" s="13">
        <f t="shared" si="32"/>
        <v>0</v>
      </c>
      <c r="T48" s="13" t="e">
        <f t="shared" si="33"/>
        <v>#DIV/0!</v>
      </c>
      <c r="U48" s="13">
        <f t="shared" si="34"/>
        <v>5.5132994376310583E-3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3.4403065634981697E-3</v>
      </c>
      <c r="N49" s="17">
        <f t="shared" si="39"/>
        <v>-3.7941720873827791E-3</v>
      </c>
      <c r="O49" s="17">
        <f t="shared" si="39"/>
        <v>-7.1493864094322496E-4</v>
      </c>
      <c r="P49" s="17" t="e">
        <f t="shared" si="39"/>
        <v>#DIV/0!</v>
      </c>
      <c r="Q49" s="17">
        <f t="shared" si="30"/>
        <v>6.9167989728823293E-2</v>
      </c>
      <c r="R49" s="17">
        <f t="shared" si="31"/>
        <v>2.6341150016061677E-2</v>
      </c>
      <c r="S49" s="17">
        <f t="shared" si="32"/>
        <v>0</v>
      </c>
      <c r="T49" s="17" t="e">
        <f t="shared" si="33"/>
        <v>#DIV/0!</v>
      </c>
      <c r="U49" s="13">
        <f t="shared" si="34"/>
        <v>-8.3374783183661483E-3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200566.1247975079</v>
      </c>
      <c r="C5" s="6" t="n">
        <v>3176.0955422847933</v>
      </c>
      <c r="D5" s="6" t="n">
        <v>528.5356311273521</v>
      </c>
      <c r="E5" s="6" t="n">
        <v>222.44198059388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204493.19795151392</v>
      </c>
      <c r="K5" s="6"/>
      <c r="L5" t="s">
        <v>1</v>
      </c>
      <c r="M5" s="6" t="n">
        <v>171085.0</v>
      </c>
      <c r="N5" s="6" t="n">
        <v>2927.0</v>
      </c>
      <c r="O5" s="6" t="n">
        <v>598.0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180019</v>
      </c>
    </row>
    <row r="6" spans="1:21" x14ac:dyDescent="0.25">
      <c r="A6" t="s">
        <v>12</v>
      </c>
      <c r="B6" s="6" t="n">
        <v>0.0</v>
      </c>
      <c r="C6" s="6" t="n">
        <v>121283.83524442103</v>
      </c>
      <c r="D6" s="6" t="n">
        <v>505.56000073986104</v>
      </c>
      <c r="E6" s="6" t="n">
        <v>0.0</v>
      </c>
      <c r="F6" s="6" t="n">
        <v>679.207340834298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122468.60258599519</v>
      </c>
      <c r="K6" s="6"/>
      <c r="L6" t="s">
        <v>12</v>
      </c>
      <c r="M6" s="6" t="n">
        <v>0.0</v>
      </c>
      <c r="N6" s="6" t="n">
        <v>107675.0</v>
      </c>
      <c r="O6" s="6" t="n">
        <v>12381.0</v>
      </c>
      <c r="P6" s="6" t="n">
        <v>0.0</v>
      </c>
      <c r="Q6" s="6" t="n">
        <v>109.0</v>
      </c>
      <c r="R6" s="6" t="n">
        <v>0.0</v>
      </c>
      <c r="S6" s="6" t="n">
        <v>0.0</v>
      </c>
      <c r="T6" s="6" t="n">
        <v>0.0</v>
      </c>
      <c r="U6" s="6">
        <f t="shared" si="0"/>
        <v>117460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42280.72986069082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42280.729860690823</v>
      </c>
      <c r="K7" s="6"/>
      <c r="L7" t="s">
        <v>56</v>
      </c>
      <c r="M7" s="6" t="n">
        <v>0.0</v>
      </c>
      <c r="N7" s="6" t="n">
        <v>0.0</v>
      </c>
      <c r="O7" s="6" t="n">
        <v>50983.0</v>
      </c>
      <c r="P7" s="6" t="n">
        <v>0.0</v>
      </c>
      <c r="Q7" s="6" t="n">
        <v>30.0</v>
      </c>
      <c r="R7" s="6" t="n">
        <v>0.0</v>
      </c>
      <c r="S7" s="6" t="n">
        <v>0.0</v>
      </c>
      <c r="T7" s="6" t="n">
        <v>0.0</v>
      </c>
      <c r="U7" s="6">
        <f t="shared" si="0"/>
        <v>50147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296.86930053916</v>
      </c>
      <c r="F8" s="6" t="n">
        <v>7238.654089662216</v>
      </c>
      <c r="G8" s="6" t="n">
        <v>0.0</v>
      </c>
      <c r="H8" s="6" t="n">
        <v>0.0</v>
      </c>
      <c r="I8" s="6" t="n">
        <v>0.0</v>
      </c>
      <c r="J8" s="6">
        <f t="shared" si="1"/>
        <v>7535.5233902013761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1334.0</v>
      </c>
      <c r="R8" s="6" t="n">
        <v>0.0</v>
      </c>
      <c r="S8" s="6" t="n">
        <v>0.0</v>
      </c>
      <c r="T8" s="6" t="n">
        <v>0.0</v>
      </c>
      <c r="U8" s="6">
        <f t="shared" si="0"/>
        <v>1582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296.44931091818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296.44931091818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31.0</v>
      </c>
      <c r="R10" s="6" t="n">
        <v>0.0</v>
      </c>
      <c r="S10" s="6" t="n">
        <v>0.0</v>
      </c>
      <c r="T10" s="6" t="n">
        <v>0.0</v>
      </c>
      <c r="U10" s="6">
        <f t="shared" si="0"/>
        <v>125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50.0</v>
      </c>
      <c r="R11" s="6" t="n">
        <v>0.0</v>
      </c>
      <c r="S11" s="6" t="n">
        <v>0.0</v>
      </c>
      <c r="T11" s="6" t="n">
        <v>0.0</v>
      </c>
      <c r="U11" s="6">
        <f t="shared" si="0"/>
        <v>3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88.0</v>
      </c>
      <c r="R12" s="6" t="n">
        <v>0.0</v>
      </c>
      <c r="S12" s="6" t="n">
        <v>0.0</v>
      </c>
      <c r="T12" s="6" t="n">
        <v>0.0</v>
      </c>
      <c r="U12" s="6">
        <f t="shared" si="0"/>
        <v>194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46.0754677336561</v>
      </c>
      <c r="E14" s="6" t="n">
        <v>0.0</v>
      </c>
      <c r="F14" s="6" t="n">
        <v>339.603670417149</v>
      </c>
      <c r="G14" s="6" t="n">
        <v>988.3349453163326</v>
      </c>
      <c r="H14" s="6" t="n">
        <v>0.0</v>
      </c>
      <c r="I14" s="6" t="n">
        <v>0.0</v>
      </c>
      <c r="J14" s="6">
        <f t="shared" si="1"/>
        <v>1374.0140834671377</v>
      </c>
      <c r="K14" s="6"/>
      <c r="L14" t="s">
        <v>4</v>
      </c>
      <c r="M14" s="6" t="n">
        <v>181.0</v>
      </c>
      <c r="N14" s="6" t="n">
        <v>83.0</v>
      </c>
      <c r="O14" s="6" t="n">
        <v>21.0</v>
      </c>
      <c r="P14" s="6" t="n">
        <v>0.0</v>
      </c>
      <c r="Q14" s="6" t="n">
        <v>14.0</v>
      </c>
      <c r="R14" s="6" t="n">
        <v>2863.0</v>
      </c>
      <c r="S14" s="6" t="n">
        <v>0.0</v>
      </c>
      <c r="T14" s="6" t="n">
        <v>0.0</v>
      </c>
      <c r="U14" s="6">
        <f t="shared" si="0"/>
        <v>2615</v>
      </c>
    </row>
    <row r="15" spans="1:21" x14ac:dyDescent="0.25">
      <c r="A15" s="4" t="s">
        <v>5</v>
      </c>
      <c r="B15" s="10" t="n">
        <v>895.8380243815791</v>
      </c>
      <c r="C15" s="10" t="n">
        <v>904.6856425582333</v>
      </c>
      <c r="D15" s="10" t="n">
        <v>146.2093039295718</v>
      </c>
      <c r="E15" s="10" t="n">
        <v>0.0</v>
      </c>
      <c r="F15" s="10" t="n">
        <v>495.2176201229566</v>
      </c>
      <c r="G15" s="10" t="n">
        <v>0.0</v>
      </c>
      <c r="H15" s="10" t="n">
        <v>8468.207530479824</v>
      </c>
      <c r="I15" s="10" t="n">
        <v>0.0</v>
      </c>
      <c r="J15" s="6">
        <f t="shared" si="1"/>
        <v>10910.158121472165</v>
      </c>
      <c r="K15" s="6"/>
      <c r="L15" s="4" t="s">
        <v>5</v>
      </c>
      <c r="M15" s="8" t="n">
        <v>885.0</v>
      </c>
      <c r="N15" s="8" t="n">
        <v>144.0</v>
      </c>
      <c r="O15" s="8" t="n">
        <v>37.0</v>
      </c>
      <c r="P15" s="8" t="n">
        <v>0.0</v>
      </c>
      <c r="Q15" s="8" t="n">
        <v>59.0</v>
      </c>
      <c r="R15" s="8" t="n">
        <v>57.0</v>
      </c>
      <c r="S15" s="8" t="n">
        <v>9581.0</v>
      </c>
      <c r="T15" s="8" t="n">
        <v>0.0</v>
      </c>
      <c r="U15" s="6">
        <f t="shared" si="0"/>
        <v>11471</v>
      </c>
    </row>
    <row r="16" spans="1:21" ht="15.75" thickBot="1" x14ac:dyDescent="0.3">
      <c r="A16" s="12" t="s">
        <v>7</v>
      </c>
      <c r="B16" s="16">
        <f t="shared" ref="B16:J16" si="2">SUM(B5:B15)</f>
        <v>201461.96282188946</v>
      </c>
      <c r="C16" s="16">
        <f t="shared" si="2"/>
        <v>125364.61642926406</v>
      </c>
      <c r="D16" s="16">
        <f t="shared" si="2"/>
        <v>43507.110264221265</v>
      </c>
      <c r="E16" s="16">
        <f t="shared" si="2"/>
        <v>815.76059205121999</v>
      </c>
      <c r="F16" s="16">
        <f t="shared" si="2"/>
        <v>8752.6827210366191</v>
      </c>
      <c r="G16" s="16">
        <f t="shared" si="2"/>
        <v>988.33494531633255</v>
      </c>
      <c r="H16" s="16">
        <f t="shared" si="2"/>
        <v>8468.2075304798236</v>
      </c>
      <c r="I16" s="16">
        <f t="shared" si="2"/>
        <v>0</v>
      </c>
      <c r="J16" s="16">
        <f t="shared" si="2"/>
        <v>389358.67530425882</v>
      </c>
      <c r="L16" s="9" t="s">
        <v>7</v>
      </c>
      <c r="M16" s="16">
        <f t="shared" ref="M16:U16" si="3">SUM(M5:M15)</f>
        <v>177746</v>
      </c>
      <c r="N16" s="16">
        <f t="shared" si="3"/>
        <v>108241</v>
      </c>
      <c r="O16" s="16">
        <f t="shared" si="3"/>
        <v>62648</v>
      </c>
      <c r="P16" s="16">
        <f t="shared" si="3"/>
        <v>0</v>
      </c>
      <c r="Q16" s="16">
        <f t="shared" si="3"/>
        <v>2564</v>
      </c>
      <c r="R16" s="16">
        <f t="shared" si="3"/>
        <v>2365</v>
      </c>
      <c r="S16" s="16">
        <f t="shared" si="3"/>
        <v>10052</v>
      </c>
      <c r="T16" s="16">
        <f t="shared" si="3"/>
        <v>0</v>
      </c>
      <c r="U16" s="16">
        <f t="shared" si="3"/>
        <v>363616</v>
      </c>
    </row>
    <row r="17" spans="1:21" x14ac:dyDescent="0.25">
      <c r="E17" s="33">
        <f>E16/J16</f>
        <v>2.0951391192549013E-3</v>
      </c>
      <c r="F17" s="34">
        <f>F16/J16</f>
        <v>2.2479742397410199E-2</v>
      </c>
      <c r="P17" s="33">
        <f>P16/U16</f>
        <v>0</v>
      </c>
      <c r="Q17" s="34">
        <f>Q16/U16</f>
        <v>7.0513948781131741E-3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0.99555331432378835</v>
      </c>
      <c r="C22" s="13">
        <f t="shared" si="4"/>
        <v>2.5334864276291856E-2</v>
      </c>
      <c r="D22" s="13">
        <f t="shared" si="4"/>
        <v>1.2148258708002527E-2</v>
      </c>
      <c r="E22" s="13">
        <f t="shared" si="4"/>
        <v>0.2726804687078011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0.52520519233767071</v>
      </c>
      <c r="K22" s="6"/>
      <c r="L22" t="s">
        <v>1</v>
      </c>
      <c r="M22" s="13">
        <f t="shared" ref="M22:P22" si="5">M5/M$16</f>
        <v>0.99348508545902581</v>
      </c>
      <c r="N22" s="13">
        <f t="shared" si="5"/>
        <v>2.629317910957955E-2</v>
      </c>
      <c r="O22" s="13">
        <f t="shared" si="5"/>
        <v>9.3378878814966166E-3</v>
      </c>
      <c r="P22" s="13" t="e">
        <f t="shared" si="5"/>
        <v>#DIV/0!</v>
      </c>
      <c r="Q22" s="13">
        <f t="shared" ref="Q22:U33" si="6">Q5/Q$16</f>
        <v>0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0.49507997447857077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0.96744870043019215</v>
      </c>
      <c r="D23" s="13">
        <f t="shared" si="7"/>
        <v>1.1620169615255188E-2</v>
      </c>
      <c r="E23" s="13">
        <f t="shared" si="7"/>
        <v>0</v>
      </c>
      <c r="F23" s="13">
        <f t="shared" si="7"/>
        <v>7.7599904221577504E-2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0.31453929333998742</v>
      </c>
      <c r="K23" s="6"/>
      <c r="L23" t="s">
        <v>12</v>
      </c>
      <c r="M23" s="13">
        <f t="shared" ref="M23:P23" si="8">M6/M$16</f>
        <v>0</v>
      </c>
      <c r="N23" s="13">
        <f t="shared" si="8"/>
        <v>0.97180366035051413</v>
      </c>
      <c r="O23" s="13">
        <f t="shared" si="8"/>
        <v>0.19060464819307879</v>
      </c>
      <c r="P23" s="13" t="e">
        <f t="shared" si="8"/>
        <v>#DIV/0!</v>
      </c>
      <c r="Q23" s="13">
        <f t="shared" si="6"/>
        <v>0.12870514820592824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0.32303308985303175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0.9718119545039291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0.1085906968109832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0.79930724045460355</v>
      </c>
      <c r="P24" s="13" t="e">
        <f t="shared" si="10"/>
        <v>#DIV/0!</v>
      </c>
      <c r="Q24" s="13">
        <f t="shared" si="6"/>
        <v>2.8081123244929798E-2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0.13791197307049194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0.36391718775319337</v>
      </c>
      <c r="F25" s="13">
        <f t="shared" si="11"/>
        <v>0.82702119114457173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1.9353680470360259E-2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0.61700468018720744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4.3507436416439322E-3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0.36340234353900552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7.6137846597747921E-4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4.875195007800312E-2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3.4376925107806037E-4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1.1700468018720749E-3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8.2504620258734492E-6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7.5663026521060842E-2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5.3352987767314969E-4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1.0590330512377643E-3</v>
      </c>
      <c r="E31" s="13">
        <f t="shared" si="23"/>
        <v>0</v>
      </c>
      <c r="F31" s="13">
        <f t="shared" si="23"/>
        <v>3.8799952110788752E-2</v>
      </c>
      <c r="G31" s="13">
        <f t="shared" si="23"/>
        <v>1</v>
      </c>
      <c r="H31" s="13">
        <f t="shared" si="23"/>
        <v>0</v>
      </c>
      <c r="I31" s="13" t="e">
        <f t="shared" si="23"/>
        <v>#DIV/0!</v>
      </c>
      <c r="J31" s="13">
        <f t="shared" si="23"/>
        <v>3.5289160627882087E-3</v>
      </c>
      <c r="K31" s="6"/>
      <c r="L31" t="s">
        <v>4</v>
      </c>
      <c r="M31" s="13">
        <f t="shared" ref="M31:P31" si="24">M14/M$16</f>
        <v>1.0126810167317409E-3</v>
      </c>
      <c r="N31" s="13">
        <f t="shared" si="24"/>
        <v>5.266026736633993E-4</v>
      </c>
      <c r="O31" s="13">
        <f t="shared" si="24"/>
        <v>4.1501723917762736E-4</v>
      </c>
      <c r="P31" s="13" t="e">
        <f t="shared" si="24"/>
        <v>#DIV/0!</v>
      </c>
      <c r="Q31" s="13">
        <f t="shared" si="6"/>
        <v>1.9890795631825272E-2</v>
      </c>
      <c r="R31" s="13">
        <f t="shared" si="6"/>
        <v>0.97293868921775895</v>
      </c>
      <c r="S31" s="13">
        <f t="shared" si="6"/>
        <v>0</v>
      </c>
      <c r="T31" s="13" t="e">
        <f t="shared" si="6"/>
        <v>#DIV/0!</v>
      </c>
      <c r="U31" s="13">
        <f t="shared" si="6"/>
        <v>7.1916527325530232E-3</v>
      </c>
    </row>
    <row r="32" spans="1:21" x14ac:dyDescent="0.25">
      <c r="A32" s="4" t="s">
        <v>5</v>
      </c>
      <c r="B32" s="14">
        <f t="shared" ref="B32:J32" si="25">B15/B$16</f>
        <v>4.4466856762116463E-3</v>
      </c>
      <c r="C32" s="14">
        <f t="shared" si="25"/>
        <v>7.2164352935159713E-3</v>
      </c>
      <c r="D32" s="14">
        <f t="shared" si="25"/>
        <v>3.3605841215753936E-3</v>
      </c>
      <c r="E32" s="14">
        <f t="shared" si="25"/>
        <v>0</v>
      </c>
      <c r="F32" s="14">
        <f t="shared" si="25"/>
        <v>5.6578952523062068E-2</v>
      </c>
      <c r="G32" s="14">
        <f t="shared" si="25"/>
        <v>0</v>
      </c>
      <c r="H32" s="14">
        <f t="shared" si="25"/>
        <v>1</v>
      </c>
      <c r="I32" s="14" t="e">
        <f t="shared" si="25"/>
        <v>#DIV/0!</v>
      </c>
      <c r="J32" s="14">
        <f t="shared" si="25"/>
        <v>2.8020842512232649E-2</v>
      </c>
      <c r="K32" s="6"/>
      <c r="L32" s="4" t="s">
        <v>5</v>
      </c>
      <c r="M32" s="14">
        <f t="shared" ref="M32:P32" si="26">M15/M$16</f>
        <v>5.5022335242424581E-3</v>
      </c>
      <c r="N32" s="14">
        <f t="shared" si="26"/>
        <v>1.376557866242921E-3</v>
      </c>
      <c r="O32" s="14">
        <f t="shared" si="26"/>
        <v>3.3520623164346824E-4</v>
      </c>
      <c r="P32" s="14" t="e">
        <f t="shared" si="26"/>
        <v>#DIV/0!</v>
      </c>
      <c r="Q32" s="14">
        <f t="shared" si="6"/>
        <v>8.0733229329173165E-2</v>
      </c>
      <c r="R32" s="14">
        <f t="shared" si="6"/>
        <v>2.7061310782241013E-2</v>
      </c>
      <c r="S32" s="14">
        <f t="shared" si="6"/>
        <v>1</v>
      </c>
      <c r="T32" s="14" t="e">
        <f t="shared" si="6"/>
        <v>#DIV/0!</v>
      </c>
      <c r="U32" s="14">
        <f t="shared" si="6"/>
        <v>3.1547016632931447E-2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-2.0682288647625446E-3</v>
      </c>
      <c r="N39" s="13">
        <f t="shared" si="29"/>
        <v>9.583148332876941E-4</v>
      </c>
      <c r="O39" s="13">
        <f t="shared" si="29"/>
        <v>-2.8103708265059101E-3</v>
      </c>
      <c r="P39" s="13" t="e">
        <f t="shared" si="29"/>
        <v>#DIV/0!</v>
      </c>
      <c r="Q39" s="13">
        <f t="shared" ref="Q39:Q50" si="30">Q22-F22</f>
        <v>0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-3.012521785909994E-2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4.3549599203219769E-3</v>
      </c>
      <c r="O40" s="13">
        <f t="shared" si="29"/>
        <v>0.1789844785778236</v>
      </c>
      <c r="P40" s="13" t="e">
        <f t="shared" si="29"/>
        <v>#DIV/0!</v>
      </c>
      <c r="Q40" s="13">
        <f t="shared" si="30"/>
        <v>5.1105243984350734E-2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8.4937965130443271E-3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-0.17250471404932555</v>
      </c>
      <c r="P41" s="13" t="e">
        <f t="shared" si="29"/>
        <v>#DIV/0!</v>
      </c>
      <c r="Q41" s="13">
        <f t="shared" si="30"/>
        <v>2.8081123244929798E-2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2.9321276259508741E-2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-0.21001651095736429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-1.5002936828716326E-2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4.875195007800312E-2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-4.1760921489941884E-4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1.1700468018720749E-3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8.2504620258734492E-6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7.5663026521060842E-2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5.3352987767314969E-4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1.0126810167317409E-3</v>
      </c>
      <c r="N48" s="13">
        <f t="shared" si="39"/>
        <v>5.266026736633993E-4</v>
      </c>
      <c r="O48" s="13">
        <f t="shared" si="39"/>
        <v>-6.4401581206013697E-4</v>
      </c>
      <c r="P48" s="13" t="e">
        <f t="shared" si="39"/>
        <v>#DIV/0!</v>
      </c>
      <c r="Q48" s="13">
        <f t="shared" si="30"/>
        <v>-1.890915647896348E-2</v>
      </c>
      <c r="R48" s="13">
        <f t="shared" si="31"/>
        <v>-2.7061310782241055E-2</v>
      </c>
      <c r="S48" s="13">
        <f t="shared" si="32"/>
        <v>0</v>
      </c>
      <c r="T48" s="13" t="e">
        <f t="shared" si="33"/>
        <v>#DIV/0!</v>
      </c>
      <c r="U48" s="13">
        <f t="shared" si="34"/>
        <v>3.6627366697648146E-3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1.0555478480308118E-3</v>
      </c>
      <c r="N49" s="17">
        <f t="shared" si="39"/>
        <v>-5.8398774272730505E-3</v>
      </c>
      <c r="O49" s="17">
        <f t="shared" si="39"/>
        <v>-3.0253778899319256E-3</v>
      </c>
      <c r="P49" s="17" t="e">
        <f t="shared" si="39"/>
        <v>#DIV/0!</v>
      </c>
      <c r="Q49" s="17">
        <f t="shared" si="30"/>
        <v>2.4154276806111097E-2</v>
      </c>
      <c r="R49" s="17">
        <f t="shared" si="31"/>
        <v>2.7061310782241013E-2</v>
      </c>
      <c r="S49" s="17">
        <f t="shared" si="32"/>
        <v>0</v>
      </c>
      <c r="T49" s="17" t="e">
        <f t="shared" si="33"/>
        <v>#DIV/0!</v>
      </c>
      <c r="U49" s="13">
        <f t="shared" si="34"/>
        <v>3.5261741206987982E-3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40717.21878056983</v>
      </c>
      <c r="C5" s="6" t="n">
        <v>2872.280062474913</v>
      </c>
      <c r="D5" s="6" t="n">
        <v>684.5634227598921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44274.062265804634</v>
      </c>
      <c r="K5" s="6"/>
      <c r="L5" t="s">
        <v>1</v>
      </c>
      <c r="M5" s="6" t="n">
        <v>41417.0</v>
      </c>
      <c r="N5" s="6" t="n">
        <v>5191.0</v>
      </c>
      <c r="O5" s="6" t="n">
        <v>904.0</v>
      </c>
      <c r="P5" s="6" t="n">
        <v>0.0</v>
      </c>
      <c r="Q5" s="6" t="n">
        <v>1.0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46480</v>
      </c>
    </row>
    <row r="6" spans="1:21" x14ac:dyDescent="0.25">
      <c r="A6" t="s">
        <v>12</v>
      </c>
      <c r="B6" s="6" t="n">
        <v>0.0</v>
      </c>
      <c r="C6" s="6" t="n">
        <v>109132.03852391252</v>
      </c>
      <c r="D6" s="6" t="n">
        <v>1412.6052682627014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110544.64379217522</v>
      </c>
      <c r="K6" s="6"/>
      <c r="L6" t="s">
        <v>12</v>
      </c>
      <c r="M6" s="6" t="n">
        <v>0.0</v>
      </c>
      <c r="N6" s="6" t="n">
        <v>95881.0</v>
      </c>
      <c r="O6" s="6" t="n">
        <v>8987.0</v>
      </c>
      <c r="P6" s="6" t="n">
        <v>0.0</v>
      </c>
      <c r="Q6" s="6" t="n">
        <v>32.0</v>
      </c>
      <c r="R6" s="6" t="n">
        <v>0.0</v>
      </c>
      <c r="S6" s="6" t="n">
        <v>0.0</v>
      </c>
      <c r="T6" s="6" t="n">
        <v>0.0</v>
      </c>
      <c r="U6" s="6">
        <f t="shared" si="0"/>
        <v>99125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57906.32719728914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189.353140350772</v>
      </c>
      <c r="J7" s="6">
        <f t="shared" si="1"/>
        <v>58095.680337639911</v>
      </c>
      <c r="K7" s="6"/>
      <c r="L7" t="s">
        <v>56</v>
      </c>
      <c r="M7" s="6" t="n">
        <v>0.0</v>
      </c>
      <c r="N7" s="6" t="n">
        <v>0.0</v>
      </c>
      <c r="O7" s="6" t="n">
        <v>41552.0</v>
      </c>
      <c r="P7" s="6" t="n">
        <v>0.0</v>
      </c>
      <c r="Q7" s="6" t="n">
        <v>9.0</v>
      </c>
      <c r="R7" s="6" t="n">
        <v>0.0</v>
      </c>
      <c r="S7" s="6" t="n">
        <v>0.0</v>
      </c>
      <c r="T7" s="6" t="n">
        <v>0.0</v>
      </c>
      <c r="U7" s="6">
        <f t="shared" si="0"/>
        <v>39404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42.5456991850752</v>
      </c>
      <c r="G8" s="6" t="n">
        <v>0.0</v>
      </c>
      <c r="H8" s="6" t="n">
        <v>0.0</v>
      </c>
      <c r="I8" s="6" t="n">
        <v>0.0</v>
      </c>
      <c r="J8" s="6">
        <f t="shared" si="1"/>
        <v>42.5456991850752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721.0</v>
      </c>
      <c r="R8" s="6" t="n">
        <v>0.0</v>
      </c>
      <c r="S8" s="6" t="n">
        <v>0.0</v>
      </c>
      <c r="T8" s="6" t="n">
        <v>0.0</v>
      </c>
      <c r="U8" s="6">
        <f t="shared" si="0"/>
        <v>1124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12.0</v>
      </c>
      <c r="R10" s="6" t="n">
        <v>0.0</v>
      </c>
      <c r="S10" s="6" t="n">
        <v>0.0</v>
      </c>
      <c r="T10" s="6" t="n">
        <v>0.0</v>
      </c>
      <c r="U10" s="6">
        <f t="shared" si="0"/>
        <v>39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15.0</v>
      </c>
      <c r="R11" s="6" t="n">
        <v>0.0</v>
      </c>
      <c r="S11" s="6" t="n">
        <v>0.0</v>
      </c>
      <c r="T11" s="6" t="n">
        <v>0.0</v>
      </c>
      <c r="U11" s="6">
        <f t="shared" si="0"/>
        <v>2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32.0</v>
      </c>
      <c r="R12" s="6" t="n">
        <v>0.0</v>
      </c>
      <c r="S12" s="6" t="n">
        <v>0.0</v>
      </c>
      <c r="T12" s="6" t="n">
        <v>0.0</v>
      </c>
      <c r="U12" s="6">
        <f t="shared" si="0"/>
        <v>86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189.353140350772</v>
      </c>
      <c r="J13" s="6">
        <f t="shared" si="1"/>
        <v>189.35314035077201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1004.4686710249564</v>
      </c>
      <c r="H14" s="6" t="n">
        <v>0.0</v>
      </c>
      <c r="I14" s="6" t="n">
        <v>0.0</v>
      </c>
      <c r="J14" s="6">
        <f t="shared" si="1"/>
        <v>1004.4686710249564</v>
      </c>
      <c r="K14" s="6"/>
      <c r="L14" t="s">
        <v>4</v>
      </c>
      <c r="M14" s="6" t="n">
        <v>38.0</v>
      </c>
      <c r="N14" s="6" t="n">
        <v>121.0</v>
      </c>
      <c r="O14" s="6" t="n">
        <v>35.0</v>
      </c>
      <c r="P14" s="6" t="n">
        <v>0.0</v>
      </c>
      <c r="Q14" s="6" t="n">
        <v>6.0</v>
      </c>
      <c r="R14" s="6" t="n">
        <v>536.0</v>
      </c>
      <c r="S14" s="6" t="n">
        <v>0.0</v>
      </c>
      <c r="T14" s="6" t="n">
        <v>0.0</v>
      </c>
      <c r="U14" s="6">
        <f t="shared" si="0"/>
        <v>595</v>
      </c>
    </row>
    <row r="15" spans="1:21" x14ac:dyDescent="0.25">
      <c r="A15" s="4" t="s">
        <v>5</v>
      </c>
      <c r="B15" s="10" t="n">
        <v>722.1705882391276</v>
      </c>
      <c r="C15" s="10" t="n">
        <v>301.727837074484</v>
      </c>
      <c r="D15" s="10" t="n">
        <v>260.3980845832823</v>
      </c>
      <c r="E15" s="10" t="n">
        <v>0.0</v>
      </c>
      <c r="F15" s="10" t="n">
        <v>0.0</v>
      </c>
      <c r="G15" s="10" t="n">
        <v>0.0</v>
      </c>
      <c r="H15" s="10" t="n">
        <v>5698.299303394058</v>
      </c>
      <c r="I15" s="10" t="n">
        <v>0.0</v>
      </c>
      <c r="J15" s="6">
        <f t="shared" si="1"/>
        <v>6982.5958132909527</v>
      </c>
      <c r="K15" s="6"/>
      <c r="L15" s="4" t="s">
        <v>5</v>
      </c>
      <c r="M15" s="8" t="n">
        <v>181.0</v>
      </c>
      <c r="N15" s="8" t="n">
        <v>195.0</v>
      </c>
      <c r="O15" s="8" t="n">
        <v>22.0</v>
      </c>
      <c r="P15" s="8" t="n">
        <v>0.0</v>
      </c>
      <c r="Q15" s="8" t="n">
        <v>26.0</v>
      </c>
      <c r="R15" s="8" t="n">
        <v>6.0</v>
      </c>
      <c r="S15" s="8" t="n">
        <v>3872.0</v>
      </c>
      <c r="T15" s="8" t="n">
        <v>0.0</v>
      </c>
      <c r="U15" s="6">
        <f t="shared" si="0"/>
        <v>4591</v>
      </c>
    </row>
    <row r="16" spans="1:21" ht="15.75" thickBot="1" x14ac:dyDescent="0.3">
      <c r="A16" s="12" t="s">
        <v>7</v>
      </c>
      <c r="B16" s="16">
        <f t="shared" ref="B16:J16" si="2">SUM(B5:B15)</f>
        <v>41439.389368808952</v>
      </c>
      <c r="C16" s="16">
        <f t="shared" si="2"/>
        <v>112306.04642346191</v>
      </c>
      <c r="D16" s="16">
        <f t="shared" si="2"/>
        <v>60263.893972895014</v>
      </c>
      <c r="E16" s="16">
        <f t="shared" si="2"/>
        <v>0</v>
      </c>
      <c r="F16" s="16">
        <f t="shared" si="2"/>
        <v>42.5456991850752</v>
      </c>
      <c r="G16" s="16">
        <f t="shared" si="2"/>
        <v>1004.4686710249564</v>
      </c>
      <c r="H16" s="16">
        <f t="shared" si="2"/>
        <v>5698.2993033940584</v>
      </c>
      <c r="I16" s="16">
        <f t="shared" si="2"/>
        <v>378.70628070154402</v>
      </c>
      <c r="J16" s="16">
        <f t="shared" si="2"/>
        <v>221133.3497194715</v>
      </c>
      <c r="L16" s="9" t="s">
        <v>7</v>
      </c>
      <c r="M16" s="16">
        <f t="shared" ref="M16:U16" si="3">SUM(M5:M15)</f>
        <v>40702</v>
      </c>
      <c r="N16" s="16">
        <f t="shared" si="3"/>
        <v>95919</v>
      </c>
      <c r="O16" s="16">
        <f t="shared" si="3"/>
        <v>48770</v>
      </c>
      <c r="P16" s="16">
        <f t="shared" si="3"/>
        <v>0</v>
      </c>
      <c r="Q16" s="16">
        <f t="shared" si="3"/>
        <v>1537</v>
      </c>
      <c r="R16" s="16">
        <f t="shared" si="3"/>
        <v>403</v>
      </c>
      <c r="S16" s="16">
        <f t="shared" si="3"/>
        <v>4115</v>
      </c>
      <c r="T16" s="16">
        <f t="shared" si="3"/>
        <v>0</v>
      </c>
      <c r="U16" s="16">
        <f t="shared" si="3"/>
        <v>191446</v>
      </c>
    </row>
    <row r="17" spans="1:21" x14ac:dyDescent="0.25">
      <c r="E17" s="33">
        <f>E16/J16</f>
        <v>0</v>
      </c>
      <c r="F17" s="34">
        <f>F16/J16</f>
        <v>1.9239838422855905E-4</v>
      </c>
      <c r="P17" s="33">
        <f>P16/U16</f>
        <v>0</v>
      </c>
      <c r="Q17" s="34">
        <f>Q16/U16</f>
        <v>8.0283735361407395E-3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0.98257284677117618</v>
      </c>
      <c r="C22" s="13">
        <f t="shared" si="4"/>
        <v>2.5575471258641541E-2</v>
      </c>
      <c r="D22" s="13">
        <f t="shared" si="4"/>
        <v>1.1359428965340163E-2</v>
      </c>
      <c r="E22" s="13" t="e">
        <f t="shared" si="4"/>
        <v>#DIV/0!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0.20021431557913114</v>
      </c>
      <c r="K22" s="6"/>
      <c r="L22" t="s">
        <v>1</v>
      </c>
      <c r="M22" s="13">
        <f t="shared" ref="M22:P22" si="5">M5/M$16</f>
        <v>0.99432460321360128</v>
      </c>
      <c r="N22" s="13">
        <f t="shared" si="5"/>
        <v>5.3305393092088114E-2</v>
      </c>
      <c r="O22" s="13">
        <f t="shared" si="5"/>
        <v>1.8351445560795571E-2</v>
      </c>
      <c r="P22" s="13" t="e">
        <f t="shared" si="5"/>
        <v>#DIV/0!</v>
      </c>
      <c r="Q22" s="13">
        <f t="shared" ref="Q22:U33" si="6">Q5/Q$16</f>
        <v>6.5061808718282373E-4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0.24278386594653323</v>
      </c>
    </row>
    <row r="23" spans="1:21" x14ac:dyDescent="0.25">
      <c r="A23" t="s">
        <v>9</v>
      </c>
      <c r="B23" s="13">
        <f t="shared" ref="B23:J23" si="7">B6/B$16</f>
        <v>0</v>
      </c>
      <c r="C23" s="13">
        <f t="shared" si="7"/>
        <v>0.97173787164066427</v>
      </c>
      <c r="D23" s="13">
        <f t="shared" si="7"/>
        <v>2.3440325128974426E-2</v>
      </c>
      <c r="E23" s="13" t="e">
        <f t="shared" si="7"/>
        <v>#DIV/0!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0.49990037202625259</v>
      </c>
      <c r="K23" s="6"/>
      <c r="L23" t="s">
        <v>12</v>
      </c>
      <c r="M23" s="13">
        <f t="shared" ref="M23:P23" si="8">M6/M$16</f>
        <v>0</v>
      </c>
      <c r="N23" s="13">
        <f t="shared" si="8"/>
        <v>0.94424462306737977</v>
      </c>
      <c r="O23" s="13">
        <f t="shared" si="8"/>
        <v>0.17330326020094319</v>
      </c>
      <c r="P23" s="13" t="e">
        <f t="shared" si="8"/>
        <v>#DIV/0!</v>
      </c>
      <c r="Q23" s="13">
        <f t="shared" si="6"/>
        <v>6.6363044892648021E-2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0.51777002392319504</v>
      </c>
    </row>
    <row r="24" spans="1:21" x14ac:dyDescent="0.25">
      <c r="A24" t="s">
        <v>10</v>
      </c>
      <c r="B24" s="13">
        <f t="shared" ref="B24:J24" si="9">B7/B$16</f>
        <v>0</v>
      </c>
      <c r="C24" s="13">
        <f t="shared" si="9"/>
        <v>0</v>
      </c>
      <c r="D24" s="13">
        <f t="shared" si="9"/>
        <v>0.96087928243292342</v>
      </c>
      <c r="E24" s="13" t="e">
        <f t="shared" si="9"/>
        <v>#DIV/0!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0.5</v>
      </c>
      <c r="J24" s="13">
        <f t="shared" si="9"/>
        <v>0.2627178596595211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0.80717654295673569</v>
      </c>
      <c r="P24" s="13" t="e">
        <f t="shared" si="10"/>
        <v>#DIV/0!</v>
      </c>
      <c r="Q24" s="13">
        <f t="shared" si="6"/>
        <v>2.4723487312947299E-2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0.20582305193109285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1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1.9239838422855905E-4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0.73129472999349376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5.8711072573989533E-3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2.5374105400130124E-2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2.037127962976505E-4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1.3012361743656475E-3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1.044681006654618E-5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5.595315549772284E-2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4.4921283286148572E-4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0.5</v>
      </c>
      <c r="J30" s="13">
        <f t="shared" si="21"/>
        <v>8.5628486427300236E-4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4.542366279438265E-3</v>
      </c>
      <c r="K31" s="6"/>
      <c r="L31" t="s">
        <v>4</v>
      </c>
      <c r="M31" s="13">
        <f t="shared" ref="M31:P31" si="24">M14/M$16</f>
        <v>8.3533978674266618E-4</v>
      </c>
      <c r="N31" s="13">
        <f t="shared" si="24"/>
        <v>1.0529717782712497E-3</v>
      </c>
      <c r="O31" s="13">
        <f t="shared" si="24"/>
        <v>5.1261021119540701E-4</v>
      </c>
      <c r="P31" s="13" t="e">
        <f t="shared" si="24"/>
        <v>#DIV/0!</v>
      </c>
      <c r="Q31" s="13">
        <f t="shared" si="6"/>
        <v>2.1470396877033181E-2</v>
      </c>
      <c r="R31" s="13">
        <f t="shared" si="6"/>
        <v>0.9975186104218362</v>
      </c>
      <c r="S31" s="13">
        <f t="shared" si="6"/>
        <v>0</v>
      </c>
      <c r="T31" s="13" t="e">
        <f t="shared" si="6"/>
        <v>#DIV/0!</v>
      </c>
      <c r="U31" s="13">
        <f t="shared" si="6"/>
        <v>3.1079259947974884E-3</v>
      </c>
    </row>
    <row r="32" spans="1:21" x14ac:dyDescent="0.25">
      <c r="A32" s="4" t="s">
        <v>5</v>
      </c>
      <c r="B32" s="14">
        <f t="shared" ref="B32:J32" si="25">B15/B$16</f>
        <v>1.742715322882385E-2</v>
      </c>
      <c r="C32" s="14">
        <f t="shared" si="25"/>
        <v>2.6866571006941785E-3</v>
      </c>
      <c r="D32" s="14">
        <f t="shared" si="25"/>
        <v>4.320963472762015E-3</v>
      </c>
      <c r="E32" s="14" t="e">
        <f t="shared" si="25"/>
        <v>#DIV/0!</v>
      </c>
      <c r="F32" s="14">
        <f t="shared" si="25"/>
        <v>0</v>
      </c>
      <c r="G32" s="14">
        <f t="shared" si="25"/>
        <v>0</v>
      </c>
      <c r="H32" s="14">
        <f t="shared" si="25"/>
        <v>1</v>
      </c>
      <c r="I32" s="14">
        <f t="shared" si="25"/>
        <v>0</v>
      </c>
      <c r="J32" s="14">
        <f t="shared" si="25"/>
        <v>3.1576403207155476E-2</v>
      </c>
      <c r="K32" s="6"/>
      <c r="L32" s="4" t="s">
        <v>5</v>
      </c>
      <c r="M32" s="14">
        <f t="shared" ref="M32:P32" si="26">M15/M$16</f>
        <v>4.8400569996560365E-3</v>
      </c>
      <c r="N32" s="14">
        <f t="shared" si="26"/>
        <v>1.3970120622608659E-3</v>
      </c>
      <c r="O32" s="14">
        <f t="shared" si="26"/>
        <v>6.5614107033012102E-4</v>
      </c>
      <c r="P32" s="14" t="e">
        <f t="shared" si="26"/>
        <v>#DIV/0!</v>
      </c>
      <c r="Q32" s="14">
        <f t="shared" si="6"/>
        <v>7.2869225764476256E-2</v>
      </c>
      <c r="R32" s="14">
        <f t="shared" si="6"/>
        <v>2.4813895781637717E-3</v>
      </c>
      <c r="S32" s="14">
        <f t="shared" si="6"/>
        <v>1</v>
      </c>
      <c r="T32" s="14" t="e">
        <f t="shared" si="6"/>
        <v>#DIV/0!</v>
      </c>
      <c r="U32" s="14">
        <f t="shared" si="6"/>
        <v>2.3980652507756755E-2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1.1751756442425099E-2</v>
      </c>
      <c r="N39" s="13">
        <f t="shared" si="29"/>
        <v>2.7729921833446573E-2</v>
      </c>
      <c r="O39" s="13">
        <f t="shared" si="29"/>
        <v>6.9920165954554074E-3</v>
      </c>
      <c r="P39" s="13" t="e">
        <f t="shared" si="29"/>
        <v>#DIV/0!</v>
      </c>
      <c r="Q39" s="13">
        <f t="shared" ref="Q39:Q50" si="30">Q22-F22</f>
        <v>6.5061808718282373E-4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4.2569550367402093E-2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-2.7493248573284501E-2</v>
      </c>
      <c r="O40" s="13">
        <f t="shared" si="29"/>
        <v>0.14986293507196877</v>
      </c>
      <c r="P40" s="13" t="e">
        <f t="shared" si="29"/>
        <v>#DIV/0!</v>
      </c>
      <c r="Q40" s="13">
        <f t="shared" si="30"/>
        <v>6.6363044892648021E-2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1.7869651896942451E-2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-0.15370273947618773</v>
      </c>
      <c r="P41" s="13" t="e">
        <f t="shared" si="29"/>
        <v>#DIV/0!</v>
      </c>
      <c r="Q41" s="13">
        <f t="shared" si="30"/>
        <v>2.4723487312947299E-2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-5.6894807728428254E-2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-0.26870527000650624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5.6787088731703938E-3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2.5374105400130124E-2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2.037127962976505E-4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1.3012361743656475E-3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1.044681006654618E-5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5.595315549772284E-2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4.4921283286148572E-4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-8.5628486427300236E-4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8.3533978674266618E-4</v>
      </c>
      <c r="N48" s="13">
        <f t="shared" si="39"/>
        <v>1.0529717782712497E-3</v>
      </c>
      <c r="O48" s="13">
        <f t="shared" si="39"/>
        <v>5.1261021119540701E-4</v>
      </c>
      <c r="P48" s="13" t="e">
        <f t="shared" si="39"/>
        <v>#DIV/0!</v>
      </c>
      <c r="Q48" s="13">
        <f t="shared" si="30"/>
        <v>2.1470396877033181E-2</v>
      </c>
      <c r="R48" s="13">
        <f t="shared" si="31"/>
        <v>-2.4813895781637951E-3</v>
      </c>
      <c r="S48" s="13">
        <f t="shared" si="32"/>
        <v>0</v>
      </c>
      <c r="T48" s="13" t="e">
        <f t="shared" si="33"/>
        <v>#DIV/0!</v>
      </c>
      <c r="U48" s="13">
        <f t="shared" si="34"/>
        <v>-1.4344402846407766E-3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-1.2587096229167812E-2</v>
      </c>
      <c r="N49" s="17">
        <f t="shared" si="39"/>
        <v>-1.2896450384333126E-3</v>
      </c>
      <c r="O49" s="17">
        <f t="shared" si="39"/>
        <v>-3.6648224024318941E-3</v>
      </c>
      <c r="P49" s="17" t="e">
        <f t="shared" si="39"/>
        <v>#DIV/0!</v>
      </c>
      <c r="Q49" s="17">
        <f t="shared" si="30"/>
        <v>7.2869225764476256E-2</v>
      </c>
      <c r="R49" s="17">
        <f t="shared" si="31"/>
        <v>2.4813895781637717E-3</v>
      </c>
      <c r="S49" s="17">
        <f t="shared" si="32"/>
        <v>0</v>
      </c>
      <c r="T49" s="17" t="e">
        <f t="shared" si="33"/>
        <v>#DIV/0!</v>
      </c>
      <c r="U49" s="13">
        <f t="shared" si="34"/>
        <v>-7.5957506993987213E-3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F50"/>
  <sheetViews>
    <sheetView workbookViewId="0">
      <selection activeCell="M17" sqref="M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54788.47689474442</v>
      </c>
      <c r="C5" s="6" t="n">
        <v>3345.4189176886</v>
      </c>
      <c r="D5" s="6" t="n">
        <v>2620.987664765669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60754.883477198688</v>
      </c>
      <c r="K5" s="6"/>
      <c r="L5" t="s">
        <v>1</v>
      </c>
      <c r="M5" s="6" t="n">
        <v>162040.0</v>
      </c>
      <c r="N5" s="6" t="n">
        <v>12554.0</v>
      </c>
      <c r="O5" s="6" t="n">
        <v>2866.0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169581</v>
      </c>
    </row>
    <row r="6" spans="1:21" x14ac:dyDescent="0.25">
      <c r="A6" t="s">
        <v>12</v>
      </c>
      <c r="B6" s="6" t="n">
        <v>0.0</v>
      </c>
      <c r="C6" s="6" t="n">
        <v>56282.27895429047</v>
      </c>
      <c r="D6" s="6" t="n">
        <v>3192.1933273430877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59474.472281633556</v>
      </c>
      <c r="K6" s="6"/>
      <c r="L6" t="s">
        <v>12</v>
      </c>
      <c r="M6" s="6" t="n">
        <v>0.0</v>
      </c>
      <c r="N6" s="6" t="n">
        <v>169013.0</v>
      </c>
      <c r="O6" s="6" t="n">
        <v>21003.0</v>
      </c>
      <c r="P6" s="6" t="n">
        <v>0.0</v>
      </c>
      <c r="Q6" s="6" t="n">
        <v>58.0</v>
      </c>
      <c r="R6" s="6" t="n">
        <v>0.0</v>
      </c>
      <c r="S6" s="6" t="n">
        <v>0.0</v>
      </c>
      <c r="T6" s="6" t="n">
        <v>0.0</v>
      </c>
      <c r="U6" s="6">
        <f t="shared" si="0"/>
        <v>178415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44168.65540792418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44168.655407924183</v>
      </c>
      <c r="K7" s="6"/>
      <c r="L7" t="s">
        <v>56</v>
      </c>
      <c r="M7" s="6" t="n">
        <v>0.0</v>
      </c>
      <c r="N7" s="6" t="n">
        <v>0.0</v>
      </c>
      <c r="O7" s="6" t="n">
        <v>101989.0</v>
      </c>
      <c r="P7" s="6" t="n">
        <v>0.0</v>
      </c>
      <c r="Q7" s="6" t="n">
        <v>14.0</v>
      </c>
      <c r="R7" s="6" t="n">
        <v>0.0</v>
      </c>
      <c r="S7" s="6" t="n">
        <v>0.0</v>
      </c>
      <c r="T7" s="6" t="n">
        <v>0.0</v>
      </c>
      <c r="U7" s="6">
        <f t="shared" si="0"/>
        <v>96417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340.6635145108336</v>
      </c>
      <c r="G8" s="6" t="n">
        <v>0.0</v>
      </c>
      <c r="H8" s="6" t="n">
        <v>0.0</v>
      </c>
      <c r="I8" s="6" t="n">
        <v>0.0</v>
      </c>
      <c r="J8" s="6">
        <f t="shared" si="1"/>
        <v>340.66351451083358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1647.0</v>
      </c>
      <c r="R8" s="6" t="n">
        <v>0.0</v>
      </c>
      <c r="S8" s="6" t="n">
        <v>0.0</v>
      </c>
      <c r="T8" s="6" t="n">
        <v>0.0</v>
      </c>
      <c r="U8" s="6">
        <f t="shared" si="0"/>
        <v>1891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17.0</v>
      </c>
      <c r="R10" s="6" t="n">
        <v>0.0</v>
      </c>
      <c r="S10" s="6" t="n">
        <v>0.0</v>
      </c>
      <c r="T10" s="6" t="n">
        <v>0.0</v>
      </c>
      <c r="U10" s="6">
        <f t="shared" si="0"/>
        <v>122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25.0</v>
      </c>
      <c r="R11" s="6" t="n">
        <v>0.0</v>
      </c>
      <c r="S11" s="6" t="n">
        <v>0.0</v>
      </c>
      <c r="T11" s="6" t="n">
        <v>0.0</v>
      </c>
      <c r="U11" s="6">
        <f t="shared" si="0"/>
        <v>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99.0</v>
      </c>
      <c r="R12" s="6" t="n">
        <v>0.0</v>
      </c>
      <c r="S12" s="6" t="n">
        <v>0.0</v>
      </c>
      <c r="T12" s="6" t="n">
        <v>0.0</v>
      </c>
      <c r="U12" s="6">
        <f t="shared" si="0"/>
        <v>177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551.1358951507382</v>
      </c>
      <c r="H14" s="6" t="n">
        <v>0.0</v>
      </c>
      <c r="I14" s="6" t="n">
        <v>0.0</v>
      </c>
      <c r="J14" s="6">
        <f t="shared" si="1"/>
        <v>551.13589515073818</v>
      </c>
      <c r="K14" s="6"/>
      <c r="L14" t="s">
        <v>4</v>
      </c>
      <c r="M14" s="6" t="n">
        <v>209.0</v>
      </c>
      <c r="N14" s="6" t="n">
        <v>409.0</v>
      </c>
      <c r="O14" s="6" t="n">
        <v>147.0</v>
      </c>
      <c r="P14" s="6" t="n">
        <v>0.0</v>
      </c>
      <c r="Q14" s="6" t="n">
        <v>23.0</v>
      </c>
      <c r="R14" s="6" t="n">
        <v>4601.0</v>
      </c>
      <c r="S14" s="6" t="n">
        <v>0.0</v>
      </c>
      <c r="T14" s="6" t="n">
        <v>0.0</v>
      </c>
      <c r="U14" s="6">
        <f t="shared" si="0"/>
        <v>4700</v>
      </c>
    </row>
    <row r="15" spans="1:21" x14ac:dyDescent="0.25">
      <c r="A15" s="4" t="s">
        <v>5</v>
      </c>
      <c r="B15" s="10" t="n">
        <v>110.1584376933006</v>
      </c>
      <c r="C15" s="10" t="n">
        <v>1350.7528294007554</v>
      </c>
      <c r="D15" s="10" t="n">
        <v>33.8858957155218</v>
      </c>
      <c r="E15" s="10" t="n">
        <v>0.0</v>
      </c>
      <c r="F15" s="10" t="n">
        <v>35.9575393456026</v>
      </c>
      <c r="G15" s="10" t="n">
        <v>0.0</v>
      </c>
      <c r="H15" s="10" t="n">
        <v>18555.375443904144</v>
      </c>
      <c r="I15" s="10" t="n">
        <v>0.0</v>
      </c>
      <c r="J15" s="6">
        <f t="shared" si="1"/>
        <v>20086.130146059324</v>
      </c>
      <c r="K15" s="6"/>
      <c r="L15" s="4" t="s">
        <v>5</v>
      </c>
      <c r="M15" s="8" t="n">
        <v>758.0</v>
      </c>
      <c r="N15" s="8" t="n">
        <v>500.0</v>
      </c>
      <c r="O15" s="8" t="n">
        <v>160.0</v>
      </c>
      <c r="P15" s="8" t="n">
        <v>0.0</v>
      </c>
      <c r="Q15" s="8" t="n">
        <v>52.0</v>
      </c>
      <c r="R15" s="8" t="n">
        <v>59.0</v>
      </c>
      <c r="S15" s="8" t="n">
        <v>23443.0</v>
      </c>
      <c r="T15" s="8" t="n">
        <v>0.0</v>
      </c>
      <c r="U15" s="6">
        <f t="shared" si="0"/>
        <v>25903</v>
      </c>
    </row>
    <row r="16" spans="1:21" ht="15.75" thickBot="1" x14ac:dyDescent="0.3">
      <c r="A16" s="12" t="s">
        <v>7</v>
      </c>
      <c r="B16" s="16">
        <f t="shared" ref="B16:J16" si="2">SUM(B5:B15)</f>
        <v>54898.63533243772</v>
      </c>
      <c r="C16" s="16">
        <f t="shared" si="2"/>
        <v>60978.450701379828</v>
      </c>
      <c r="D16" s="16">
        <f t="shared" si="2"/>
        <v>50015.722295748463</v>
      </c>
      <c r="E16" s="16">
        <f t="shared" si="2"/>
        <v>0</v>
      </c>
      <c r="F16" s="16">
        <f t="shared" si="2"/>
        <v>376.62105385643616</v>
      </c>
      <c r="G16" s="16">
        <f t="shared" si="2"/>
        <v>551.13589515073818</v>
      </c>
      <c r="H16" s="16">
        <f t="shared" si="2"/>
        <v>18555.375443904144</v>
      </c>
      <c r="I16" s="16">
        <f t="shared" si="2"/>
        <v>0</v>
      </c>
      <c r="J16" s="16">
        <f t="shared" si="2"/>
        <v>185375.94072247733</v>
      </c>
      <c r="L16" s="9" t="s">
        <v>7</v>
      </c>
      <c r="M16" s="16">
        <f t="shared" ref="M16:U16" si="3">SUM(M5:M15)</f>
        <v>155823</v>
      </c>
      <c r="N16" s="16">
        <f t="shared" si="3"/>
        <v>171675</v>
      </c>
      <c r="O16" s="16">
        <f t="shared" si="3"/>
        <v>118757</v>
      </c>
      <c r="P16" s="16">
        <f t="shared" si="3"/>
        <v>0</v>
      </c>
      <c r="Q16" s="16">
        <f t="shared" si="3"/>
        <v>2584</v>
      </c>
      <c r="R16" s="16">
        <f t="shared" si="3"/>
        <v>4093</v>
      </c>
      <c r="S16" s="16">
        <f t="shared" si="3"/>
        <v>24278</v>
      </c>
      <c r="T16" s="16">
        <f t="shared" si="3"/>
        <v>0</v>
      </c>
      <c r="U16" s="16">
        <f t="shared" si="3"/>
        <v>477210</v>
      </c>
    </row>
    <row r="17" spans="1:21" x14ac:dyDescent="0.25">
      <c r="E17" s="33">
        <f>E16/J16</f>
        <v>0</v>
      </c>
      <c r="F17" s="33">
        <f>F16/J16</f>
        <v>2.0316609177469698E-3</v>
      </c>
      <c r="P17" s="33">
        <f>P16/U16</f>
        <v>0</v>
      </c>
      <c r="Q17" s="33">
        <f>Q16/U16</f>
        <v>5.4148068984304605E-3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0.99799342120207102</v>
      </c>
      <c r="C22" s="13">
        <f t="shared" si="4"/>
        <v>5.4862314132439895E-2</v>
      </c>
      <c r="D22" s="13">
        <f t="shared" si="4"/>
        <v>5.2403275299464452E-2</v>
      </c>
      <c r="E22" s="13" t="e">
        <f t="shared" si="4"/>
        <v>#DIV/0!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0.32773877365323056</v>
      </c>
      <c r="K22" s="6"/>
      <c r="L22" t="s">
        <v>1</v>
      </c>
      <c r="M22" s="13">
        <f t="shared" ref="M22:P22" si="5">M5/M$16</f>
        <v>0.99409586518036486</v>
      </c>
      <c r="N22" s="13">
        <f t="shared" si="5"/>
        <v>7.0167467598660258E-2</v>
      </c>
      <c r="O22" s="13">
        <f t="shared" si="5"/>
        <v>2.2146062968919727E-2</v>
      </c>
      <c r="P22" s="13" t="e">
        <f t="shared" si="5"/>
        <v>#DIV/0!</v>
      </c>
      <c r="Q22" s="13">
        <f t="shared" ref="Q22:U33" si="6">Q5/Q$16</f>
        <v>7.7399380804953565E-4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0.35535927579053245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0.92298637152840801</v>
      </c>
      <c r="D23" s="13">
        <f t="shared" si="7"/>
        <v>6.3823797414486946E-2</v>
      </c>
      <c r="E23" s="13" t="e">
        <f t="shared" si="7"/>
        <v>#DIV/0!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0.3208316680678191</v>
      </c>
      <c r="K23" s="6"/>
      <c r="L23" t="s">
        <v>12</v>
      </c>
      <c r="M23" s="13">
        <f t="shared" ref="M23:P23" si="8">M6/M$16</f>
        <v>0</v>
      </c>
      <c r="N23" s="13">
        <f t="shared" si="8"/>
        <v>0.92515508955875925</v>
      </c>
      <c r="O23" s="13">
        <f t="shared" si="8"/>
        <v>0.16409137987655464</v>
      </c>
      <c r="P23" s="13" t="e">
        <f t="shared" si="8"/>
        <v>#DIV/0!</v>
      </c>
      <c r="Q23" s="13">
        <f t="shared" si="6"/>
        <v>3.9473684210526314E-2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0.37387104209886635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0.88309542241037864</v>
      </c>
      <c r="E24" s="13" t="e">
        <f t="shared" si="9"/>
        <v>#DIV/0!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0.23826530689895842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0.81161531530772923</v>
      </c>
      <c r="P24" s="13" t="e">
        <f t="shared" si="10"/>
        <v>#DIV/0!</v>
      </c>
      <c r="Q24" s="13">
        <f t="shared" si="6"/>
        <v>1.238390092879257E-2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0.20204312566794494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0.9045259446400753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1.8376900108134E-3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0.73181114551083593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3.9626160390603717E-3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4.7213622291021669E-2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2.5565264768131433E-4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1.5479876160990713E-3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8.3820540223381746E-6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6.8498452012383901E-2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3.709058904884642E-4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 t="e">
        <f t="shared" si="23"/>
        <v>#DIV/0!</v>
      </c>
      <c r="J31" s="13">
        <f t="shared" si="23"/>
        <v>2.9730713327887188E-3</v>
      </c>
      <c r="K31" s="6"/>
      <c r="L31" t="s">
        <v>4</v>
      </c>
      <c r="M31" s="13">
        <f t="shared" ref="M31:P31" si="24">M14/M$16</f>
        <v>1.1038165097578662E-3</v>
      </c>
      <c r="N31" s="13">
        <f t="shared" si="24"/>
        <v>1.9222367846221057E-3</v>
      </c>
      <c r="O31" s="13">
        <f t="shared" si="24"/>
        <v>9.5994341386191977E-4</v>
      </c>
      <c r="P31" s="13" t="e">
        <f t="shared" si="24"/>
        <v>#DIV/0!</v>
      </c>
      <c r="Q31" s="13">
        <f t="shared" si="6"/>
        <v>1.8188854489164085E-2</v>
      </c>
      <c r="R31" s="13">
        <f t="shared" si="6"/>
        <v>0.98631810408013687</v>
      </c>
      <c r="S31" s="13">
        <f t="shared" si="6"/>
        <v>0</v>
      </c>
      <c r="T31" s="13" t="e">
        <f t="shared" si="6"/>
        <v>#DIV/0!</v>
      </c>
      <c r="U31" s="13">
        <f t="shared" si="6"/>
        <v>9.8489134762473549E-3</v>
      </c>
    </row>
    <row r="32" spans="1:21" x14ac:dyDescent="0.25">
      <c r="A32" s="4" t="s">
        <v>5</v>
      </c>
      <c r="B32" s="14">
        <f t="shared" ref="B32:J32" si="25">B15/B$16</f>
        <v>2.0065787979289124E-3</v>
      </c>
      <c r="C32" s="14">
        <f t="shared" si="25"/>
        <v>2.2151314339152118E-2</v>
      </c>
      <c r="D32" s="14">
        <f t="shared" si="25"/>
        <v>6.7750487566990984E-4</v>
      </c>
      <c r="E32" s="14" t="e">
        <f t="shared" si="25"/>
        <v>#DIV/0!</v>
      </c>
      <c r="F32" s="14">
        <f t="shared" si="25"/>
        <v>9.5474055359924773E-2</v>
      </c>
      <c r="G32" s="14">
        <f t="shared" si="25"/>
        <v>0</v>
      </c>
      <c r="H32" s="14">
        <f t="shared" si="25"/>
        <v>1</v>
      </c>
      <c r="I32" s="14" t="e">
        <f t="shared" si="25"/>
        <v>#DIV/0!</v>
      </c>
      <c r="J32" s="14">
        <f t="shared" si="25"/>
        <v>0.10835349003638975</v>
      </c>
      <c r="K32" s="6"/>
      <c r="L32" s="4" t="s">
        <v>5</v>
      </c>
      <c r="M32" s="14">
        <f t="shared" ref="M32:P32" si="26">M15/M$16</f>
        <v>4.8003183098772328E-3</v>
      </c>
      <c r="N32" s="14">
        <f t="shared" si="26"/>
        <v>2.7552060579583517E-3</v>
      </c>
      <c r="O32" s="14">
        <f t="shared" si="26"/>
        <v>1.1872984329344798E-3</v>
      </c>
      <c r="P32" s="14" t="e">
        <f t="shared" si="26"/>
        <v>#DIV/0!</v>
      </c>
      <c r="Q32" s="14">
        <f t="shared" si="6"/>
        <v>8.010835913312693E-2</v>
      </c>
      <c r="R32" s="14">
        <f t="shared" si="6"/>
        <v>1.3681895919863182E-2</v>
      </c>
      <c r="S32" s="14">
        <f t="shared" si="6"/>
        <v>1</v>
      </c>
      <c r="T32" s="14" t="e">
        <f t="shared" si="6"/>
        <v>#DIV/0!</v>
      </c>
      <c r="U32" s="14">
        <f t="shared" si="6"/>
        <v>5.4280086335156429E-2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-3.8975560217061611E-3</v>
      </c>
      <c r="N39" s="13">
        <f t="shared" si="29"/>
        <v>1.5305153466220363E-2</v>
      </c>
      <c r="O39" s="13">
        <f t="shared" si="29"/>
        <v>-3.0257212330544726E-2</v>
      </c>
      <c r="P39" s="13" t="e">
        <f t="shared" si="29"/>
        <v>#DIV/0!</v>
      </c>
      <c r="Q39" s="13">
        <f t="shared" ref="Q39:Q50" si="30">Q22-F22</f>
        <v>7.7399380804953565E-4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2.7620502137301883E-2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2.1687180303512354E-3</v>
      </c>
      <c r="O40" s="13">
        <f t="shared" si="29"/>
        <v>0.1002675824620677</v>
      </c>
      <c r="P40" s="13" t="e">
        <f t="shared" si="29"/>
        <v>#DIV/0!</v>
      </c>
      <c r="Q40" s="13">
        <f t="shared" si="30"/>
        <v>3.9473684210526314E-2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5.3039374031047248E-2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-7.1480107102649404E-2</v>
      </c>
      <c r="P41" s="13" t="e">
        <f t="shared" si="29"/>
        <v>#DIV/0!</v>
      </c>
      <c r="Q41" s="13">
        <f t="shared" si="30"/>
        <v>1.238390092879257E-2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-3.6222181231013478E-2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-0.17271479912923937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2.1249260282469717E-3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4.7213622291021669E-2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2.5565264768131433E-4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1.5479876160990713E-3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8.3820540223381746E-6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6.8498452012383901E-2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3.709058904884642E-4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1.1038165097578662E-3</v>
      </c>
      <c r="N48" s="13">
        <f t="shared" si="39"/>
        <v>1.9222367846221057E-3</v>
      </c>
      <c r="O48" s="13">
        <f t="shared" si="39"/>
        <v>9.5994341386191977E-4</v>
      </c>
      <c r="P48" s="13" t="e">
        <f t="shared" si="39"/>
        <v>#DIV/0!</v>
      </c>
      <c r="Q48" s="13">
        <f t="shared" si="30"/>
        <v>1.8188854489164085E-2</v>
      </c>
      <c r="R48" s="13">
        <f t="shared" si="31"/>
        <v>-1.368189591986313E-2</v>
      </c>
      <c r="S48" s="13">
        <f t="shared" si="32"/>
        <v>0</v>
      </c>
      <c r="T48" s="13" t="e">
        <f t="shared" si="33"/>
        <v>#DIV/0!</v>
      </c>
      <c r="U48" s="13">
        <f t="shared" si="34"/>
        <v>6.8758421434586357E-3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2.7937395119483205E-3</v>
      </c>
      <c r="N49" s="17">
        <f t="shared" si="39"/>
        <v>-1.9396108281193765E-2</v>
      </c>
      <c r="O49" s="17">
        <f t="shared" si="39"/>
        <v>5.0979355726456991E-4</v>
      </c>
      <c r="P49" s="17" t="e">
        <f t="shared" si="39"/>
        <v>#DIV/0!</v>
      </c>
      <c r="Q49" s="17">
        <f t="shared" si="30"/>
        <v>-1.5365696226797843E-2</v>
      </c>
      <c r="R49" s="17">
        <f t="shared" si="31"/>
        <v>1.3681895919863182E-2</v>
      </c>
      <c r="S49" s="17">
        <f t="shared" si="32"/>
        <v>0</v>
      </c>
      <c r="T49" s="17" t="e">
        <f t="shared" si="33"/>
        <v>#DIV/0!</v>
      </c>
      <c r="U49" s="13">
        <f t="shared" si="34"/>
        <v>-5.407340370123332E-2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B7" sqref="B7"/>
    </sheetView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2015-06-19T16:34:08Z</dcterms:modified>
</cp:coreProperties>
</file>