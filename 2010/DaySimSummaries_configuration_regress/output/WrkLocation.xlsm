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15" yWindow="-15" windowWidth="25230" windowHeight="6180" activeTab="3"/>
  </bookViews>
  <sheets>
    <sheet name="TLFD" sheetId="3" r:id="rId1"/>
    <sheet name="TDFD" sheetId="4" r:id="rId2"/>
    <sheet name="TDFD_Agg" sheetId="10" r:id="rId3"/>
    <sheet name="County_Flow" sheetId="1" r:id="rId4"/>
    <sheet name="WorkAtHome" sheetId="8" r:id="rId5"/>
    <sheet name="Documentation" sheetId="7" r:id="rId6"/>
    <sheet name="CoeffDef" sheetId="11" r:id="rId7"/>
    <sheet name="WorkLocationCoefficients" sheetId="13" r:id="rId8"/>
    <sheet name="calibration" sheetId="12" r:id="rId9"/>
  </sheets>
  <definedNames>
    <definedName name="athm">WorkAtHome!$I$7:$K$12</definedName>
    <definedName name="avgdist">TLFD!$O$11:$O$14</definedName>
    <definedName name="avgtime">TDFD!$O$11:$O$14</definedName>
    <definedName name="flows">County_Flow!$X$7:$Z$12</definedName>
    <definedName name="tot">WorkAtHome!$I$18:$K$23</definedName>
    <definedName name="Wrk_dist">TLFD!$H$11:$J$101</definedName>
    <definedName name="Wrk_time">TDFD!$H$11:$J$101</definedName>
    <definedName name="out1">TLFD!$B$11:$D$101</definedName>
    <definedName name="out3">TDFD!$B$11:$D$101</definedName>
    <definedName name="out5">TLFD!$N$11:$N$14</definedName>
    <definedName name="out7">TDFD!$N$11:$N$14</definedName>
    <definedName name="out9">County_Flow!$B$7:$I$13</definedName>
    <definedName name="out11">WorkAtHome!$B$18:$D$24</definedName>
    <definedName name="out13">WorkAtHome!$B$7:$D$13</definedName>
    <definedName name="out15">WorkAtHome!$F$18:$F$24</definedName>
    <definedName name="out2">TLFD!$H$11:$J$101</definedName>
    <definedName name="out4">TDFD!$H$11:$J$101</definedName>
    <definedName name="out6">TLFD!$O$11:$O$14</definedName>
    <definedName name="out8">TDFD!$O$11:$O$14</definedName>
    <definedName name="out10">County_Flow!$X$7:$AE$13</definedName>
    <definedName name="out12">WorkAtHome!$I$18:$K$24</definedName>
    <definedName name="out14">WorkAtHome!$I$7:$K$13</definedName>
  </definedNames>
  <calcPr calcId="145621"/>
</workbook>
</file>

<file path=xl/calcChain.xml><?xml version="1.0" encoding="utf-8"?>
<calcChain xmlns="http://schemas.openxmlformats.org/spreadsheetml/2006/main">
  <c r="B35" i="1" l="1"/>
  <c r="C35" i="1"/>
  <c r="D35" i="1"/>
  <c r="E35" i="1"/>
  <c r="F35" i="1"/>
  <c r="G35" i="1"/>
  <c r="H35" i="1"/>
  <c r="I35" i="1"/>
  <c r="J35" i="1"/>
  <c r="B36" i="1"/>
  <c r="C36" i="1"/>
  <c r="D36" i="1"/>
  <c r="E36" i="1"/>
  <c r="F36" i="1"/>
  <c r="G36" i="1"/>
  <c r="H36" i="1"/>
  <c r="I36" i="1"/>
  <c r="I42" i="1" s="1"/>
  <c r="J36" i="1"/>
  <c r="B37" i="1"/>
  <c r="C37" i="1"/>
  <c r="C42" i="1" s="1"/>
  <c r="D37" i="1"/>
  <c r="D42" i="1" s="1"/>
  <c r="E37" i="1"/>
  <c r="E42" i="1" s="1"/>
  <c r="F37" i="1"/>
  <c r="G37" i="1"/>
  <c r="G42" i="1" s="1"/>
  <c r="H37" i="1"/>
  <c r="H42" i="1" s="1"/>
  <c r="I37" i="1"/>
  <c r="J37" i="1"/>
  <c r="B38" i="1"/>
  <c r="B42" i="1" s="1"/>
  <c r="C38" i="1"/>
  <c r="D38" i="1"/>
  <c r="E38" i="1"/>
  <c r="F38" i="1"/>
  <c r="G38" i="1"/>
  <c r="H38" i="1"/>
  <c r="I38" i="1"/>
  <c r="J38" i="1"/>
  <c r="B39" i="1"/>
  <c r="C39" i="1"/>
  <c r="D39" i="1"/>
  <c r="E39" i="1"/>
  <c r="F39" i="1"/>
  <c r="G39" i="1"/>
  <c r="H39" i="1"/>
  <c r="I39" i="1"/>
  <c r="J39" i="1"/>
  <c r="B40" i="1"/>
  <c r="C40" i="1"/>
  <c r="D40" i="1"/>
  <c r="E40" i="1"/>
  <c r="F40" i="1"/>
  <c r="G40" i="1"/>
  <c r="H40" i="1"/>
  <c r="I40" i="1"/>
  <c r="J40" i="1"/>
  <c r="B41" i="1"/>
  <c r="C41" i="1"/>
  <c r="D41" i="1"/>
  <c r="E41" i="1"/>
  <c r="F41" i="1"/>
  <c r="G41" i="1"/>
  <c r="H41" i="1"/>
  <c r="I41" i="1"/>
  <c r="J41" i="1"/>
  <c r="C34" i="1"/>
  <c r="D34" i="1"/>
  <c r="E34" i="1"/>
  <c r="F34" i="1"/>
  <c r="G34" i="1"/>
  <c r="H34" i="1"/>
  <c r="I34" i="1"/>
  <c r="J34" i="1"/>
  <c r="B34" i="1"/>
  <c r="A40" i="1"/>
  <c r="A39" i="1"/>
  <c r="A38" i="1"/>
  <c r="A37" i="1"/>
  <c r="A36" i="1"/>
  <c r="A35" i="1"/>
  <c r="A34" i="1"/>
  <c r="I33" i="1"/>
  <c r="H33" i="1"/>
  <c r="G33" i="1"/>
  <c r="F33" i="1"/>
  <c r="E33" i="1"/>
  <c r="D33" i="1"/>
  <c r="C33" i="1"/>
  <c r="B33" i="1"/>
  <c r="B21" i="1"/>
  <c r="C21" i="1"/>
  <c r="D21" i="1"/>
  <c r="E21" i="1"/>
  <c r="F21" i="1"/>
  <c r="G21" i="1"/>
  <c r="H21" i="1"/>
  <c r="I21" i="1"/>
  <c r="J21" i="1"/>
  <c r="B22" i="1"/>
  <c r="C22" i="1"/>
  <c r="D22" i="1"/>
  <c r="E22" i="1"/>
  <c r="F22" i="1"/>
  <c r="G22" i="1"/>
  <c r="H22" i="1"/>
  <c r="I22" i="1"/>
  <c r="J22" i="1"/>
  <c r="B23" i="1"/>
  <c r="C23" i="1"/>
  <c r="D23" i="1"/>
  <c r="D28" i="1" s="1"/>
  <c r="E23" i="1"/>
  <c r="E28" i="1" s="1"/>
  <c r="F23" i="1"/>
  <c r="F28" i="1" s="1"/>
  <c r="G23" i="1"/>
  <c r="G28" i="1" s="1"/>
  <c r="H23" i="1"/>
  <c r="H28" i="1" s="1"/>
  <c r="I23" i="1"/>
  <c r="I28" i="1" s="1"/>
  <c r="J23" i="1"/>
  <c r="B24" i="1"/>
  <c r="C24" i="1"/>
  <c r="C28" i="1" s="1"/>
  <c r="D24" i="1"/>
  <c r="E24" i="1"/>
  <c r="F24" i="1"/>
  <c r="G24" i="1"/>
  <c r="H24" i="1"/>
  <c r="I24" i="1"/>
  <c r="J24" i="1"/>
  <c r="B25" i="1"/>
  <c r="C25" i="1"/>
  <c r="D25" i="1"/>
  <c r="E25" i="1"/>
  <c r="F25" i="1"/>
  <c r="G25" i="1"/>
  <c r="H25" i="1"/>
  <c r="I25" i="1"/>
  <c r="J25" i="1"/>
  <c r="B26" i="1"/>
  <c r="C26" i="1"/>
  <c r="D26" i="1"/>
  <c r="E26" i="1"/>
  <c r="F26" i="1"/>
  <c r="G26" i="1"/>
  <c r="H26" i="1"/>
  <c r="I26" i="1"/>
  <c r="J26" i="1"/>
  <c r="J20" i="1"/>
  <c r="C20" i="1"/>
  <c r="D20" i="1"/>
  <c r="E20" i="1"/>
  <c r="F20" i="1"/>
  <c r="G20" i="1"/>
  <c r="H20" i="1"/>
  <c r="I20" i="1"/>
  <c r="B20" i="1"/>
  <c r="A26" i="1"/>
  <c r="A25" i="1"/>
  <c r="A24" i="1"/>
  <c r="A23" i="1"/>
  <c r="A22" i="1"/>
  <c r="A21" i="1"/>
  <c r="A20" i="1"/>
  <c r="I19" i="1"/>
  <c r="H19" i="1"/>
  <c r="G19" i="1"/>
  <c r="F19" i="1"/>
  <c r="E19" i="1"/>
  <c r="D19" i="1"/>
  <c r="C19" i="1"/>
  <c r="B19" i="1"/>
  <c r="F42" i="1" l="1"/>
  <c r="J42" i="1"/>
  <c r="B28" i="1"/>
  <c r="J28" i="1"/>
  <c r="F25" i="8"/>
  <c r="B7" i="12" l="1"/>
  <c r="V4" i="12" l="1"/>
  <c r="W4" i="12" s="1"/>
  <c r="V5" i="12"/>
  <c r="W5" i="12" s="1"/>
  <c r="V6" i="12"/>
  <c r="W6" i="12" s="1"/>
  <c r="V7" i="12"/>
  <c r="W7" i="12" s="1"/>
  <c r="V8" i="12"/>
  <c r="N14" i="12" s="1"/>
  <c r="V9" i="12"/>
  <c r="N15" i="12" s="1"/>
  <c r="V10" i="12"/>
  <c r="N16" i="12" s="1"/>
  <c r="V11" i="12"/>
  <c r="W11" i="12" s="1"/>
  <c r="V12" i="12"/>
  <c r="W12" i="12" s="1"/>
  <c r="V13" i="12"/>
  <c r="W13" i="12" s="1"/>
  <c r="V14" i="12"/>
  <c r="W14" i="12" s="1"/>
  <c r="V15" i="12"/>
  <c r="W15" i="12" s="1"/>
  <c r="V16" i="12"/>
  <c r="W16" i="12" s="1"/>
  <c r="V17" i="12"/>
  <c r="W17" i="12" s="1"/>
  <c r="V18" i="12"/>
  <c r="W18" i="12" s="1"/>
  <c r="V19" i="12"/>
  <c r="W19" i="12" s="1"/>
  <c r="V20" i="12"/>
  <c r="W20" i="12" s="1"/>
  <c r="V21" i="12"/>
  <c r="W21" i="12" s="1"/>
  <c r="V22" i="12"/>
  <c r="W22" i="12" s="1"/>
  <c r="V23" i="12"/>
  <c r="W23" i="12" s="1"/>
  <c r="V24" i="12"/>
  <c r="W24" i="12" s="1"/>
  <c r="V25" i="12"/>
  <c r="W25" i="12" s="1"/>
  <c r="V26" i="12"/>
  <c r="W26" i="12" s="1"/>
  <c r="V27" i="12"/>
  <c r="W27" i="12" s="1"/>
  <c r="V28" i="12"/>
  <c r="W28" i="12" s="1"/>
  <c r="V29" i="12"/>
  <c r="W29" i="12" s="1"/>
  <c r="V30" i="12"/>
  <c r="W30" i="12" s="1"/>
  <c r="V31" i="12"/>
  <c r="W31" i="12" s="1"/>
  <c r="V32" i="12"/>
  <c r="W32" i="12" s="1"/>
  <c r="V33" i="12"/>
  <c r="W33" i="12" s="1"/>
  <c r="V34" i="12"/>
  <c r="W34" i="12" s="1"/>
  <c r="V35" i="12"/>
  <c r="W35" i="12" s="1"/>
  <c r="V36" i="12"/>
  <c r="W36" i="12" s="1"/>
  <c r="V37" i="12"/>
  <c r="W37" i="12" s="1"/>
  <c r="V38" i="12"/>
  <c r="W38" i="12" s="1"/>
  <c r="V39" i="12"/>
  <c r="N31" i="12" s="1"/>
  <c r="V40" i="12"/>
  <c r="W40" i="12" s="1"/>
  <c r="V41" i="12"/>
  <c r="W41" i="12" s="1"/>
  <c r="V42" i="12"/>
  <c r="W42" i="12" s="1"/>
  <c r="V43" i="12"/>
  <c r="W43" i="12" s="1"/>
  <c r="V44" i="12"/>
  <c r="W44" i="12" s="1"/>
  <c r="V45" i="12"/>
  <c r="W45" i="12" s="1"/>
  <c r="V46" i="12"/>
  <c r="W46" i="12" s="1"/>
  <c r="V47" i="12"/>
  <c r="W47" i="12" s="1"/>
  <c r="V48" i="12"/>
  <c r="W48" i="12" s="1"/>
  <c r="V49" i="12"/>
  <c r="W49" i="12" s="1"/>
  <c r="V50" i="12"/>
  <c r="W50" i="12" s="1"/>
  <c r="V51" i="12"/>
  <c r="W51" i="12" s="1"/>
  <c r="V52" i="12"/>
  <c r="W52" i="12" s="1"/>
  <c r="V53" i="12"/>
  <c r="W53" i="12" s="1"/>
  <c r="V54" i="12"/>
  <c r="W54" i="12" s="1"/>
  <c r="V55" i="12"/>
  <c r="W55" i="12" s="1"/>
  <c r="V56" i="12"/>
  <c r="W56" i="12" s="1"/>
  <c r="V57" i="12"/>
  <c r="W57" i="12" s="1"/>
  <c r="V58" i="12"/>
  <c r="W58" i="12" s="1"/>
  <c r="V59" i="12"/>
  <c r="W59" i="12" s="1"/>
  <c r="V60" i="12"/>
  <c r="W60" i="12" s="1"/>
  <c r="V61" i="12"/>
  <c r="W61" i="12" s="1"/>
  <c r="V62" i="12"/>
  <c r="W62" i="12" s="1"/>
  <c r="V63" i="12"/>
  <c r="W63" i="12" s="1"/>
  <c r="V64" i="12"/>
  <c r="W64" i="12" s="1"/>
  <c r="V65" i="12"/>
  <c r="W65" i="12" s="1"/>
  <c r="V66" i="12"/>
  <c r="W66" i="12" s="1"/>
  <c r="V67" i="12"/>
  <c r="W67" i="12" s="1"/>
  <c r="V68" i="12"/>
  <c r="W68" i="12" s="1"/>
  <c r="V69" i="12"/>
  <c r="W69" i="12" s="1"/>
  <c r="V70" i="12"/>
  <c r="W70" i="12" s="1"/>
  <c r="V71" i="12"/>
  <c r="W71" i="12" s="1"/>
  <c r="V72" i="12"/>
  <c r="W72" i="12" s="1"/>
  <c r="V73" i="12"/>
  <c r="W73" i="12" s="1"/>
  <c r="V74" i="12"/>
  <c r="W74" i="12" s="1"/>
  <c r="V75" i="12"/>
  <c r="W75" i="12" s="1"/>
  <c r="V3" i="12"/>
  <c r="W3" i="12" s="1"/>
  <c r="I7" i="12"/>
  <c r="J7" i="12"/>
  <c r="I8" i="12"/>
  <c r="J8" i="12"/>
  <c r="I9" i="12"/>
  <c r="J9" i="12"/>
  <c r="H9" i="12"/>
  <c r="H8" i="12"/>
  <c r="H7" i="12"/>
  <c r="C9" i="12"/>
  <c r="D9" i="12"/>
  <c r="B9" i="12"/>
  <c r="C8" i="12"/>
  <c r="D8" i="12"/>
  <c r="B8" i="12"/>
  <c r="D7" i="12"/>
  <c r="C7" i="12"/>
  <c r="J10" i="12" l="1"/>
  <c r="J14" i="12" s="1"/>
  <c r="I10" i="12"/>
  <c r="I14" i="12" s="1"/>
  <c r="C10" i="12"/>
  <c r="C14" i="12" s="1"/>
  <c r="B10" i="12"/>
  <c r="B15" i="12" s="1"/>
  <c r="H10" i="12"/>
  <c r="H16" i="12" s="1"/>
  <c r="J16" i="12"/>
  <c r="D10" i="12"/>
  <c r="D15" i="12" s="1"/>
  <c r="E8" i="12"/>
  <c r="E7" i="12"/>
  <c r="K7" i="12"/>
  <c r="K8" i="12"/>
  <c r="K9" i="12"/>
  <c r="E9" i="12"/>
  <c r="Y15" i="1"/>
  <c r="Z15" i="1"/>
  <c r="AA15" i="1"/>
  <c r="AB15" i="1"/>
  <c r="AC15" i="1"/>
  <c r="AD15" i="1"/>
  <c r="AE15" i="1"/>
  <c r="X15" i="1"/>
  <c r="AF8" i="1"/>
  <c r="AF9" i="1"/>
  <c r="AF10" i="1"/>
  <c r="AF11" i="1"/>
  <c r="AF12" i="1"/>
  <c r="AF13" i="1"/>
  <c r="AF14" i="1"/>
  <c r="AF7" i="1"/>
  <c r="J13" i="1"/>
  <c r="H15" i="1"/>
  <c r="N15" i="1"/>
  <c r="O15" i="1"/>
  <c r="P15" i="1"/>
  <c r="Q15" i="1"/>
  <c r="R15" i="1"/>
  <c r="S15" i="1"/>
  <c r="T15" i="1"/>
  <c r="M15" i="1"/>
  <c r="U8" i="1"/>
  <c r="U9" i="1"/>
  <c r="U10" i="1"/>
  <c r="U11" i="1"/>
  <c r="U12" i="1"/>
  <c r="U13" i="1"/>
  <c r="U14" i="1"/>
  <c r="U7" i="1"/>
  <c r="J15" i="12" l="1"/>
  <c r="J17" i="12"/>
  <c r="D14" i="12"/>
  <c r="E10" i="12"/>
  <c r="E14" i="12" s="1"/>
  <c r="I16" i="12"/>
  <c r="H15" i="12"/>
  <c r="O15" i="12" s="1"/>
  <c r="D16" i="12"/>
  <c r="C15" i="12"/>
  <c r="B16" i="12"/>
  <c r="O16" i="12" s="1"/>
  <c r="H14" i="12"/>
  <c r="H17" i="12" s="1"/>
  <c r="K10" i="12"/>
  <c r="K15" i="12" s="1"/>
  <c r="C16" i="12"/>
  <c r="B17" i="12"/>
  <c r="B14" i="12"/>
  <c r="O14" i="12" s="1"/>
  <c r="P14" i="12" s="1"/>
  <c r="Q14" i="12" s="1"/>
  <c r="W8" i="12" s="1"/>
  <c r="I15" i="12"/>
  <c r="I17" i="12" s="1"/>
  <c r="E16" i="12"/>
  <c r="K16" i="12"/>
  <c r="AF15" i="1"/>
  <c r="U15" i="1"/>
  <c r="S21" i="1"/>
  <c r="S22" i="1"/>
  <c r="S23" i="1"/>
  <c r="S24" i="1"/>
  <c r="S25" i="1"/>
  <c r="S26" i="1"/>
  <c r="S20" i="1"/>
  <c r="N26" i="1"/>
  <c r="O26" i="1"/>
  <c r="P26" i="1"/>
  <c r="Q26" i="1"/>
  <c r="R26" i="1"/>
  <c r="T26" i="1"/>
  <c r="M26" i="1"/>
  <c r="U26" i="1" s="1"/>
  <c r="L24" i="8"/>
  <c r="E24" i="8"/>
  <c r="L13" i="8"/>
  <c r="E13" i="8"/>
  <c r="P15" i="12" l="1"/>
  <c r="Q15" i="12" s="1"/>
  <c r="W9" i="12" s="1"/>
  <c r="C17" i="12"/>
  <c r="K14" i="12"/>
  <c r="K17" i="12" s="1"/>
  <c r="E15" i="12"/>
  <c r="E17" i="12" s="1"/>
  <c r="D17" i="12"/>
  <c r="P16" i="12"/>
  <c r="Q16" i="12" s="1"/>
  <c r="W10" i="12" s="1"/>
  <c r="S13" i="8"/>
  <c r="S28" i="1"/>
  <c r="W54" i="1"/>
  <c r="W40" i="1"/>
  <c r="L40" i="1"/>
  <c r="L26" i="1"/>
  <c r="W13" i="1"/>
  <c r="AD47" i="1"/>
  <c r="AD33" i="1"/>
  <c r="AD6" i="1"/>
  <c r="S33" i="1"/>
  <c r="S19" i="1"/>
  <c r="S6" i="1"/>
  <c r="H6" i="1"/>
  <c r="L13" i="1"/>
  <c r="V35" i="8"/>
  <c r="O35" i="8"/>
  <c r="H35" i="8"/>
  <c r="A35" i="8"/>
  <c r="A24" i="8"/>
  <c r="H24" i="8"/>
  <c r="O24" i="8"/>
  <c r="V24" i="8"/>
  <c r="V13" i="8"/>
  <c r="O13" i="8"/>
  <c r="H13" i="8"/>
  <c r="X25" i="8" l="1"/>
  <c r="Y25" i="8"/>
  <c r="Z25" i="8"/>
  <c r="W25" i="8"/>
  <c r="X14" i="8"/>
  <c r="X36" i="8" s="1"/>
  <c r="Y14" i="8"/>
  <c r="Y36" i="8" s="1"/>
  <c r="Z14" i="8"/>
  <c r="Z36" i="8" s="1"/>
  <c r="W14" i="8"/>
  <c r="W36" i="8" s="1"/>
  <c r="J25" i="8"/>
  <c r="K25" i="8"/>
  <c r="I25" i="8"/>
  <c r="C25" i="8"/>
  <c r="D25" i="8"/>
  <c r="B25" i="8"/>
  <c r="C14" i="8"/>
  <c r="C36" i="8" s="1"/>
  <c r="D14" i="8"/>
  <c r="D36" i="8" s="1"/>
  <c r="B14" i="8"/>
  <c r="B36" i="8" s="1"/>
  <c r="J14" i="8"/>
  <c r="J36" i="8" s="1"/>
  <c r="Q36" i="8" s="1"/>
  <c r="K14" i="8"/>
  <c r="K36" i="8" s="1"/>
  <c r="I14" i="8"/>
  <c r="I36" i="8" s="1"/>
  <c r="P36" i="8" s="1"/>
  <c r="R36" i="8" l="1"/>
  <c r="R25" i="8"/>
  <c r="P25" i="8"/>
  <c r="Q25" i="8"/>
  <c r="P14" i="8"/>
  <c r="R14" i="8"/>
  <c r="Q14" i="8"/>
  <c r="M19" i="1"/>
  <c r="N19" i="1"/>
  <c r="O19" i="1"/>
  <c r="P19" i="1"/>
  <c r="Q19" i="1"/>
  <c r="R19" i="1"/>
  <c r="T19" i="1"/>
  <c r="L20" i="1"/>
  <c r="M20" i="1"/>
  <c r="N20" i="1"/>
  <c r="O20" i="1"/>
  <c r="P20" i="1"/>
  <c r="Q20" i="1"/>
  <c r="R20" i="1"/>
  <c r="T20" i="1"/>
  <c r="L21" i="1"/>
  <c r="M21" i="1"/>
  <c r="N21" i="1"/>
  <c r="O21" i="1"/>
  <c r="P21" i="1"/>
  <c r="Q21" i="1"/>
  <c r="R21" i="1"/>
  <c r="T21" i="1"/>
  <c r="L22" i="1"/>
  <c r="M22" i="1"/>
  <c r="N22" i="1"/>
  <c r="O22" i="1"/>
  <c r="P22" i="1"/>
  <c r="Q22" i="1"/>
  <c r="R22" i="1"/>
  <c r="T22" i="1"/>
  <c r="L23" i="1"/>
  <c r="M23" i="1"/>
  <c r="N23" i="1"/>
  <c r="O23" i="1"/>
  <c r="P23" i="1"/>
  <c r="Q23" i="1"/>
  <c r="R23" i="1"/>
  <c r="T23" i="1"/>
  <c r="L24" i="1"/>
  <c r="M24" i="1"/>
  <c r="N24" i="1"/>
  <c r="O24" i="1"/>
  <c r="P24" i="1"/>
  <c r="Q24" i="1"/>
  <c r="R24" i="1"/>
  <c r="T24" i="1"/>
  <c r="L25" i="1"/>
  <c r="M25" i="1"/>
  <c r="N25" i="1"/>
  <c r="O25" i="1"/>
  <c r="P25" i="1"/>
  <c r="Q25" i="1"/>
  <c r="R25" i="1"/>
  <c r="T25" i="1"/>
  <c r="U23" i="1" l="1"/>
  <c r="U21" i="1"/>
  <c r="U25" i="1"/>
  <c r="U24" i="1"/>
  <c r="U22" i="1"/>
  <c r="U20" i="1"/>
  <c r="V34" i="8" l="1"/>
  <c r="V33" i="8"/>
  <c r="V32" i="8"/>
  <c r="V31" i="8"/>
  <c r="V30" i="8"/>
  <c r="V29" i="8"/>
  <c r="O34" i="8"/>
  <c r="O33" i="8"/>
  <c r="O32" i="8"/>
  <c r="O31" i="8"/>
  <c r="O30" i="8"/>
  <c r="O29" i="8"/>
  <c r="H34" i="8"/>
  <c r="H33" i="8"/>
  <c r="H32" i="8"/>
  <c r="H31" i="8"/>
  <c r="H30" i="8"/>
  <c r="H29" i="8"/>
  <c r="A34" i="8"/>
  <c r="A33" i="8"/>
  <c r="A32" i="8"/>
  <c r="A31" i="8"/>
  <c r="A30" i="8"/>
  <c r="A29" i="8"/>
  <c r="V23" i="8"/>
  <c r="V22" i="8"/>
  <c r="V21" i="8"/>
  <c r="V20" i="8"/>
  <c r="V19" i="8"/>
  <c r="V18" i="8"/>
  <c r="O23" i="8"/>
  <c r="O22" i="8"/>
  <c r="O21" i="8"/>
  <c r="O20" i="8"/>
  <c r="O19" i="8"/>
  <c r="O18" i="8"/>
  <c r="H23" i="8"/>
  <c r="H22" i="8"/>
  <c r="H21" i="8"/>
  <c r="H20" i="8"/>
  <c r="H19" i="8"/>
  <c r="H18" i="8"/>
  <c r="A23" i="8"/>
  <c r="A22" i="8"/>
  <c r="A21" i="8"/>
  <c r="A20" i="8"/>
  <c r="A19" i="8"/>
  <c r="A18" i="8"/>
  <c r="V12" i="8"/>
  <c r="V11" i="8"/>
  <c r="V10" i="8"/>
  <c r="V9" i="8"/>
  <c r="V8" i="8"/>
  <c r="V7" i="8"/>
  <c r="O12" i="8"/>
  <c r="O11" i="8"/>
  <c r="O10" i="8"/>
  <c r="O9" i="8"/>
  <c r="O8" i="8"/>
  <c r="O7" i="8"/>
  <c r="H12" i="8"/>
  <c r="H11" i="8"/>
  <c r="H10" i="8"/>
  <c r="H9" i="8"/>
  <c r="H8" i="8"/>
  <c r="H7" i="8"/>
  <c r="AE47" i="1"/>
  <c r="AC47" i="1"/>
  <c r="AB47" i="1"/>
  <c r="AA47" i="1"/>
  <c r="Z47" i="1"/>
  <c r="Y47" i="1"/>
  <c r="X47" i="1"/>
  <c r="AE33" i="1"/>
  <c r="AC33" i="1"/>
  <c r="AB33" i="1"/>
  <c r="AA33" i="1"/>
  <c r="Z33" i="1"/>
  <c r="Y33" i="1"/>
  <c r="X33" i="1"/>
  <c r="T33" i="1"/>
  <c r="R33" i="1"/>
  <c r="Q33" i="1"/>
  <c r="P33" i="1"/>
  <c r="O33" i="1"/>
  <c r="N33" i="1"/>
  <c r="M33" i="1"/>
  <c r="AE6" i="1"/>
  <c r="AC6" i="1"/>
  <c r="AB6" i="1"/>
  <c r="AA6" i="1"/>
  <c r="Z6" i="1"/>
  <c r="Y6" i="1"/>
  <c r="X6" i="1"/>
  <c r="T6" i="1"/>
  <c r="R6" i="1"/>
  <c r="Q6" i="1"/>
  <c r="P6" i="1"/>
  <c r="O6" i="1"/>
  <c r="N6" i="1"/>
  <c r="M6" i="1"/>
  <c r="I6" i="1"/>
  <c r="G6" i="1"/>
  <c r="F6" i="1"/>
  <c r="E6" i="1"/>
  <c r="D6" i="1"/>
  <c r="C6" i="1"/>
  <c r="B6" i="1"/>
  <c r="W53" i="1"/>
  <c r="W52" i="1"/>
  <c r="W51" i="1"/>
  <c r="W50" i="1"/>
  <c r="W49" i="1"/>
  <c r="W48" i="1"/>
  <c r="W39" i="1"/>
  <c r="W38" i="1"/>
  <c r="W37" i="1"/>
  <c r="W36" i="1"/>
  <c r="W35" i="1"/>
  <c r="W34" i="1"/>
  <c r="L39" i="1"/>
  <c r="L38" i="1"/>
  <c r="L37" i="1"/>
  <c r="L36" i="1"/>
  <c r="L35" i="1"/>
  <c r="L34" i="1"/>
  <c r="W12" i="1"/>
  <c r="W11" i="1"/>
  <c r="W10" i="1"/>
  <c r="W9" i="1"/>
  <c r="W8" i="1"/>
  <c r="W7" i="1"/>
  <c r="L12" i="1"/>
  <c r="L11" i="1"/>
  <c r="L10" i="1"/>
  <c r="L9" i="1"/>
  <c r="L8" i="1"/>
  <c r="L7" i="1"/>
  <c r="E19" i="8" l="1"/>
  <c r="E20" i="8"/>
  <c r="E21" i="8"/>
  <c r="E22" i="8"/>
  <c r="E23" i="8"/>
  <c r="L20" i="8"/>
  <c r="L21" i="8"/>
  <c r="L22" i="8"/>
  <c r="L9" i="8"/>
  <c r="L10" i="8"/>
  <c r="L11" i="8"/>
  <c r="E8" i="8"/>
  <c r="E9" i="8"/>
  <c r="E10" i="8"/>
  <c r="E11" i="8"/>
  <c r="J9" i="1"/>
  <c r="J10" i="1"/>
  <c r="J11" i="1"/>
  <c r="E101" i="3"/>
  <c r="W31" i="8" l="1"/>
  <c r="X31" i="8"/>
  <c r="Y31" i="8"/>
  <c r="Z31" i="8"/>
  <c r="W32" i="8"/>
  <c r="X32" i="8"/>
  <c r="Y32" i="8"/>
  <c r="Z32" i="8"/>
  <c r="W33" i="8"/>
  <c r="X33" i="8"/>
  <c r="Y33" i="8"/>
  <c r="Z33" i="8"/>
  <c r="B31" i="8"/>
  <c r="C31" i="8"/>
  <c r="D31" i="8"/>
  <c r="E31" i="8"/>
  <c r="B32" i="8"/>
  <c r="C32" i="8"/>
  <c r="D32" i="8"/>
  <c r="E32" i="8"/>
  <c r="B33" i="8"/>
  <c r="C33" i="8"/>
  <c r="D33" i="8"/>
  <c r="E33" i="8"/>
  <c r="I31" i="8"/>
  <c r="J31" i="8"/>
  <c r="Q31" i="8" s="1"/>
  <c r="K31" i="8"/>
  <c r="R31" i="8" s="1"/>
  <c r="L31" i="8"/>
  <c r="S31" i="8" s="1"/>
  <c r="I32" i="8"/>
  <c r="J32" i="8"/>
  <c r="K32" i="8"/>
  <c r="L32" i="8"/>
  <c r="I33" i="8"/>
  <c r="J33" i="8"/>
  <c r="K33" i="8"/>
  <c r="L33" i="8"/>
  <c r="P20" i="8"/>
  <c r="Q20" i="8"/>
  <c r="R20" i="8"/>
  <c r="S20" i="8"/>
  <c r="P21" i="8"/>
  <c r="Q21" i="8"/>
  <c r="R21" i="8"/>
  <c r="S21" i="8"/>
  <c r="P22" i="8"/>
  <c r="Q22" i="8"/>
  <c r="R22" i="8"/>
  <c r="S22" i="8"/>
  <c r="P9" i="8"/>
  <c r="Q9" i="8"/>
  <c r="R9" i="8"/>
  <c r="S9" i="8"/>
  <c r="P10" i="8"/>
  <c r="Q10" i="8"/>
  <c r="R10" i="8"/>
  <c r="S10" i="8"/>
  <c r="P11" i="8"/>
  <c r="Q11" i="8"/>
  <c r="R11" i="8"/>
  <c r="S11" i="8"/>
  <c r="G15" i="1"/>
  <c r="F15" i="1"/>
  <c r="E15" i="1"/>
  <c r="S32" i="8" l="1"/>
  <c r="R32" i="8"/>
  <c r="Q32" i="8"/>
  <c r="R33" i="8"/>
  <c r="P33" i="8"/>
  <c r="S33" i="8"/>
  <c r="P32" i="8"/>
  <c r="Q33" i="8"/>
  <c r="P31" i="8"/>
  <c r="P7" i="8"/>
  <c r="Q7" i="8"/>
  <c r="R7" i="8"/>
  <c r="P8" i="8"/>
  <c r="Q8" i="8"/>
  <c r="R8" i="8"/>
  <c r="P12" i="8"/>
  <c r="Q12" i="8"/>
  <c r="R12" i="8"/>
  <c r="E101" i="4" l="1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8" i="8"/>
  <c r="E12" i="8"/>
  <c r="E7" i="8"/>
  <c r="Z34" i="8"/>
  <c r="Y34" i="8"/>
  <c r="X34" i="8"/>
  <c r="W34" i="8"/>
  <c r="Z30" i="8"/>
  <c r="Y30" i="8"/>
  <c r="X30" i="8"/>
  <c r="W30" i="8"/>
  <c r="Z29" i="8"/>
  <c r="Y29" i="8"/>
  <c r="X29" i="8"/>
  <c r="W29" i="8"/>
  <c r="Y35" i="8" l="1"/>
  <c r="S27" i="1"/>
  <c r="X35" i="8"/>
  <c r="Z35" i="8"/>
  <c r="W35" i="8"/>
  <c r="E14" i="8"/>
  <c r="E25" i="8"/>
  <c r="B27" i="12" s="1"/>
  <c r="B32" i="12" s="1"/>
  <c r="P18" i="8"/>
  <c r="Q18" i="8"/>
  <c r="R18" i="8"/>
  <c r="P19" i="8"/>
  <c r="Q19" i="8"/>
  <c r="R19" i="8"/>
  <c r="P23" i="8"/>
  <c r="Q23" i="8"/>
  <c r="R23" i="8"/>
  <c r="J14" i="1"/>
  <c r="B26" i="12" l="1"/>
  <c r="E36" i="8"/>
  <c r="B31" i="12"/>
  <c r="P27" i="1"/>
  <c r="P28" i="1" s="1"/>
  <c r="R27" i="1"/>
  <c r="R28" i="1" s="1"/>
  <c r="M27" i="1"/>
  <c r="Q27" i="1"/>
  <c r="Q28" i="1" s="1"/>
  <c r="N27" i="1"/>
  <c r="N28" i="1" s="1"/>
  <c r="T27" i="1"/>
  <c r="T28" i="1" s="1"/>
  <c r="O27" i="1"/>
  <c r="O28" i="1" s="1"/>
  <c r="I15" i="1"/>
  <c r="D15" i="1"/>
  <c r="C15" i="1"/>
  <c r="B15" i="1"/>
  <c r="J12" i="1"/>
  <c r="J8" i="1"/>
  <c r="J7" i="1"/>
  <c r="U27" i="1" l="1"/>
  <c r="U28" i="1" s="1"/>
  <c r="M28" i="1"/>
  <c r="P24" i="8"/>
  <c r="J15" i="1"/>
  <c r="S37" i="1" l="1"/>
  <c r="O40" i="1"/>
  <c r="Q40" i="1"/>
  <c r="Q41" i="1"/>
  <c r="M41" i="1"/>
  <c r="S38" i="1"/>
  <c r="P40" i="1"/>
  <c r="R40" i="1"/>
  <c r="T40" i="1"/>
  <c r="S39" i="1"/>
  <c r="S34" i="1"/>
  <c r="P41" i="1"/>
  <c r="T41" i="1"/>
  <c r="S40" i="1"/>
  <c r="O41" i="1"/>
  <c r="S41" i="1"/>
  <c r="N40" i="1"/>
  <c r="N41" i="1"/>
  <c r="R41" i="1"/>
  <c r="S36" i="1"/>
  <c r="S35" i="1"/>
  <c r="M40" i="1"/>
  <c r="L23" i="8"/>
  <c r="S23" i="8" s="1"/>
  <c r="L19" i="8"/>
  <c r="S19" i="8" s="1"/>
  <c r="L18" i="8"/>
  <c r="L8" i="8"/>
  <c r="S8" i="8" s="1"/>
  <c r="L12" i="8"/>
  <c r="S12" i="8" s="1"/>
  <c r="L7" i="8"/>
  <c r="K34" i="8"/>
  <c r="J34" i="8"/>
  <c r="I34" i="8"/>
  <c r="K30" i="8"/>
  <c r="J30" i="8"/>
  <c r="I30" i="8"/>
  <c r="K29" i="8"/>
  <c r="J29" i="8"/>
  <c r="I29" i="8"/>
  <c r="S42" i="1" l="1"/>
  <c r="U40" i="1"/>
  <c r="S7" i="8"/>
  <c r="L14" i="8"/>
  <c r="S18" i="8"/>
  <c r="L25" i="8"/>
  <c r="S24" i="8"/>
  <c r="L29" i="8"/>
  <c r="J35" i="8"/>
  <c r="L30" i="8"/>
  <c r="K35" i="8"/>
  <c r="L34" i="8"/>
  <c r="I35" i="8"/>
  <c r="H26" i="12" l="1"/>
  <c r="L36" i="8"/>
  <c r="S36" i="8" s="1"/>
  <c r="S25" i="8"/>
  <c r="H27" i="12"/>
  <c r="H32" i="12" s="1"/>
  <c r="S14" i="8"/>
  <c r="L35" i="8"/>
  <c r="H31" i="12" l="1"/>
  <c r="O31" i="12" s="1"/>
  <c r="P31" i="12" s="1"/>
  <c r="Q31" i="12" s="1"/>
  <c r="W39" i="12" s="1"/>
  <c r="B11" i="10"/>
  <c r="O22" i="10"/>
  <c r="P22" i="10"/>
  <c r="N22" i="10"/>
  <c r="C22" i="10"/>
  <c r="D22" i="10"/>
  <c r="B22" i="10"/>
  <c r="O21" i="10"/>
  <c r="P21" i="10"/>
  <c r="N21" i="10"/>
  <c r="C21" i="10"/>
  <c r="D21" i="10"/>
  <c r="B21" i="10"/>
  <c r="O20" i="10"/>
  <c r="P20" i="10"/>
  <c r="N20" i="10"/>
  <c r="C20" i="10"/>
  <c r="D20" i="10"/>
  <c r="B20" i="10"/>
  <c r="O19" i="10"/>
  <c r="P19" i="10"/>
  <c r="N19" i="10"/>
  <c r="C19" i="10"/>
  <c r="D19" i="10"/>
  <c r="B19" i="10"/>
  <c r="O18" i="10"/>
  <c r="P18" i="10"/>
  <c r="N18" i="10"/>
  <c r="C18" i="10"/>
  <c r="D18" i="10"/>
  <c r="B18" i="10"/>
  <c r="O17" i="10"/>
  <c r="P17" i="10"/>
  <c r="N17" i="10"/>
  <c r="C17" i="10"/>
  <c r="D17" i="10"/>
  <c r="B17" i="10"/>
  <c r="O16" i="10"/>
  <c r="P16" i="10"/>
  <c r="N16" i="10"/>
  <c r="C16" i="10"/>
  <c r="D16" i="10"/>
  <c r="B16" i="10"/>
  <c r="O15" i="10"/>
  <c r="P15" i="10"/>
  <c r="N15" i="10"/>
  <c r="C15" i="10"/>
  <c r="D15" i="10"/>
  <c r="B15" i="10"/>
  <c r="O14" i="10"/>
  <c r="P14" i="10"/>
  <c r="N14" i="10"/>
  <c r="C14" i="10"/>
  <c r="D14" i="10"/>
  <c r="B14" i="10"/>
  <c r="O13" i="10"/>
  <c r="P13" i="10"/>
  <c r="N13" i="10"/>
  <c r="C13" i="10"/>
  <c r="D13" i="10"/>
  <c r="B13" i="10"/>
  <c r="O12" i="10"/>
  <c r="P12" i="10"/>
  <c r="N12" i="10"/>
  <c r="C12" i="10"/>
  <c r="D12" i="10"/>
  <c r="B12" i="10"/>
  <c r="O11" i="10"/>
  <c r="P11" i="10"/>
  <c r="N11" i="10"/>
  <c r="D11" i="10"/>
  <c r="C11" i="10"/>
  <c r="B30" i="8"/>
  <c r="P30" i="8" s="1"/>
  <c r="C30" i="8"/>
  <c r="Q30" i="8" s="1"/>
  <c r="D30" i="8"/>
  <c r="R30" i="8" s="1"/>
  <c r="B34" i="8"/>
  <c r="P34" i="8" s="1"/>
  <c r="C34" i="8"/>
  <c r="Q34" i="8" s="1"/>
  <c r="D34" i="8"/>
  <c r="R34" i="8" s="1"/>
  <c r="C29" i="8"/>
  <c r="Q29" i="8" s="1"/>
  <c r="D29" i="8"/>
  <c r="R29" i="8" s="1"/>
  <c r="B29" i="8"/>
  <c r="P29" i="8" s="1"/>
  <c r="R24" i="8"/>
  <c r="Q24" i="8"/>
  <c r="R13" i="8"/>
  <c r="Q13" i="8"/>
  <c r="P13" i="8"/>
  <c r="K101" i="4"/>
  <c r="Q22" i="10" s="1"/>
  <c r="K95" i="4"/>
  <c r="K96" i="4"/>
  <c r="K97" i="4"/>
  <c r="K98" i="4"/>
  <c r="K99" i="4"/>
  <c r="K100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11" i="4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1" i="3"/>
  <c r="E29" i="8" l="1"/>
  <c r="S29" i="8" s="1"/>
  <c r="E30" i="8"/>
  <c r="S30" i="8" s="1"/>
  <c r="B35" i="8"/>
  <c r="P35" i="8" s="1"/>
  <c r="Q11" i="10"/>
  <c r="Q15" i="10"/>
  <c r="Q21" i="10"/>
  <c r="Q19" i="10"/>
  <c r="Q20" i="10"/>
  <c r="Q17" i="10"/>
  <c r="Q16" i="10"/>
  <c r="Q13" i="10"/>
  <c r="Q12" i="10"/>
  <c r="Q18" i="10"/>
  <c r="Q14" i="10"/>
  <c r="D35" i="8"/>
  <c r="R35" i="8" s="1"/>
  <c r="C35" i="8"/>
  <c r="Q35" i="8" s="1"/>
  <c r="E34" i="8"/>
  <c r="S34" i="8" s="1"/>
  <c r="E22" i="10"/>
  <c r="E21" i="10" l="1"/>
  <c r="E19" i="10"/>
  <c r="E15" i="10"/>
  <c r="E20" i="10"/>
  <c r="E16" i="10"/>
  <c r="E12" i="10"/>
  <c r="E11" i="10"/>
  <c r="E17" i="10"/>
  <c r="E13" i="10"/>
  <c r="E18" i="10"/>
  <c r="E14" i="10"/>
  <c r="E35" i="8"/>
  <c r="S35" i="8" s="1"/>
  <c r="AD40" i="1" l="1"/>
  <c r="AD54" i="1" s="1"/>
  <c r="AD39" i="1"/>
  <c r="AD53" i="1" s="1"/>
  <c r="AC40" i="1"/>
  <c r="AC54" i="1" s="1"/>
  <c r="AD41" i="1"/>
  <c r="AD55" i="1" s="1"/>
  <c r="AB40" i="1"/>
  <c r="AB54" i="1" s="1"/>
  <c r="AA40" i="1"/>
  <c r="AA54" i="1" s="1"/>
  <c r="AD36" i="1"/>
  <c r="AD50" i="1" s="1"/>
  <c r="Z40" i="1"/>
  <c r="Z54" i="1" s="1"/>
  <c r="AD34" i="1"/>
  <c r="AD48" i="1" s="1"/>
  <c r="AE40" i="1"/>
  <c r="AE54" i="1" s="1"/>
  <c r="AD38" i="1"/>
  <c r="AD52" i="1" s="1"/>
  <c r="AD37" i="1"/>
  <c r="AD51" i="1" s="1"/>
  <c r="AD35" i="1"/>
  <c r="AD49" i="1" s="1"/>
  <c r="X40" i="1"/>
  <c r="X54" i="1" s="1"/>
  <c r="Y40" i="1"/>
  <c r="Y54" i="1" s="1"/>
  <c r="Y37" i="1"/>
  <c r="Y51" i="1" s="1"/>
  <c r="Z34" i="1"/>
  <c r="Z48" i="1" s="1"/>
  <c r="AA34" i="1"/>
  <c r="AA48" i="1" s="1"/>
  <c r="Z37" i="1"/>
  <c r="Z51" i="1" s="1"/>
  <c r="X34" i="1"/>
  <c r="X48" i="1" s="1"/>
  <c r="AC38" i="1"/>
  <c r="AC52" i="1" s="1"/>
  <c r="X39" i="1"/>
  <c r="X53" i="1" s="1"/>
  <c r="AA37" i="1"/>
  <c r="AA51" i="1" s="1"/>
  <c r="AB37" i="1"/>
  <c r="AB51" i="1" s="1"/>
  <c r="AC37" i="1"/>
  <c r="AC51" i="1" s="1"/>
  <c r="Y38" i="1"/>
  <c r="Y52" i="1" s="1"/>
  <c r="AB38" i="1"/>
  <c r="AB52" i="1" s="1"/>
  <c r="Y39" i="1"/>
  <c r="Y53" i="1" s="1"/>
  <c r="AB34" i="1"/>
  <c r="AB48" i="1" s="1"/>
  <c r="X38" i="1"/>
  <c r="X52" i="1" s="1"/>
  <c r="Z38" i="1"/>
  <c r="Z52" i="1" s="1"/>
  <c r="AA38" i="1"/>
  <c r="AA52" i="1" s="1"/>
  <c r="X41" i="1"/>
  <c r="X55" i="1" s="1"/>
  <c r="AC35" i="1"/>
  <c r="AC49" i="1" s="1"/>
  <c r="AB36" i="1"/>
  <c r="AB50" i="1" s="1"/>
  <c r="AC34" i="1"/>
  <c r="AC48" i="1" s="1"/>
  <c r="AB35" i="1"/>
  <c r="AB49" i="1" s="1"/>
  <c r="X37" i="1"/>
  <c r="X51" i="1" s="1"/>
  <c r="Y35" i="1"/>
  <c r="Y49" i="1" s="1"/>
  <c r="Z39" i="1"/>
  <c r="Z53" i="1" s="1"/>
  <c r="AC39" i="1"/>
  <c r="AC53" i="1" s="1"/>
  <c r="Z35" i="1"/>
  <c r="Z49" i="1" s="1"/>
  <c r="AA35" i="1"/>
  <c r="AA49" i="1" s="1"/>
  <c r="AA39" i="1"/>
  <c r="AA53" i="1" s="1"/>
  <c r="X35" i="1"/>
  <c r="X49" i="1" s="1"/>
  <c r="AB39" i="1"/>
  <c r="AB53" i="1" s="1"/>
  <c r="X36" i="1"/>
  <c r="X50" i="1" s="1"/>
  <c r="Y36" i="1"/>
  <c r="Y50" i="1" s="1"/>
  <c r="Z36" i="1"/>
  <c r="Z50" i="1" s="1"/>
  <c r="AE41" i="1"/>
  <c r="AE55" i="1" s="1"/>
  <c r="AA36" i="1"/>
  <c r="AA50" i="1" s="1"/>
  <c r="Y34" i="1"/>
  <c r="Y48" i="1" s="1"/>
  <c r="AC36" i="1"/>
  <c r="AC50" i="1" s="1"/>
  <c r="AE37" i="1"/>
  <c r="AE51" i="1" s="1"/>
  <c r="AE35" i="1"/>
  <c r="AE49" i="1" s="1"/>
  <c r="AE38" i="1"/>
  <c r="AE52" i="1" s="1"/>
  <c r="AE36" i="1"/>
  <c r="AE50" i="1" s="1"/>
  <c r="AE34" i="1"/>
  <c r="AE48" i="1" s="1"/>
  <c r="AE39" i="1"/>
  <c r="AE53" i="1" s="1"/>
  <c r="AB41" i="1"/>
  <c r="AB55" i="1" s="1"/>
  <c r="AC41" i="1"/>
  <c r="AC55" i="1" s="1"/>
  <c r="AA41" i="1"/>
  <c r="AA55" i="1" s="1"/>
  <c r="Y41" i="1"/>
  <c r="Y55" i="1" s="1"/>
  <c r="Z41" i="1"/>
  <c r="Z55" i="1" s="1"/>
  <c r="AF40" i="1" l="1"/>
  <c r="AF54" i="1" s="1"/>
  <c r="AD42" i="1"/>
  <c r="AD56" i="1"/>
  <c r="AF34" i="1"/>
  <c r="AF48" i="1" s="1"/>
  <c r="AA42" i="1"/>
  <c r="AE42" i="1"/>
  <c r="X42" i="1"/>
  <c r="AF37" i="1"/>
  <c r="AF51" i="1" s="1"/>
  <c r="AF35" i="1"/>
  <c r="AF49" i="1" s="1"/>
  <c r="AF38" i="1"/>
  <c r="AF52" i="1" s="1"/>
  <c r="AF36" i="1"/>
  <c r="AF50" i="1" s="1"/>
  <c r="AB42" i="1"/>
  <c r="Y42" i="1"/>
  <c r="AF39" i="1"/>
  <c r="AF53" i="1" s="1"/>
  <c r="Z42" i="1"/>
  <c r="AF41" i="1"/>
  <c r="AF55" i="1" s="1"/>
  <c r="AC42" i="1"/>
  <c r="O37" i="1" l="1"/>
  <c r="R38" i="1"/>
  <c r="M34" i="1"/>
  <c r="P35" i="1"/>
  <c r="T34" i="1"/>
  <c r="N35" i="1"/>
  <c r="T38" i="1"/>
  <c r="Q37" i="1"/>
  <c r="T36" i="1"/>
  <c r="T37" i="1"/>
  <c r="R35" i="1"/>
  <c r="M36" i="1"/>
  <c r="O36" i="1"/>
  <c r="Q36" i="1"/>
  <c r="O39" i="1"/>
  <c r="M35" i="1"/>
  <c r="M37" i="1"/>
  <c r="R36" i="1"/>
  <c r="O35" i="1"/>
  <c r="R34" i="1"/>
  <c r="N37" i="1"/>
  <c r="R39" i="1"/>
  <c r="M38" i="1"/>
  <c r="Q34" i="1"/>
  <c r="O34" i="1"/>
  <c r="P34" i="1"/>
  <c r="T39" i="1"/>
  <c r="P39" i="1"/>
  <c r="N38" i="1"/>
  <c r="M39" i="1"/>
  <c r="R37" i="1"/>
  <c r="N36" i="1"/>
  <c r="P37" i="1"/>
  <c r="T35" i="1"/>
  <c r="N39" i="1"/>
  <c r="P36" i="1"/>
  <c r="N34" i="1"/>
  <c r="O38" i="1"/>
  <c r="Q35" i="1"/>
  <c r="P38" i="1"/>
  <c r="Q39" i="1"/>
  <c r="Q38" i="1"/>
  <c r="AF42" i="1"/>
  <c r="P42" i="1" l="1"/>
  <c r="U38" i="1"/>
  <c r="U35" i="1"/>
  <c r="U37" i="1"/>
  <c r="U41" i="1"/>
  <c r="U34" i="1"/>
  <c r="AE56" i="1"/>
  <c r="N42" i="1"/>
  <c r="U39" i="1"/>
  <c r="R42" i="1"/>
  <c r="T42" i="1"/>
  <c r="M42" i="1"/>
  <c r="Q42" i="1"/>
  <c r="U36" i="1"/>
  <c r="O42" i="1"/>
  <c r="Y56" i="1" l="1"/>
  <c r="AB56" i="1"/>
  <c r="AC56" i="1"/>
  <c r="Z56" i="1"/>
  <c r="AA56" i="1"/>
  <c r="X56" i="1"/>
  <c r="U42" i="1"/>
  <c r="AF56" i="1" l="1"/>
</calcChain>
</file>

<file path=xl/sharedStrings.xml><?xml version="1.0" encoding="utf-8"?>
<sst xmlns="http://schemas.openxmlformats.org/spreadsheetml/2006/main" count="814" uniqueCount="295">
  <si>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</si>
  <si>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</si>
  <si>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</si>
  <si>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</si>
  <si>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</si>
  <si>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</si>
  <si>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</si>
  <si>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</si>
  <si>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</si>
  <si>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</si>
  <si>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</si>
  <si>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</si>
  <si>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</si>
  <si>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</si>
  <si>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</si>
  <si>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</si>
  <si>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</si>
  <si>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</si>
  <si>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</si>
  <si>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Table X. Estimated Worker Flows by County</t>
  </si>
  <si>
    <t>Outside</t>
  </si>
  <si>
    <t>We may want to scale the observed distribution(s), Depending on how well matches (or doesn't match) synthetic population</t>
  </si>
  <si>
    <t>NERPM TAZs were renumbered to the DaySim format</t>
  </si>
  <si>
    <t>Steps for generating distributions of commute time and distance</t>
  </si>
  <si>
    <t>Both HH and usual workplace TAZs were merged into the person file</t>
  </si>
  <si>
    <t>Persons living in these households were isolated and their usual workplace locations were geocoded to TAZs using the x-y coordinates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</si>
  <si>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</si>
  <si>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</si>
  <si>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</si>
  <si>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</si>
  <si>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</si>
  <si>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</si>
  <si>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Table X. Observed Trip Durations: Census (ACS/2006-08)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</si>
  <si>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</si>
  <si>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</si>
  <si>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</si>
  <si>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</si>
  <si>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</si>
  <si>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</si>
  <si>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</si>
  <si>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</si>
  <si>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</si>
  <si>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</si>
  <si>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</si>
  <si>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</si>
  <si>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</si>
  <si>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Work at Home Counts by County</t>
  </si>
  <si>
    <t>Table X. Estimated Counts by County</t>
  </si>
  <si>
    <t>Table X. Estimated Work at Home Shares by County</t>
  </si>
  <si>
    <t>DaySim</t>
  </si>
  <si>
    <t>Table X. Average Trip Length</t>
  </si>
  <si>
    <t>Table X. Average Trip Duration</t>
  </si>
  <si>
    <t>Table X. Estimated Worker Flows by County: DaySim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</si>
  <si>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</si>
  <si>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</si>
  <si>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</si>
  <si>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</si>
  <si>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</si>
  <si>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</si>
  <si>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</si>
  <si>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</si>
  <si>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</si>
  <si>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</si>
  <si>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</si>
  <si>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</si>
  <si>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Observed Worker Flows by County: Census (ACS/2006-08)</t>
  </si>
  <si>
    <t>Table X. Adjusted Worker Flows by County: Census (ACS/2006-08)</t>
  </si>
  <si>
    <t>WORKER FLOWS BY COUNTY: EST-OBS</t>
  </si>
  <si>
    <t>Table X. Difference Work at Home Counts by County</t>
  </si>
  <si>
    <t>Table X. Difference Counts by County</t>
  </si>
  <si>
    <t>Table X. Difference Work at Home Shares by County</t>
  </si>
  <si>
    <t>Table X. Weighted Work at Home Counts by County: CTPP</t>
  </si>
  <si>
    <t>Table X. Weighted Counts by County: CTPP</t>
  </si>
  <si>
    <t>Table X. Weighted Work at Home Shares by County: CTPP</t>
  </si>
  <si>
    <t>Williamson</t>
  </si>
  <si>
    <t>Rutherford</t>
  </si>
  <si>
    <t>Sumner</t>
  </si>
  <si>
    <t>Roberston</t>
  </si>
  <si>
    <t>Davidson</t>
  </si>
  <si>
    <t>Maury</t>
  </si>
  <si>
    <t>Wilson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</si>
  <si>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</si>
  <si>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</si>
  <si>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</si>
  <si>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</si>
  <si>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</si>
  <si>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</si>
  <si>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</si>
  <si>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</si>
  <si>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</si>
  <si>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</si>
  <si>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</si>
  <si>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</si>
  <si>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</si>
  <si>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</si>
  <si>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</si>
  <si>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</si>
  <si>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</si>
  <si>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</si>
  <si>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</si>
  <si>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</si>
  <si>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</si>
  <si>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</si>
  <si>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</si>
  <si>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</si>
  <si>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</si>
  <si>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</si>
  <si>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</si>
  <si>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</si>
  <si>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</si>
  <si>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</si>
  <si>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</si>
  <si>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</si>
  <si>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</si>
  <si>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</si>
  <si>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</si>
  <si>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</si>
  <si>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</si>
  <si>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</si>
  <si>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</si>
  <si>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</si>
  <si>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</si>
  <si>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</si>
  <si>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</si>
  <si>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</si>
  <si>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</si>
  <si>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</si>
  <si>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</si>
  <si>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</si>
  <si>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</si>
  <si>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</si>
  <si>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</si>
  <si>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</si>
  <si>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</si>
  <si>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</si>
  <si>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</si>
  <si>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</si>
  <si>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</si>
  <si>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</si>
  <si>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</si>
  <si>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</si>
  <si>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</si>
  <si>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</si>
  <si>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</si>
  <si>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</si>
  <si>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</si>
  <si>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</si>
  <si>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</si>
  <si>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</si>
  <si>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</si>
  <si>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</si>
  <si>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</si>
  <si>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</si>
  <si>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</si>
  <si>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</si>
  <si>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</si>
  <si>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</si>
  <si>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</si>
  <si>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</si>
  <si>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</si>
  <si>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</si>
  <si>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</si>
  <si>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</si>
  <si>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</si>
  <si>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</si>
  <si>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</si>
  <si>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</si>
  <si>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</si>
  <si>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</si>
  <si>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</si>
  <si>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</si>
  <si>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</si>
  <si>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</si>
  <si>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</si>
  <si>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</si>
  <si>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</si>
  <si>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</si>
  <si>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</si>
  <si>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</si>
  <si>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</si>
  <si>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</si>
  <si>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</si>
  <si>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</si>
  <si>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</si>
  <si>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</si>
  <si>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</si>
  <si>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</si>
  <si>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</si>
  <si>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</si>
  <si>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</si>
  <si>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</si>
  <si>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</si>
  <si>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</si>
  <si>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</si>
  <si>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</si>
  <si>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</si>
  <si>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</si>
  <si>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</si>
  <si>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</si>
  <si>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</si>
  <si>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</si>
  <si>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</si>
  <si>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</si>
  <si>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</si>
  <si>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</si>
  <si>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</si>
  <si>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</si>
  <si>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</si>
  <si>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</si>
  <si>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</si>
  <si>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</si>
  <si>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</si>
  <si>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</si>
  <si>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</si>
  <si>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</si>
  <si>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</si>
  <si>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</si>
  <si>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</si>
  <si>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</si>
  <si>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</si>
  <si>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</si>
  <si>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</si>
  <si>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</si>
  <si>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</si>
  <si>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</si>
  <si>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</si>
  <si>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</si>
  <si>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</si>
  <si>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Survey</t>
  </si>
  <si>
    <t>Table X. Observed Worker Flows by County: Survey</t>
  </si>
  <si>
    <t>Table X. Observed Trip Durations: Survey</t>
  </si>
  <si>
    <t>Table X. Weighted Work at Home Counts by County: Survey</t>
  </si>
  <si>
    <t>Table X. Weighted Counts by County: Survey</t>
  </si>
  <si>
    <t>Table X. Weighted Work at Home Shares by County: Survey</t>
  </si>
  <si>
    <t>Table X. Observed Trip Lengths: Survey</t>
  </si>
  <si>
    <t>Observed Sources: Survey (2009) &amp; CTPP (2000 and/or ACS?), 4-county Jacksonville Region only</t>
  </si>
  <si>
    <t>Observed Sources: Survey &amp; CTPP</t>
  </si>
  <si>
    <t>Observed Sources: Survey, 4-county Jacksonville Region only</t>
  </si>
  <si>
    <t>Survey Preparation</t>
  </si>
  <si>
    <t>Households in the JAX (4-county) region were isolated from Survey data and geocoded to TAZs using x-y coordinates with the spatial join feature in ArcGIS</t>
  </si>
  <si>
    <t>In Survey data, persons whose home coordinates matched their usual workplace coordinates were filtered out since this would mean they usually work at home</t>
  </si>
  <si>
    <t>In Survey, PPTYP was used to determine the class of worker whereas in DaySim, PERSTYPE was used</t>
  </si>
  <si>
    <t>Within those, persons with same home and workplace coordinates/parcels (for Survey and DaySim respectively) were assumed to be working at home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</si>
  <si>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</si>
  <si>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</si>
  <si>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</si>
  <si>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</si>
  <si>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</si>
  <si>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</si>
  <si>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</si>
  <si>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</si>
  <si>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</si>
  <si>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</si>
  <si>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</si>
  <si>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</si>
  <si>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Adjustments</t>
  </si>
  <si>
    <t>WorkLocationCoefficients_SACOG-v1.5.F12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</si>
  <si>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</si>
  <si>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</si>
  <si>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</si>
  <si>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</si>
  <si>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</si>
  <si>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</si>
  <si>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</si>
  <si>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</si>
  <si>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</si>
  <si>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</si>
  <si>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Open "WorkLocationCoefficients_SACOG-v1.5.F12" ini Notepad+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</si>
  <si>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</si>
  <si>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</si>
  <si>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</si>
  <si>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</si>
  <si>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</si>
  <si>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</si>
  <si>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Copy cells W3:W100</t>
  </si>
  <si>
    <t>Paste in the "WorkLocationCoefficients_SACOG-v1.5.F12"</t>
  </si>
  <si>
    <t>Observed distance (in miles) based on joining AM peak SOV skim values to HH survey</t>
  </si>
  <si>
    <t>Work From Home</t>
  </si>
  <si>
    <t>(SACOG2000</t>
  </si>
  <si>
    <t>MNL</t>
  </si>
  <si>
    <t>v2203</t>
  </si>
  <si>
    <t>and</t>
  </si>
  <si>
    <t>NL</t>
  </si>
  <si>
    <t>v2301)</t>
  </si>
  <si>
    <t>Apr</t>
  </si>
  <si>
    <t>016:16:55</t>
  </si>
  <si>
    <t>Share</t>
  </si>
  <si>
    <t>All Workers</t>
  </si>
  <si>
    <t>Calibration:</t>
  </si>
  <si>
    <t>Calibrate work at home shares first</t>
  </si>
  <si>
    <t>Then distance segmented coefficients</t>
  </si>
  <si>
    <t>out-of-region</t>
  </si>
  <si>
    <t>Missing Work Locations</t>
  </si>
  <si>
    <t>Table X. Adjusted Worker Flows by County</t>
  </si>
  <si>
    <t>Table X. Observed Worker Flows by County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</si>
</sst>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mm/dd/yyyy\ hh:mm:ss"/>
    <numFmt numFmtId="166" formatCode="0.000000000000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3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8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" fontId="0" fillId="0" borderId="0" xfId="0" applyNumberFormat="1"/>
    <xf numFmtId="1" fontId="0" fillId="0" borderId="1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2" fillId="0" borderId="0" xfId="1" applyAlignment="1"/>
    <xf numFmtId="0" fontId="2" fillId="0" borderId="1" xfId="1" applyBorder="1" applyAlignmen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0" fontId="0" fillId="0" borderId="0" xfId="0" applyFill="1" applyBorder="1" applyAlignment="1">
      <alignment horizontal="center"/>
    </xf>
    <xf numFmtId="3" fontId="0" fillId="0" borderId="0" xfId="0" applyNumberFormat="1" applyFill="1" applyBorder="1"/>
    <xf numFmtId="3" fontId="1" fillId="0" borderId="1" xfId="0" applyNumberFormat="1" applyFont="1" applyBorder="1"/>
    <xf numFmtId="3" fontId="0" fillId="0" borderId="2" xfId="0" applyNumberFormat="1" applyBorder="1" applyAlignment="1">
      <alignment horizontal="center"/>
    </xf>
    <xf numFmtId="3" fontId="0" fillId="0" borderId="2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1" fillId="0" borderId="0" xfId="0" applyFont="1" applyBorder="1"/>
    <xf numFmtId="0" fontId="1" fillId="2" borderId="1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0" xfId="0" applyFill="1"/>
    <xf numFmtId="164" fontId="0" fillId="2" borderId="0" xfId="0" applyNumberFormat="1" applyFill="1"/>
    <xf numFmtId="0" fontId="0" fillId="2" borderId="3" xfId="0" applyFill="1" applyBorder="1"/>
    <xf numFmtId="0" fontId="1" fillId="2" borderId="0" xfId="0" applyFont="1" applyFill="1"/>
    <xf numFmtId="0" fontId="0" fillId="2" borderId="2" xfId="0" applyFill="1" applyBorder="1" applyAlignment="1">
      <alignment horizontal="center" vertical="top"/>
    </xf>
    <xf numFmtId="2" fontId="0" fillId="2" borderId="0" xfId="0" applyNumberFormat="1" applyFill="1"/>
    <xf numFmtId="2" fontId="0" fillId="2" borderId="3" xfId="0" applyNumberFormat="1" applyFill="1" applyBorder="1"/>
    <xf numFmtId="2" fontId="0" fillId="2" borderId="1" xfId="0" applyNumberFormat="1" applyFill="1" applyBorder="1"/>
    <xf numFmtId="0" fontId="0" fillId="2" borderId="2" xfId="0" applyFill="1" applyBorder="1" applyAlignment="1">
      <alignment horizontal="center"/>
    </xf>
    <xf numFmtId="164" fontId="0" fillId="0" borderId="0" xfId="0" applyNumberFormat="1" applyBorder="1"/>
    <xf numFmtId="0" fontId="4" fillId="0" borderId="0" xfId="0" applyFont="1"/>
    <xf numFmtId="164" fontId="0" fillId="2" borderId="4" xfId="0" applyNumberFormat="1" applyFill="1" applyBorder="1"/>
    <xf numFmtId="0" fontId="0" fillId="0" borderId="0" xfId="0" applyFill="1" applyBorder="1"/>
    <xf numFmtId="0" fontId="0" fillId="0" borderId="4" xfId="0" applyBorder="1"/>
    <xf numFmtId="164" fontId="0" fillId="0" borderId="4" xfId="0" applyNumberFormat="1" applyBorder="1"/>
    <xf numFmtId="11" fontId="0" fillId="0" borderId="0" xfId="0" applyNumberFormat="1"/>
    <xf numFmtId="0" fontId="0" fillId="0" borderId="0" xfId="0" applyAlignment="1">
      <alignment horizontal="left"/>
    </xf>
    <xf numFmtId="3" fontId="0" fillId="0" borderId="0" xfId="0" applyNumberFormat="1" applyFont="1"/>
    <xf numFmtId="0" fontId="5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21" fontId="0" fillId="0" borderId="0" xfId="0" applyNumberFormat="1"/>
    <xf numFmtId="0" fontId="0" fillId="5" borderId="0" xfId="0" applyFill="1"/>
    <xf numFmtId="166" fontId="0" fillId="0" borderId="0" xfId="0" applyNumberFormat="1"/>
    <xf numFmtId="166" fontId="0" fillId="5" borderId="0" xfId="0" applyNumberFormat="1" applyFill="1"/>
    <xf numFmtId="166" fontId="0" fillId="4" borderId="0" xfId="0" applyNumberFormat="1" applyFill="1"/>
    <xf numFmtId="166" fontId="0" fillId="4" borderId="3" xfId="0" applyNumberFormat="1" applyFill="1" applyBorder="1"/>
    <xf numFmtId="166" fontId="0" fillId="5" borderId="3" xfId="0" applyNumberFormat="1" applyFill="1" applyBorder="1"/>
    <xf numFmtId="166" fontId="0" fillId="6" borderId="0" xfId="0" applyNumberFormat="1" applyFill="1"/>
    <xf numFmtId="0" fontId="1" fillId="0" borderId="0" xfId="0" applyFont="1" applyAlignment="1">
      <alignment horizontal="right"/>
    </xf>
    <xf numFmtId="3" fontId="5" fillId="0" borderId="0" xfId="0" applyNumberFormat="1" applyFont="1" applyFill="1" applyBorder="1"/>
    <xf numFmtId="3" fontId="0" fillId="0" borderId="0" xfId="0" applyNumberFormat="1" applyFont="1" applyFill="1" applyBorder="1"/>
    <xf numFmtId="9" fontId="0" fillId="0" borderId="0" xfId="0" applyNumberFormat="1" applyFill="1" applyBorder="1"/>
    <xf numFmtId="166" fontId="0" fillId="0" borderId="0" xfId="0" applyNumberFormat="1" applyFill="1" applyBorder="1"/>
    <xf numFmtId="2" fontId="0" fillId="0" borderId="0" xfId="0" applyNumberFormat="1" applyFill="1" applyBorder="1"/>
    <xf numFmtId="3" fontId="0" fillId="0" borderId="3" xfId="0" applyNumberFormat="1" applyFont="1" applyBorder="1"/>
    <xf numFmtId="1" fontId="0" fillId="0" borderId="3" xfId="0" applyNumberFormat="1" applyBorder="1"/>
    <xf numFmtId="3" fontId="0" fillId="0" borderId="5" xfId="0" applyNumberFormat="1" applyFont="1" applyBorder="1"/>
    <xf numFmtId="1" fontId="0" fillId="0" borderId="5" xfId="0" applyNumberFormat="1" applyBorder="1"/>
    <xf numFmtId="3" fontId="0" fillId="0" borderId="4" xfId="0" applyNumberFormat="1" applyFont="1" applyFill="1" applyBorder="1"/>
    <xf numFmtId="1" fontId="0" fillId="0" borderId="4" xfId="0" applyNumberFormat="1" applyFill="1" applyBorder="1"/>
    <xf numFmtId="9" fontId="0" fillId="0" borderId="0" xfId="0" applyNumberFormat="1"/>
    <xf numFmtId="9" fontId="0" fillId="0" borderId="4" xfId="0" applyNumberFormat="1" applyBorder="1"/>
    <xf numFmtId="0" fontId="0" fillId="0" borderId="0" xfId="0" applyBorder="1" applyAlignment="1">
      <alignment horizontal="center" vertical="top"/>
    </xf>
    <xf numFmtId="0" fontId="1" fillId="0" borderId="0" xfId="0" applyFont="1" applyFill="1" applyBorder="1"/>
    <xf numFmtId="0" fontId="0" fillId="0" borderId="0" xfId="0" applyFill="1" applyBorder="1" applyAlignment="1">
      <alignment horizontal="center" vertical="top"/>
    </xf>
    <xf numFmtId="1" fontId="0" fillId="0" borderId="0" xfId="0" applyNumberFormat="1" applyBorder="1"/>
    <xf numFmtId="9" fontId="0" fillId="0" borderId="4" xfId="0" applyNumberFormat="1" applyFill="1" applyBorder="1"/>
    <xf numFmtId="10" fontId="0" fillId="0" borderId="5" xfId="0" applyNumberFormat="1" applyBorder="1"/>
    <xf numFmtId="10" fontId="0" fillId="0" borderId="0" xfId="0" applyNumberFormat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theme/theme1.xml" Type="http://schemas.openxmlformats.org/officeDocument/2006/relationships/theme"/>
<Relationship Id="rId11" Target="styles.xml" Type="http://schemas.openxmlformats.org/officeDocument/2006/relationships/styles"/>
<Relationship Id="rId12" Target="sharedStrings.xml" Type="http://schemas.openxmlformats.org/officeDocument/2006/relationships/sharedStrings"/>
<Relationship Id="rId13" Target="calcChain.xml" Type="http://schemas.openxmlformats.org/officeDocument/2006/relationships/calcChain"/>
<Relationship Id="rId14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TLFD!$E$11:$E$100</c:f>
              <c:numCache>
                <c:formatCode>0.00</c:formatCode>
                <c:ptCount val="90"/>
                <c:pt idx="0">
                  <c:v>21130.072016114598</c:v>
                </c:pt>
                <c:pt idx="1">
                  <c:v>33352.631653172983</c:v>
                </c:pt>
                <c:pt idx="2">
                  <c:v>32953.260840872324</c:v>
                </c:pt>
                <c:pt idx="3">
                  <c:v>36470.16264643451</c:v>
                </c:pt>
                <c:pt idx="4">
                  <c:v>32167.733349542952</c:v>
                </c:pt>
                <c:pt idx="5">
                  <c:v>24939.18138736748</c:v>
                </c:pt>
                <c:pt idx="6">
                  <c:v>31531.25786439838</c:v>
                </c:pt>
                <c:pt idx="7">
                  <c:v>27621.096480937566</c:v>
                </c:pt>
                <c:pt idx="8">
                  <c:v>26122.261702024884</c:v>
                </c:pt>
                <c:pt idx="9">
                  <c:v>24764.093556944536</c:v>
                </c:pt>
                <c:pt idx="10">
                  <c:v>25179.842603427027</c:v>
                </c:pt>
                <c:pt idx="11">
                  <c:v>29476.973955305908</c:v>
                </c:pt>
                <c:pt idx="12">
                  <c:v>21369.868222040976</c:v>
                </c:pt>
                <c:pt idx="13">
                  <c:v>17743.716559489614</c:v>
                </c:pt>
                <c:pt idx="14">
                  <c:v>20078.198342361917</c:v>
                </c:pt>
                <c:pt idx="15">
                  <c:v>18921.308430087942</c:v>
                </c:pt>
                <c:pt idx="16">
                  <c:v>12174.838821111689</c:v>
                </c:pt>
                <c:pt idx="17">
                  <c:v>10633.227674401083</c:v>
                </c:pt>
                <c:pt idx="18">
                  <c:v>17394.179174521181</c:v>
                </c:pt>
                <c:pt idx="19">
                  <c:v>10972.177072501898</c:v>
                </c:pt>
                <c:pt idx="20">
                  <c:v>8971.2912183154931</c:v>
                </c:pt>
                <c:pt idx="21">
                  <c:v>9494.5843517725207</c:v>
                </c:pt>
                <c:pt idx="22">
                  <c:v>6620.7831996747927</c:v>
                </c:pt>
                <c:pt idx="23">
                  <c:v>8492.5941566371966</c:v>
                </c:pt>
                <c:pt idx="24">
                  <c:v>6727.9745588165315</c:v>
                </c:pt>
                <c:pt idx="25">
                  <c:v>7331.3030004261464</c:v>
                </c:pt>
                <c:pt idx="26">
                  <c:v>6324.8232621839652</c:v>
                </c:pt>
                <c:pt idx="27">
                  <c:v>4310.239995990768</c:v>
                </c:pt>
                <c:pt idx="28">
                  <c:v>5735.8713680786304</c:v>
                </c:pt>
                <c:pt idx="29">
                  <c:v>4585.6952034340411</c:v>
                </c:pt>
                <c:pt idx="30">
                  <c:v>5407.5843831894381</c:v>
                </c:pt>
                <c:pt idx="31">
                  <c:v>4553.7396171618884</c:v>
                </c:pt>
                <c:pt idx="32">
                  <c:v>2519.8240439125484</c:v>
                </c:pt>
                <c:pt idx="33">
                  <c:v>2855.5773799448489</c:v>
                </c:pt>
                <c:pt idx="34">
                  <c:v>2036.1506309837523</c:v>
                </c:pt>
                <c:pt idx="35">
                  <c:v>968.65177709410887</c:v>
                </c:pt>
                <c:pt idx="36">
                  <c:v>3235.7427529489469</c:v>
                </c:pt>
                <c:pt idx="37">
                  <c:v>1344.0487706900119</c:v>
                </c:pt>
                <c:pt idx="38">
                  <c:v>1287.9581088146756</c:v>
                </c:pt>
                <c:pt idx="39">
                  <c:v>1405.2748592747009</c:v>
                </c:pt>
                <c:pt idx="40">
                  <c:v>1353.3065641935718</c:v>
                </c:pt>
                <c:pt idx="41">
                  <c:v>732.13622054173857</c:v>
                </c:pt>
                <c:pt idx="42">
                  <c:v>614.31533349363963</c:v>
                </c:pt>
                <c:pt idx="43">
                  <c:v>1437.6866107348349</c:v>
                </c:pt>
                <c:pt idx="44">
                  <c:v>403.07279525384553</c:v>
                </c:pt>
                <c:pt idx="45">
                  <c:v>753.63901697739698</c:v>
                </c:pt>
                <c:pt idx="46">
                  <c:v>1358.7422422958373</c:v>
                </c:pt>
                <c:pt idx="47">
                  <c:v>194.40680958972999</c:v>
                </c:pt>
                <c:pt idx="48">
                  <c:v>471.48381575593561</c:v>
                </c:pt>
                <c:pt idx="49">
                  <c:v>239.00005480584281</c:v>
                </c:pt>
                <c:pt idx="50">
                  <c:v>328.51396765630869</c:v>
                </c:pt>
                <c:pt idx="51">
                  <c:v>790.19924379343081</c:v>
                </c:pt>
                <c:pt idx="52">
                  <c:v>788.2869326627972</c:v>
                </c:pt>
                <c:pt idx="53">
                  <c:v>128.88635392033061</c:v>
                </c:pt>
                <c:pt idx="54">
                  <c:v>0</c:v>
                </c:pt>
                <c:pt idx="55">
                  <c:v>0</c:v>
                </c:pt>
                <c:pt idx="56">
                  <c:v>544.71263350495099</c:v>
                </c:pt>
                <c:pt idx="57">
                  <c:v>0</c:v>
                </c:pt>
                <c:pt idx="58">
                  <c:v>0</c:v>
                </c:pt>
                <c:pt idx="59">
                  <c:v>34.345523713204201</c:v>
                </c:pt>
                <c:pt idx="60">
                  <c:v>80.678761386961398</c:v>
                </c:pt>
                <c:pt idx="61">
                  <c:v>0</c:v>
                </c:pt>
                <c:pt idx="62">
                  <c:v>0</c:v>
                </c:pt>
                <c:pt idx="63">
                  <c:v>74.386604170177904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TLFD!$K$11:$K$100</c:f>
              <c:numCache>
                <c:formatCode>General</c:formatCode>
                <c:ptCount val="90"/>
                <c:pt idx="0">
                  <c:v>28138</c:v>
                </c:pt>
                <c:pt idx="1">
                  <c:v>42719</c:v>
                </c:pt>
                <c:pt idx="2">
                  <c:v>39695</c:v>
                </c:pt>
                <c:pt idx="3">
                  <c:v>34781</c:v>
                </c:pt>
                <c:pt idx="4">
                  <c:v>34798</c:v>
                </c:pt>
                <c:pt idx="5">
                  <c:v>35696</c:v>
                </c:pt>
                <c:pt idx="6">
                  <c:v>34470</c:v>
                </c:pt>
                <c:pt idx="7">
                  <c:v>33255</c:v>
                </c:pt>
                <c:pt idx="8">
                  <c:v>32994</c:v>
                </c:pt>
                <c:pt idx="9">
                  <c:v>34500</c:v>
                </c:pt>
                <c:pt idx="10">
                  <c:v>34380</c:v>
                </c:pt>
                <c:pt idx="11">
                  <c:v>31745</c:v>
                </c:pt>
                <c:pt idx="12">
                  <c:v>29644</c:v>
                </c:pt>
                <c:pt idx="13">
                  <c:v>25756</c:v>
                </c:pt>
                <c:pt idx="14">
                  <c:v>23313</c:v>
                </c:pt>
                <c:pt idx="15">
                  <c:v>21082</c:v>
                </c:pt>
                <c:pt idx="16">
                  <c:v>18496</c:v>
                </c:pt>
                <c:pt idx="17">
                  <c:v>16339</c:v>
                </c:pt>
                <c:pt idx="18">
                  <c:v>15052</c:v>
                </c:pt>
                <c:pt idx="19">
                  <c:v>13164</c:v>
                </c:pt>
                <c:pt idx="20">
                  <c:v>11314</c:v>
                </c:pt>
                <c:pt idx="21">
                  <c:v>10135</c:v>
                </c:pt>
                <c:pt idx="22">
                  <c:v>8997</c:v>
                </c:pt>
                <c:pt idx="23">
                  <c:v>7927</c:v>
                </c:pt>
                <c:pt idx="24">
                  <c:v>7121</c:v>
                </c:pt>
                <c:pt idx="25">
                  <c:v>6811</c:v>
                </c:pt>
                <c:pt idx="26">
                  <c:v>6196</c:v>
                </c:pt>
                <c:pt idx="27">
                  <c:v>5832</c:v>
                </c:pt>
                <c:pt idx="28">
                  <c:v>5464</c:v>
                </c:pt>
                <c:pt idx="29">
                  <c:v>4958</c:v>
                </c:pt>
                <c:pt idx="30">
                  <c:v>4639</c:v>
                </c:pt>
                <c:pt idx="31">
                  <c:v>4159</c:v>
                </c:pt>
                <c:pt idx="32">
                  <c:v>3528</c:v>
                </c:pt>
                <c:pt idx="33">
                  <c:v>2969</c:v>
                </c:pt>
                <c:pt idx="34">
                  <c:v>2458</c:v>
                </c:pt>
                <c:pt idx="35">
                  <c:v>2048</c:v>
                </c:pt>
                <c:pt idx="36">
                  <c:v>1718</c:v>
                </c:pt>
                <c:pt idx="37">
                  <c:v>1497</c:v>
                </c:pt>
                <c:pt idx="38">
                  <c:v>1243</c:v>
                </c:pt>
                <c:pt idx="39">
                  <c:v>1080</c:v>
                </c:pt>
                <c:pt idx="40">
                  <c:v>823</c:v>
                </c:pt>
                <c:pt idx="41">
                  <c:v>808</c:v>
                </c:pt>
                <c:pt idx="42">
                  <c:v>703</c:v>
                </c:pt>
                <c:pt idx="43">
                  <c:v>591</c:v>
                </c:pt>
                <c:pt idx="44">
                  <c:v>441</c:v>
                </c:pt>
                <c:pt idx="45">
                  <c:v>378</c:v>
                </c:pt>
                <c:pt idx="46">
                  <c:v>325</c:v>
                </c:pt>
                <c:pt idx="47">
                  <c:v>291</c:v>
                </c:pt>
                <c:pt idx="48">
                  <c:v>232</c:v>
                </c:pt>
                <c:pt idx="49">
                  <c:v>160</c:v>
                </c:pt>
                <c:pt idx="50">
                  <c:v>166</c:v>
                </c:pt>
                <c:pt idx="51">
                  <c:v>120</c:v>
                </c:pt>
                <c:pt idx="52">
                  <c:v>97</c:v>
                </c:pt>
                <c:pt idx="53">
                  <c:v>78</c:v>
                </c:pt>
                <c:pt idx="54">
                  <c:v>72</c:v>
                </c:pt>
                <c:pt idx="55">
                  <c:v>60</c:v>
                </c:pt>
                <c:pt idx="56">
                  <c:v>46</c:v>
                </c:pt>
                <c:pt idx="57">
                  <c:v>35</c:v>
                </c:pt>
                <c:pt idx="58">
                  <c:v>27</c:v>
                </c:pt>
                <c:pt idx="59">
                  <c:v>26</c:v>
                </c:pt>
                <c:pt idx="60">
                  <c:v>17</c:v>
                </c:pt>
                <c:pt idx="61">
                  <c:v>12</c:v>
                </c:pt>
                <c:pt idx="62">
                  <c:v>11</c:v>
                </c:pt>
                <c:pt idx="63">
                  <c:v>8</c:v>
                </c:pt>
                <c:pt idx="64">
                  <c:v>5</c:v>
                </c:pt>
                <c:pt idx="65">
                  <c:v>1</c:v>
                </c:pt>
                <c:pt idx="66">
                  <c:v>3</c:v>
                </c:pt>
                <c:pt idx="67">
                  <c:v>5</c:v>
                </c:pt>
                <c:pt idx="68">
                  <c:v>1</c:v>
                </c:pt>
                <c:pt idx="69">
                  <c:v>3</c:v>
                </c:pt>
                <c:pt idx="70">
                  <c:v>0</c:v>
                </c:pt>
                <c:pt idx="71">
                  <c:v>3</c:v>
                </c:pt>
                <c:pt idx="72">
                  <c:v>1</c:v>
                </c:pt>
                <c:pt idx="73">
                  <c:v>2</c:v>
                </c:pt>
                <c:pt idx="74">
                  <c:v>0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174784"/>
        <c:axId val="153835136"/>
      </c:lineChart>
      <c:catAx>
        <c:axId val="197174784"/>
        <c:scaling>
          <c:orientation val="minMax"/>
        </c:scaling>
        <c:delete val="0"/>
        <c:axPos val="b"/>
        <c:majorTickMark val="out"/>
        <c:minorTickMark val="none"/>
        <c:tickLblPos val="nextTo"/>
        <c:crossAx val="153835136"/>
        <c:crosses val="autoZero"/>
        <c:auto val="1"/>
        <c:lblAlgn val="ctr"/>
        <c:lblOffset val="100"/>
        <c:tickLblSkip val="10"/>
        <c:noMultiLvlLbl val="0"/>
      </c:catAx>
      <c:valAx>
        <c:axId val="15383513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" sourceLinked="0"/>
        <c:majorTickMark val="out"/>
        <c:minorTickMark val="none"/>
        <c:tickLblPos val="nextTo"/>
        <c:crossAx val="197174784"/>
        <c:crosses val="autoZero"/>
        <c:crossBetween val="between"/>
        <c:majorUnit val="10000"/>
      </c:valAx>
    </c:plotArea>
    <c:legend>
      <c:legendPos val="r"/>
      <c:layout>
        <c:manualLayout>
          <c:xMode val="edge"/>
          <c:yMode val="edge"/>
          <c:x val="0.77126377952755898"/>
          <c:y val="7.8319845435987162E-2"/>
          <c:w val="0.13920424306823273"/>
          <c:h val="0.2511515748031495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TDFD!$E$11:$E$101</c:f>
              <c:numCache>
                <c:formatCode>0.00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2670.4741331928349</c:v>
                </c:pt>
                <c:pt idx="3">
                  <c:v>19476.096166177602</c:v>
                </c:pt>
                <c:pt idx="4">
                  <c:v>11531.064396713182</c:v>
                </c:pt>
                <c:pt idx="5">
                  <c:v>13900.821935193137</c:v>
                </c:pt>
                <c:pt idx="6">
                  <c:v>17394.900617736745</c:v>
                </c:pt>
                <c:pt idx="7">
                  <c:v>16690.955792727716</c:v>
                </c:pt>
                <c:pt idx="8">
                  <c:v>21786.148052593107</c:v>
                </c:pt>
                <c:pt idx="9">
                  <c:v>19969.720955593504</c:v>
                </c:pt>
                <c:pt idx="10">
                  <c:v>17919.264974498241</c:v>
                </c:pt>
                <c:pt idx="11">
                  <c:v>20987.877444376267</c:v>
                </c:pt>
                <c:pt idx="12">
                  <c:v>16592.118739556336</c:v>
                </c:pt>
                <c:pt idx="13">
                  <c:v>15163.21864623932</c:v>
                </c:pt>
                <c:pt idx="14">
                  <c:v>20124.692611483031</c:v>
                </c:pt>
                <c:pt idx="15">
                  <c:v>16474.6839244697</c:v>
                </c:pt>
                <c:pt idx="16">
                  <c:v>23116.391082712133</c:v>
                </c:pt>
                <c:pt idx="17">
                  <c:v>13668.133536047744</c:v>
                </c:pt>
                <c:pt idx="18">
                  <c:v>16978.586459698097</c:v>
                </c:pt>
                <c:pt idx="19">
                  <c:v>14186.611073669188</c:v>
                </c:pt>
                <c:pt idx="20">
                  <c:v>17088.63728476172</c:v>
                </c:pt>
                <c:pt idx="21">
                  <c:v>14244.091381537753</c:v>
                </c:pt>
                <c:pt idx="22">
                  <c:v>15630.961311038527</c:v>
                </c:pt>
                <c:pt idx="23">
                  <c:v>16786.364217686114</c:v>
                </c:pt>
                <c:pt idx="24">
                  <c:v>13677.879575058936</c:v>
                </c:pt>
                <c:pt idx="25">
                  <c:v>10778.402858343188</c:v>
                </c:pt>
                <c:pt idx="26">
                  <c:v>10175.087036452011</c:v>
                </c:pt>
                <c:pt idx="27">
                  <c:v>10058.214025483347</c:v>
                </c:pt>
                <c:pt idx="28">
                  <c:v>11392.643196837251</c:v>
                </c:pt>
                <c:pt idx="29">
                  <c:v>11775.079894101216</c:v>
                </c:pt>
                <c:pt idx="30">
                  <c:v>8222.3634397177448</c:v>
                </c:pt>
                <c:pt idx="31">
                  <c:v>8083.1304784493814</c:v>
                </c:pt>
                <c:pt idx="32">
                  <c:v>7407.1482319740799</c:v>
                </c:pt>
                <c:pt idx="33">
                  <c:v>9810.9792958425587</c:v>
                </c:pt>
                <c:pt idx="34">
                  <c:v>6322.2442911552416</c:v>
                </c:pt>
                <c:pt idx="35">
                  <c:v>7538.8227284960885</c:v>
                </c:pt>
                <c:pt idx="36">
                  <c:v>9525.4530406957474</c:v>
                </c:pt>
                <c:pt idx="37">
                  <c:v>4992.509727185371</c:v>
                </c:pt>
                <c:pt idx="38">
                  <c:v>7767.1938821066733</c:v>
                </c:pt>
                <c:pt idx="39">
                  <c:v>8556.7825882831439</c:v>
                </c:pt>
                <c:pt idx="40">
                  <c:v>5532.1246960097724</c:v>
                </c:pt>
                <c:pt idx="41">
                  <c:v>4791.0462470993134</c:v>
                </c:pt>
                <c:pt idx="42">
                  <c:v>4113.7883736871599</c:v>
                </c:pt>
                <c:pt idx="43">
                  <c:v>4547.3088561954273</c:v>
                </c:pt>
                <c:pt idx="44">
                  <c:v>3498.9124714277614</c:v>
                </c:pt>
                <c:pt idx="45">
                  <c:v>5765.7749086670256</c:v>
                </c:pt>
                <c:pt idx="46">
                  <c:v>3377.0135202736292</c:v>
                </c:pt>
                <c:pt idx="47">
                  <c:v>3936.4490862318244</c:v>
                </c:pt>
                <c:pt idx="48">
                  <c:v>3583.9251506478854</c:v>
                </c:pt>
                <c:pt idx="49">
                  <c:v>2703.5178420776242</c:v>
                </c:pt>
                <c:pt idx="50">
                  <c:v>1567.9259460076521</c:v>
                </c:pt>
                <c:pt idx="51">
                  <c:v>2645.9864081502574</c:v>
                </c:pt>
                <c:pt idx="52">
                  <c:v>756.28485044400873</c:v>
                </c:pt>
                <c:pt idx="53">
                  <c:v>1312.2354398045284</c:v>
                </c:pt>
                <c:pt idx="54">
                  <c:v>1824.1653157435253</c:v>
                </c:pt>
                <c:pt idx="55">
                  <c:v>1930.5199281283908</c:v>
                </c:pt>
                <c:pt idx="56">
                  <c:v>2343.8939020294611</c:v>
                </c:pt>
                <c:pt idx="57">
                  <c:v>927.72385604626686</c:v>
                </c:pt>
                <c:pt idx="58">
                  <c:v>2142.2964232317272</c:v>
                </c:pt>
                <c:pt idx="59">
                  <c:v>2445.4964401775778</c:v>
                </c:pt>
                <c:pt idx="60">
                  <c:v>854.66761156566406</c:v>
                </c:pt>
                <c:pt idx="61">
                  <c:v>1040.1903438150639</c:v>
                </c:pt>
                <c:pt idx="62">
                  <c:v>548.01874330409009</c:v>
                </c:pt>
                <c:pt idx="63">
                  <c:v>842.7730588935018</c:v>
                </c:pt>
                <c:pt idx="64">
                  <c:v>268.91221840699154</c:v>
                </c:pt>
                <c:pt idx="65">
                  <c:v>1509.8745445421812</c:v>
                </c:pt>
                <c:pt idx="66">
                  <c:v>102.32341836258951</c:v>
                </c:pt>
                <c:pt idx="67">
                  <c:v>471.35618337383107</c:v>
                </c:pt>
                <c:pt idx="68">
                  <c:v>463.84000942268574</c:v>
                </c:pt>
                <c:pt idx="69">
                  <c:v>1046.2207175497442</c:v>
                </c:pt>
                <c:pt idx="70">
                  <c:v>813.399223155497</c:v>
                </c:pt>
                <c:pt idx="71">
                  <c:v>444.23868331097941</c:v>
                </c:pt>
                <c:pt idx="72">
                  <c:v>0</c:v>
                </c:pt>
                <c:pt idx="73">
                  <c:v>390.88234144234679</c:v>
                </c:pt>
                <c:pt idx="74">
                  <c:v>342.402299725126</c:v>
                </c:pt>
                <c:pt idx="75">
                  <c:v>45.083639494010903</c:v>
                </c:pt>
                <c:pt idx="76">
                  <c:v>194.40680958972999</c:v>
                </c:pt>
                <c:pt idx="77">
                  <c:v>738.68957647838101</c:v>
                </c:pt>
                <c:pt idx="78">
                  <c:v>282.0351524424255</c:v>
                </c:pt>
                <c:pt idx="79">
                  <c:v>312.579832725274</c:v>
                </c:pt>
                <c:pt idx="80">
                  <c:v>256.352368238167</c:v>
                </c:pt>
                <c:pt idx="81">
                  <c:v>114.340931068469</c:v>
                </c:pt>
                <c:pt idx="82">
                  <c:v>83.802714426319696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155.0653655571393</c:v>
                </c:pt>
                <c:pt idx="90">
                  <c:v>20130.330472795464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TDFD!$K$11:$K$101</c:f>
              <c:numCache>
                <c:formatCode>General</c:formatCode>
                <c:ptCount val="91"/>
                <c:pt idx="0">
                  <c:v>578</c:v>
                </c:pt>
                <c:pt idx="1">
                  <c:v>1578</c:v>
                </c:pt>
                <c:pt idx="2">
                  <c:v>4796</c:v>
                </c:pt>
                <c:pt idx="3">
                  <c:v>22277</c:v>
                </c:pt>
                <c:pt idx="4">
                  <c:v>14130</c:v>
                </c:pt>
                <c:pt idx="5">
                  <c:v>16236</c:v>
                </c:pt>
                <c:pt idx="6">
                  <c:v>18893</c:v>
                </c:pt>
                <c:pt idx="7">
                  <c:v>19092</c:v>
                </c:pt>
                <c:pt idx="8">
                  <c:v>18795</c:v>
                </c:pt>
                <c:pt idx="9">
                  <c:v>18043</c:v>
                </c:pt>
                <c:pt idx="10">
                  <c:v>18675</c:v>
                </c:pt>
                <c:pt idx="11">
                  <c:v>18096</c:v>
                </c:pt>
                <c:pt idx="12">
                  <c:v>18262</c:v>
                </c:pt>
                <c:pt idx="13">
                  <c:v>18307</c:v>
                </c:pt>
                <c:pt idx="14">
                  <c:v>17635</c:v>
                </c:pt>
                <c:pt idx="15">
                  <c:v>18017</c:v>
                </c:pt>
                <c:pt idx="16">
                  <c:v>17727</c:v>
                </c:pt>
                <c:pt idx="17">
                  <c:v>17431</c:v>
                </c:pt>
                <c:pt idx="18">
                  <c:v>17401</c:v>
                </c:pt>
                <c:pt idx="19">
                  <c:v>17595</c:v>
                </c:pt>
                <c:pt idx="20">
                  <c:v>16999</c:v>
                </c:pt>
                <c:pt idx="21">
                  <c:v>17087</c:v>
                </c:pt>
                <c:pt idx="22">
                  <c:v>16361</c:v>
                </c:pt>
                <c:pt idx="23">
                  <c:v>15661</c:v>
                </c:pt>
                <c:pt idx="24">
                  <c:v>15415</c:v>
                </c:pt>
                <c:pt idx="25">
                  <c:v>15176</c:v>
                </c:pt>
                <c:pt idx="26">
                  <c:v>14672</c:v>
                </c:pt>
                <c:pt idx="27">
                  <c:v>13809</c:v>
                </c:pt>
                <c:pt idx="28">
                  <c:v>13598</c:v>
                </c:pt>
                <c:pt idx="29">
                  <c:v>12755</c:v>
                </c:pt>
                <c:pt idx="30">
                  <c:v>12297</c:v>
                </c:pt>
                <c:pt idx="31">
                  <c:v>11672</c:v>
                </c:pt>
                <c:pt idx="32">
                  <c:v>11117</c:v>
                </c:pt>
                <c:pt idx="33">
                  <c:v>10372</c:v>
                </c:pt>
                <c:pt idx="34">
                  <c:v>10052</c:v>
                </c:pt>
                <c:pt idx="35">
                  <c:v>9660</c:v>
                </c:pt>
                <c:pt idx="36">
                  <c:v>9090</c:v>
                </c:pt>
                <c:pt idx="37">
                  <c:v>8999</c:v>
                </c:pt>
                <c:pt idx="38">
                  <c:v>8356</c:v>
                </c:pt>
                <c:pt idx="39">
                  <c:v>8286</c:v>
                </c:pt>
                <c:pt idx="40">
                  <c:v>7727</c:v>
                </c:pt>
                <c:pt idx="41">
                  <c:v>7314</c:v>
                </c:pt>
                <c:pt idx="42">
                  <c:v>7122</c:v>
                </c:pt>
                <c:pt idx="43">
                  <c:v>6586</c:v>
                </c:pt>
                <c:pt idx="44">
                  <c:v>6306</c:v>
                </c:pt>
                <c:pt idx="45">
                  <c:v>5645</c:v>
                </c:pt>
                <c:pt idx="46">
                  <c:v>5457</c:v>
                </c:pt>
                <c:pt idx="47">
                  <c:v>5056</c:v>
                </c:pt>
                <c:pt idx="48">
                  <c:v>4914</c:v>
                </c:pt>
                <c:pt idx="49">
                  <c:v>4742</c:v>
                </c:pt>
                <c:pt idx="50">
                  <c:v>4627</c:v>
                </c:pt>
                <c:pt idx="51">
                  <c:v>4348</c:v>
                </c:pt>
                <c:pt idx="52">
                  <c:v>4120</c:v>
                </c:pt>
                <c:pt idx="53">
                  <c:v>3702</c:v>
                </c:pt>
                <c:pt idx="54">
                  <c:v>3565</c:v>
                </c:pt>
                <c:pt idx="55">
                  <c:v>3140</c:v>
                </c:pt>
                <c:pt idx="56">
                  <c:v>2784</c:v>
                </c:pt>
                <c:pt idx="57">
                  <c:v>2541</c:v>
                </c:pt>
                <c:pt idx="58">
                  <c:v>2521</c:v>
                </c:pt>
                <c:pt idx="59">
                  <c:v>2277</c:v>
                </c:pt>
                <c:pt idx="60">
                  <c:v>2262</c:v>
                </c:pt>
                <c:pt idx="61">
                  <c:v>2011</c:v>
                </c:pt>
                <c:pt idx="62">
                  <c:v>1918</c:v>
                </c:pt>
                <c:pt idx="63">
                  <c:v>1766</c:v>
                </c:pt>
                <c:pt idx="64">
                  <c:v>1611</c:v>
                </c:pt>
                <c:pt idx="65">
                  <c:v>1495</c:v>
                </c:pt>
                <c:pt idx="66">
                  <c:v>1476</c:v>
                </c:pt>
                <c:pt idx="67">
                  <c:v>1352</c:v>
                </c:pt>
                <c:pt idx="68">
                  <c:v>1284</c:v>
                </c:pt>
                <c:pt idx="69">
                  <c:v>1158</c:v>
                </c:pt>
                <c:pt idx="70">
                  <c:v>1160</c:v>
                </c:pt>
                <c:pt idx="71">
                  <c:v>1025</c:v>
                </c:pt>
                <c:pt idx="72">
                  <c:v>928</c:v>
                </c:pt>
                <c:pt idx="73">
                  <c:v>938</c:v>
                </c:pt>
                <c:pt idx="74">
                  <c:v>785</c:v>
                </c:pt>
                <c:pt idx="75">
                  <c:v>726</c:v>
                </c:pt>
                <c:pt idx="76">
                  <c:v>584</c:v>
                </c:pt>
                <c:pt idx="77">
                  <c:v>523</c:v>
                </c:pt>
                <c:pt idx="78">
                  <c:v>450</c:v>
                </c:pt>
                <c:pt idx="79">
                  <c:v>381</c:v>
                </c:pt>
                <c:pt idx="80">
                  <c:v>330</c:v>
                </c:pt>
                <c:pt idx="81">
                  <c:v>269</c:v>
                </c:pt>
                <c:pt idx="82">
                  <c:v>241</c:v>
                </c:pt>
                <c:pt idx="83">
                  <c:v>206</c:v>
                </c:pt>
                <c:pt idx="84">
                  <c:v>184</c:v>
                </c:pt>
                <c:pt idx="85">
                  <c:v>187</c:v>
                </c:pt>
                <c:pt idx="86">
                  <c:v>132</c:v>
                </c:pt>
                <c:pt idx="87">
                  <c:v>120</c:v>
                </c:pt>
                <c:pt idx="88">
                  <c:v>97</c:v>
                </c:pt>
                <c:pt idx="89">
                  <c:v>573</c:v>
                </c:pt>
                <c:pt idx="90">
                  <c:v>20318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91040"/>
        <c:axId val="197427200"/>
      </c:lineChart>
      <c:catAx>
        <c:axId val="19759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97427200"/>
        <c:crosses val="autoZero"/>
        <c:auto val="1"/>
        <c:lblAlgn val="ctr"/>
        <c:lblOffset val="100"/>
        <c:tickLblSkip val="10"/>
        <c:noMultiLvlLbl val="0"/>
      </c:catAx>
      <c:valAx>
        <c:axId val="19742720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9759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73"/>
          <c:h val="0.2511515748031495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600075</xdr:colOff>
      <xdr:row>16</xdr:row>
      <xdr:rowOff>95250</xdr:rowOff>
    </xdr:from>
    <xdr:to>
      <xdr:col>21</xdr:col>
      <xdr:colOff>9525</xdr:colOff>
      <xdr:row>30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581025</xdr:colOff>
      <xdr:row>16</xdr:row>
      <xdr:rowOff>38100</xdr:rowOff>
    </xdr:from>
    <xdr:to>
      <xdr:col>20</xdr:col>
      <xdr:colOff>600075</xdr:colOff>
      <xdr:row>30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01"/>
  <sheetViews>
    <sheetView workbookViewId="0">
      <selection activeCell="N34" sqref="N34"/>
    </sheetView>
  </sheetViews>
  <sheetFormatPr defaultRowHeight="15" x14ac:dyDescent="0.25"/>
  <cols>
    <col min="1" max="1" customWidth="true" width="13.5703125" collapsed="true"/>
    <col min="5" max="5" bestFit="true" customWidth="true" width="9.5703125" collapsed="true"/>
  </cols>
  <sheetData>
    <row r="1" spans="1:23" x14ac:dyDescent="0.25">
      <c r="A1" t="s">
        <v>1</v>
      </c>
    </row>
    <row r="2" spans="1:23" x14ac:dyDescent="0.25">
      <c r="A2" t="s">
        <v>235</v>
      </c>
    </row>
    <row r="3" spans="1:23" x14ac:dyDescent="0.25">
      <c r="A3" t="s">
        <v>276</v>
      </c>
    </row>
    <row r="4" spans="1:23" x14ac:dyDescent="0.25">
      <c r="A4" t="s">
        <v>5</v>
      </c>
    </row>
    <row r="5" spans="1:23" x14ac:dyDescent="0.25">
      <c r="A5" t="s">
        <v>6</v>
      </c>
    </row>
    <row r="6" spans="1:23" x14ac:dyDescent="0.25">
      <c r="A6" t="s">
        <v>7</v>
      </c>
    </row>
    <row r="7" spans="1:23" x14ac:dyDescent="0.25">
      <c r="A7" t="s">
        <v>15</v>
      </c>
    </row>
    <row r="9" spans="1:23" ht="15.75" thickBot="1" x14ac:dyDescent="0.3">
      <c r="A9" s="4" t="s">
        <v>234</v>
      </c>
      <c r="B9" s="1"/>
      <c r="C9" s="1"/>
      <c r="D9" s="1"/>
      <c r="E9" s="1"/>
      <c r="G9" s="4" t="s">
        <v>16</v>
      </c>
      <c r="H9" s="1"/>
      <c r="I9" s="1"/>
      <c r="J9" s="1"/>
      <c r="K9" s="1"/>
      <c r="M9" s="38" t="s">
        <v>50</v>
      </c>
      <c r="N9" s="35"/>
      <c r="O9" s="35"/>
    </row>
    <row r="10" spans="1:23" x14ac:dyDescent="0.25">
      <c r="A10" s="2" t="s">
        <v>3</v>
      </c>
      <c r="B10" s="5" t="s">
        <v>12</v>
      </c>
      <c r="C10" s="5" t="s">
        <v>13</v>
      </c>
      <c r="D10" s="5" t="s">
        <v>14</v>
      </c>
      <c r="E10" s="5" t="s">
        <v>228</v>
      </c>
      <c r="G10" s="2" t="s">
        <v>3</v>
      </c>
      <c r="H10" s="5" t="s">
        <v>12</v>
      </c>
      <c r="I10" s="5" t="s">
        <v>13</v>
      </c>
      <c r="J10" s="5" t="s">
        <v>14</v>
      </c>
      <c r="K10" s="5" t="s">
        <v>49</v>
      </c>
      <c r="M10" s="34"/>
      <c r="N10" s="39" t="s">
        <v>228</v>
      </c>
      <c r="O10" s="39" t="s">
        <v>49</v>
      </c>
    </row>
    <row r="11" spans="1:23" x14ac:dyDescent="0.25">
      <c r="A11">
        <v>0</v>
      </c>
      <c r="B11" s="9" t="n">
        <v>14168.001821465621</v>
      </c>
      <c r="C11" s="9" t="n">
        <v>5303.50728130059</v>
      </c>
      <c r="D11" s="9" t="n">
        <v>1658.5629133483858</v>
      </c>
      <c r="E11" s="9">
        <f>SUM(B11:D11)</f>
        <v>21130.072016114598</v>
      </c>
      <c r="G11">
        <v>0</v>
      </c>
      <c r="H11" s="16" t="n">
        <v>11918.0</v>
      </c>
      <c r="I11" s="16" t="n">
        <v>3479.0</v>
      </c>
      <c r="J11" s="16" t="n">
        <v>1510.0</v>
      </c>
      <c r="K11">
        <f>SUM(H11:J11)</f>
        <v>28138</v>
      </c>
      <c r="M11" s="35" t="s">
        <v>12</v>
      </c>
      <c r="N11" s="40" t="n">
        <v>12.88133310448287</v>
      </c>
      <c r="O11" s="40" t="n">
        <v>12.75317112933983</v>
      </c>
    </row>
    <row r="12" spans="1:23" x14ac:dyDescent="0.25">
      <c r="A12">
        <v>1</v>
      </c>
      <c r="B12" s="9" t="n">
        <v>21007.949284805705</v>
      </c>
      <c r="C12" s="9" t="n">
        <v>7833.87433804806</v>
      </c>
      <c r="D12" s="9" t="n">
        <v>4510.808030319221</v>
      </c>
      <c r="E12" s="9">
        <f t="shared" ref="E12:E75" si="0">SUM(B12:D12)</f>
        <v>33352.631653172983</v>
      </c>
      <c r="G12">
        <v>1</v>
      </c>
      <c r="H12" s="16" t="n">
        <v>24710.0</v>
      </c>
      <c r="I12" s="16" t="n">
        <v>6393.0</v>
      </c>
      <c r="J12" s="16" t="n">
        <v>3375.0</v>
      </c>
      <c r="K12">
        <f t="shared" ref="K12:K75" si="1">SUM(H12:J12)</f>
        <v>42719</v>
      </c>
      <c r="M12" s="35" t="s">
        <v>13</v>
      </c>
      <c r="N12" s="40" t="n">
        <v>8.614925071931033</v>
      </c>
      <c r="O12" s="40" t="n">
        <v>9.058022378155965</v>
      </c>
    </row>
    <row r="13" spans="1:23" x14ac:dyDescent="0.25">
      <c r="A13">
        <v>2</v>
      </c>
      <c r="B13" s="9" t="n">
        <v>26772.155470965932</v>
      </c>
      <c r="C13" s="9" t="n">
        <v>5122.428382661574</v>
      </c>
      <c r="D13" s="9" t="n">
        <v>1058.6769872448233</v>
      </c>
      <c r="E13" s="9">
        <f t="shared" si="0"/>
        <v>32953.260840872324</v>
      </c>
      <c r="G13">
        <v>2</v>
      </c>
      <c r="H13" s="16" t="n">
        <v>30283.0</v>
      </c>
      <c r="I13" s="16" t="n">
        <v>8517.0</v>
      </c>
      <c r="J13" s="16" t="n">
        <v>4631.0</v>
      </c>
      <c r="K13">
        <f t="shared" si="1"/>
        <v>39695</v>
      </c>
      <c r="M13" s="37" t="s">
        <v>14</v>
      </c>
      <c r="N13" s="41" t="n">
        <v>8.078590516508957</v>
      </c>
      <c r="O13" s="41" t="n">
        <v>7.542010262845656</v>
      </c>
    </row>
    <row r="14" spans="1:23" ht="15.75" thickBot="1" x14ac:dyDescent="0.3">
      <c r="A14">
        <v>3</v>
      </c>
      <c r="B14" s="9" t="n">
        <v>28492.72542800767</v>
      </c>
      <c r="C14" s="9" t="n">
        <v>4934.585600983772</v>
      </c>
      <c r="D14" s="9" t="n">
        <v>3042.851617443073</v>
      </c>
      <c r="E14" s="9">
        <f t="shared" si="0"/>
        <v>36470.16264643451</v>
      </c>
      <c r="G14">
        <v>3</v>
      </c>
      <c r="H14" s="16" t="n">
        <v>23639.0</v>
      </c>
      <c r="I14" s="16" t="n">
        <v>7556.0</v>
      </c>
      <c r="J14" s="16" t="n">
        <v>4020.0</v>
      </c>
      <c r="K14">
        <f t="shared" si="1"/>
        <v>34781</v>
      </c>
      <c r="M14" s="33" t="s">
        <v>4</v>
      </c>
      <c r="N14" s="42" t="n">
        <v>12.172660794574664</v>
      </c>
      <c r="O14" s="42" t="n">
        <v>12.063438882699185</v>
      </c>
      <c r="S14" s="9"/>
    </row>
    <row r="15" spans="1:23" x14ac:dyDescent="0.25">
      <c r="A15">
        <v>4</v>
      </c>
      <c r="B15" s="9" t="n">
        <v>26467.65268692761</v>
      </c>
      <c r="C15" s="9" t="n">
        <v>3150.5408730681165</v>
      </c>
      <c r="D15" s="9" t="n">
        <v>2549.539789547228</v>
      </c>
      <c r="E15" s="9">
        <f t="shared" si="0"/>
        <v>32167.733349542952</v>
      </c>
      <c r="G15">
        <v>4</v>
      </c>
      <c r="H15" s="16" t="n">
        <v>25718.0</v>
      </c>
      <c r="I15" s="16" t="n">
        <v>6812.0</v>
      </c>
      <c r="J15" s="16" t="n">
        <v>3340.0</v>
      </c>
      <c r="K15">
        <f t="shared" si="1"/>
        <v>34798</v>
      </c>
      <c r="W15" s="9"/>
    </row>
    <row r="16" spans="1:23" x14ac:dyDescent="0.25">
      <c r="A16">
        <v>5</v>
      </c>
      <c r="B16" s="9" t="n">
        <v>18281.040142784757</v>
      </c>
      <c r="C16" s="9" t="n">
        <v>2982.4886220087665</v>
      </c>
      <c r="D16" s="9" t="n">
        <v>3675.6526225739544</v>
      </c>
      <c r="E16" s="9">
        <f t="shared" si="0"/>
        <v>24939.18138736748</v>
      </c>
      <c r="G16">
        <v>5</v>
      </c>
      <c r="H16" s="16" t="n">
        <v>27961.0</v>
      </c>
      <c r="I16" s="16" t="n">
        <v>5766.0</v>
      </c>
      <c r="J16" s="16" t="n">
        <v>2685.0</v>
      </c>
      <c r="K16">
        <f t="shared" si="1"/>
        <v>35696</v>
      </c>
      <c r="W16" s="9"/>
    </row>
    <row r="17" spans="1:23" x14ac:dyDescent="0.25">
      <c r="A17">
        <v>6</v>
      </c>
      <c r="B17" s="9" t="n">
        <v>27121.14020715882</v>
      </c>
      <c r="C17" s="9" t="n">
        <v>3127.8698396784566</v>
      </c>
      <c r="D17" s="9" t="n">
        <v>1282.247817561105</v>
      </c>
      <c r="E17" s="9">
        <f t="shared" si="0"/>
        <v>31531.25786439838</v>
      </c>
      <c r="G17">
        <v>6</v>
      </c>
      <c r="H17" s="16" t="n">
        <v>28316.0</v>
      </c>
      <c r="I17" s="16" t="n">
        <v>4943.0</v>
      </c>
      <c r="J17" s="16" t="n">
        <v>2137.0</v>
      </c>
      <c r="K17">
        <f t="shared" si="1"/>
        <v>34470</v>
      </c>
      <c r="W17" s="9"/>
    </row>
    <row r="18" spans="1:23" x14ac:dyDescent="0.25">
      <c r="A18">
        <v>7</v>
      </c>
      <c r="B18" s="9" t="n">
        <v>21813.188201837416</v>
      </c>
      <c r="C18" s="9" t="n">
        <v>4986.395931503051</v>
      </c>
      <c r="D18" s="9" t="n">
        <v>821.5123475970968</v>
      </c>
      <c r="E18" s="9">
        <f t="shared" si="0"/>
        <v>27621.096480937566</v>
      </c>
      <c r="G18">
        <v>7</v>
      </c>
      <c r="H18" s="16" t="n">
        <v>28241.0</v>
      </c>
      <c r="I18" s="16" t="n">
        <v>4278.0</v>
      </c>
      <c r="J18" s="16" t="n">
        <v>1642.0</v>
      </c>
      <c r="K18">
        <f t="shared" si="1"/>
        <v>33255</v>
      </c>
      <c r="W18" s="9"/>
    </row>
    <row r="19" spans="1:23" x14ac:dyDescent="0.25">
      <c r="A19">
        <v>8</v>
      </c>
      <c r="B19" s="9" t="n">
        <v>22073.413814070642</v>
      </c>
      <c r="C19" s="9" t="n">
        <v>2470.7613431704995</v>
      </c>
      <c r="D19" s="9" t="n">
        <v>1578.0865447837407</v>
      </c>
      <c r="E19" s="9">
        <f t="shared" si="0"/>
        <v>26122.261702024884</v>
      </c>
      <c r="G19">
        <v>8</v>
      </c>
      <c r="H19" s="16" t="n">
        <v>28734.0</v>
      </c>
      <c r="I19" s="16" t="n">
        <v>3638.0</v>
      </c>
      <c r="J19" s="16" t="n">
        <v>1401.0</v>
      </c>
      <c r="K19">
        <f t="shared" si="1"/>
        <v>32994</v>
      </c>
      <c r="W19" s="9"/>
    </row>
    <row r="20" spans="1:23" x14ac:dyDescent="0.25">
      <c r="A20">
        <v>9</v>
      </c>
      <c r="B20" s="9" t="n">
        <v>21229.812459547065</v>
      </c>
      <c r="C20" s="9" t="n">
        <v>2470.011138778998</v>
      </c>
      <c r="D20" s="9" t="n">
        <v>1064.2699586184715</v>
      </c>
      <c r="E20" s="9">
        <f t="shared" si="0"/>
        <v>24764.093556944536</v>
      </c>
      <c r="G20">
        <v>9</v>
      </c>
      <c r="H20" s="16" t="n">
        <v>30576.0</v>
      </c>
      <c r="I20" s="16" t="n">
        <v>3335.0</v>
      </c>
      <c r="J20" s="16" t="n">
        <v>1299.0</v>
      </c>
      <c r="K20">
        <f t="shared" si="1"/>
        <v>34500</v>
      </c>
      <c r="W20" s="9"/>
    </row>
    <row r="21" spans="1:23" x14ac:dyDescent="0.25">
      <c r="A21">
        <v>10</v>
      </c>
      <c r="B21" s="9" t="n">
        <v>22121.85908384142</v>
      </c>
      <c r="C21" s="9" t="n">
        <v>1367.5396716879636</v>
      </c>
      <c r="D21" s="9" t="n">
        <v>1690.4438478976442</v>
      </c>
      <c r="E21" s="9">
        <f t="shared" si="0"/>
        <v>25179.842603427027</v>
      </c>
      <c r="G21">
        <v>10</v>
      </c>
      <c r="H21" s="16" t="n">
        <v>30867.0</v>
      </c>
      <c r="I21" s="16" t="n">
        <v>2905.0</v>
      </c>
      <c r="J21" s="16" t="n">
        <v>1117.0</v>
      </c>
      <c r="K21">
        <f t="shared" si="1"/>
        <v>34380</v>
      </c>
      <c r="W21" s="9"/>
    </row>
    <row r="22" spans="1:23" x14ac:dyDescent="0.25">
      <c r="A22">
        <v>11</v>
      </c>
      <c r="B22" s="9" t="n">
        <v>24810.872584133205</v>
      </c>
      <c r="C22" s="9" t="n">
        <v>3595.056099463819</v>
      </c>
      <c r="D22" s="9" t="n">
        <v>1071.0452717088835</v>
      </c>
      <c r="E22" s="9">
        <f t="shared" si="0"/>
        <v>29476.973955305908</v>
      </c>
      <c r="G22">
        <v>11</v>
      </c>
      <c r="H22" s="16" t="n">
        <v>28328.0</v>
      </c>
      <c r="I22" s="16" t="n">
        <v>2592.0</v>
      </c>
      <c r="J22" s="16" t="n">
        <v>965.0</v>
      </c>
      <c r="K22">
        <f t="shared" si="1"/>
        <v>31745</v>
      </c>
      <c r="W22" s="9"/>
    </row>
    <row r="23" spans="1:23" x14ac:dyDescent="0.25">
      <c r="A23">
        <v>12</v>
      </c>
      <c r="B23" s="9" t="n">
        <v>17882.41308402991</v>
      </c>
      <c r="C23" s="9" t="n">
        <v>1802.6640072608052</v>
      </c>
      <c r="D23" s="9" t="n">
        <v>1684.7911307502566</v>
      </c>
      <c r="E23" s="9">
        <f t="shared" si="0"/>
        <v>21369.868222040976</v>
      </c>
      <c r="G23">
        <v>12</v>
      </c>
      <c r="H23" s="16" t="n">
        <v>26891.0</v>
      </c>
      <c r="I23" s="16" t="n">
        <v>2362.0</v>
      </c>
      <c r="J23" s="16" t="n">
        <v>907.0</v>
      </c>
      <c r="K23">
        <f t="shared" si="1"/>
        <v>29644</v>
      </c>
      <c r="W23" s="9"/>
    </row>
    <row r="24" spans="1:23" x14ac:dyDescent="0.25">
      <c r="A24">
        <v>13</v>
      </c>
      <c r="B24" s="9" t="n">
        <v>16007.340022423143</v>
      </c>
      <c r="C24" s="9" t="n">
        <v>1503.667326564815</v>
      </c>
      <c r="D24" s="9" t="n">
        <v>232.7092105016551</v>
      </c>
      <c r="E24" s="9">
        <f t="shared" si="0"/>
        <v>17743.716559489614</v>
      </c>
      <c r="G24">
        <v>13</v>
      </c>
      <c r="H24" s="16" t="n">
        <v>23152.0</v>
      </c>
      <c r="I24" s="16" t="n">
        <v>1989.0</v>
      </c>
      <c r="J24" s="16" t="n">
        <v>745.0</v>
      </c>
      <c r="K24">
        <f t="shared" si="1"/>
        <v>25756</v>
      </c>
      <c r="W24" s="9"/>
    </row>
    <row r="25" spans="1:23" x14ac:dyDescent="0.25">
      <c r="A25">
        <v>14</v>
      </c>
      <c r="B25" s="9" t="n">
        <v>18876.122965757848</v>
      </c>
      <c r="C25" s="9" t="n">
        <v>929.6092762764358</v>
      </c>
      <c r="D25" s="9" t="n">
        <v>272.466100327634</v>
      </c>
      <c r="E25" s="9">
        <f t="shared" si="0"/>
        <v>20078.198342361917</v>
      </c>
      <c r="G25">
        <v>14</v>
      </c>
      <c r="H25" s="16" t="n">
        <v>21044.0</v>
      </c>
      <c r="I25" s="16" t="n">
        <v>1671.0</v>
      </c>
      <c r="J25" s="16" t="n">
        <v>632.0</v>
      </c>
      <c r="K25">
        <f t="shared" si="1"/>
        <v>23313</v>
      </c>
      <c r="W25" s="9"/>
    </row>
    <row r="26" spans="1:23" x14ac:dyDescent="0.25">
      <c r="A26">
        <v>15</v>
      </c>
      <c r="B26" s="9" t="n">
        <v>17713.9624130386</v>
      </c>
      <c r="C26" s="9" t="n">
        <v>782.8487029956998</v>
      </c>
      <c r="D26" s="9" t="n">
        <v>424.497314053641</v>
      </c>
      <c r="E26" s="9">
        <f t="shared" si="0"/>
        <v>18921.308430087942</v>
      </c>
      <c r="G26">
        <v>15</v>
      </c>
      <c r="H26" s="16" t="n">
        <v>19311.0</v>
      </c>
      <c r="I26" s="16" t="n">
        <v>1449.0</v>
      </c>
      <c r="J26" s="16" t="n">
        <v>550.0</v>
      </c>
      <c r="K26">
        <f t="shared" si="1"/>
        <v>21082</v>
      </c>
      <c r="W26" s="9"/>
    </row>
    <row r="27" spans="1:23" x14ac:dyDescent="0.25">
      <c r="A27">
        <v>16</v>
      </c>
      <c r="B27" s="9" t="n">
        <v>10843.900839342985</v>
      </c>
      <c r="C27" s="9" t="n">
        <v>1099.4070168154674</v>
      </c>
      <c r="D27" s="9" t="n">
        <v>231.5309649532365</v>
      </c>
      <c r="E27" s="9">
        <f t="shared" si="0"/>
        <v>12174.838821111689</v>
      </c>
      <c r="G27">
        <v>16</v>
      </c>
      <c r="H27" s="16" t="n">
        <v>16885.0</v>
      </c>
      <c r="I27" s="16" t="n">
        <v>1265.0</v>
      </c>
      <c r="J27" s="16" t="n">
        <v>465.0</v>
      </c>
      <c r="K27">
        <f t="shared" si="1"/>
        <v>18496</v>
      </c>
      <c r="W27" s="9"/>
    </row>
    <row r="28" spans="1:23" x14ac:dyDescent="0.25">
      <c r="A28">
        <v>17</v>
      </c>
      <c r="B28" s="9" t="n">
        <v>9697.932562246315</v>
      </c>
      <c r="C28" s="9" t="n">
        <v>866.3946819228745</v>
      </c>
      <c r="D28" s="9" t="n">
        <v>68.9004302318935</v>
      </c>
      <c r="E28" s="9">
        <f t="shared" si="0"/>
        <v>10633.227674401083</v>
      </c>
      <c r="G28">
        <v>17</v>
      </c>
      <c r="H28" s="16" t="n">
        <v>15054.0</v>
      </c>
      <c r="I28" s="16" t="n">
        <v>1082.0</v>
      </c>
      <c r="J28" s="16" t="n">
        <v>377.0</v>
      </c>
      <c r="K28">
        <f t="shared" si="1"/>
        <v>16339</v>
      </c>
      <c r="W28" s="9"/>
    </row>
    <row r="29" spans="1:23" x14ac:dyDescent="0.25">
      <c r="A29">
        <v>18</v>
      </c>
      <c r="B29" s="9" t="n">
        <v>16254.031013400254</v>
      </c>
      <c r="C29" s="9" t="n">
        <v>664.2315307408313</v>
      </c>
      <c r="D29" s="9" t="n">
        <v>475.916630380096</v>
      </c>
      <c r="E29" s="9">
        <f t="shared" si="0"/>
        <v>17394.179174521181</v>
      </c>
      <c r="G29">
        <v>18</v>
      </c>
      <c r="H29" s="16" t="n">
        <v>13737.0</v>
      </c>
      <c r="I29" s="16" t="n">
        <v>990.0</v>
      </c>
      <c r="J29" s="16" t="n">
        <v>324.0</v>
      </c>
      <c r="K29">
        <f t="shared" si="1"/>
        <v>15052</v>
      </c>
      <c r="W29" s="9"/>
    </row>
    <row r="30" spans="1:23" x14ac:dyDescent="0.25">
      <c r="A30">
        <v>19</v>
      </c>
      <c r="B30" s="9" t="n">
        <v>9487.247350676267</v>
      </c>
      <c r="C30" s="9" t="n">
        <v>931.5760395698326</v>
      </c>
      <c r="D30" s="9" t="n">
        <v>553.3536822557982</v>
      </c>
      <c r="E30" s="9">
        <f t="shared" si="0"/>
        <v>10972.177072501898</v>
      </c>
      <c r="G30">
        <v>19</v>
      </c>
      <c r="H30" s="16" t="n">
        <v>12239.0</v>
      </c>
      <c r="I30" s="16" t="n">
        <v>797.0</v>
      </c>
      <c r="J30" s="16" t="n">
        <v>293.0</v>
      </c>
      <c r="K30">
        <f t="shared" si="1"/>
        <v>13164</v>
      </c>
      <c r="W30" s="9"/>
    </row>
    <row r="31" spans="1:23" x14ac:dyDescent="0.25">
      <c r="A31">
        <v>20</v>
      </c>
      <c r="B31" s="9" t="n">
        <v>7795.627557726514</v>
      </c>
      <c r="C31" s="9" t="n">
        <v>1175.6636605889787</v>
      </c>
      <c r="D31" s="9" t="n">
        <v>0.0</v>
      </c>
      <c r="E31" s="9">
        <f t="shared" si="0"/>
        <v>8971.2912183154931</v>
      </c>
      <c r="G31">
        <v>20</v>
      </c>
      <c r="H31" s="16" t="n">
        <v>10680.0</v>
      </c>
      <c r="I31" s="16" t="n">
        <v>699.0</v>
      </c>
      <c r="J31" s="16" t="n">
        <v>259.0</v>
      </c>
      <c r="K31">
        <f t="shared" si="1"/>
        <v>11314</v>
      </c>
      <c r="W31" s="9"/>
    </row>
    <row r="32" spans="1:23" x14ac:dyDescent="0.25">
      <c r="A32">
        <v>21</v>
      </c>
      <c r="B32" s="9" t="n">
        <v>8577.614199792406</v>
      </c>
      <c r="C32" s="9" t="n">
        <v>609.1842496160423</v>
      </c>
      <c r="D32" s="9" t="n">
        <v>307.7859023640729</v>
      </c>
      <c r="E32" s="9">
        <f t="shared" si="0"/>
        <v>9494.5843517725207</v>
      </c>
      <c r="G32">
        <v>21</v>
      </c>
      <c r="H32" s="16" t="n">
        <v>9663.0</v>
      </c>
      <c r="I32" s="16" t="n">
        <v>685.0</v>
      </c>
      <c r="J32" s="16" t="n">
        <v>225.0</v>
      </c>
      <c r="K32">
        <f t="shared" si="1"/>
        <v>10135</v>
      </c>
      <c r="W32" s="9"/>
    </row>
    <row r="33" spans="1:23" x14ac:dyDescent="0.25">
      <c r="A33">
        <v>22</v>
      </c>
      <c r="B33" s="9" t="n">
        <v>6178.542420908519</v>
      </c>
      <c r="C33" s="9" t="n">
        <v>442.24077876627433</v>
      </c>
      <c r="D33" s="9" t="n">
        <v>0.0</v>
      </c>
      <c r="E33" s="9">
        <f t="shared" si="0"/>
        <v>6620.7831996747927</v>
      </c>
      <c r="G33">
        <v>22</v>
      </c>
      <c r="H33" s="16" t="n">
        <v>8311.0</v>
      </c>
      <c r="I33" s="16" t="n">
        <v>611.0</v>
      </c>
      <c r="J33" s="16" t="n">
        <v>203.0</v>
      </c>
      <c r="K33">
        <f t="shared" si="1"/>
        <v>8997</v>
      </c>
      <c r="W33" s="9"/>
    </row>
    <row r="34" spans="1:23" x14ac:dyDescent="0.25">
      <c r="A34">
        <v>23</v>
      </c>
      <c r="B34" s="9" t="n">
        <v>7726.395766486603</v>
      </c>
      <c r="C34" s="9" t="n">
        <v>688.4434725941691</v>
      </c>
      <c r="D34" s="9" t="n">
        <v>77.7549175564256</v>
      </c>
      <c r="E34" s="9">
        <f t="shared" si="0"/>
        <v>8492.5941566371966</v>
      </c>
      <c r="G34">
        <v>23</v>
      </c>
      <c r="H34" s="16" t="n">
        <v>7717.0</v>
      </c>
      <c r="I34" s="16" t="n">
        <v>501.0</v>
      </c>
      <c r="J34" s="16" t="n">
        <v>169.0</v>
      </c>
      <c r="K34">
        <f t="shared" si="1"/>
        <v>7927</v>
      </c>
      <c r="W34" s="9"/>
    </row>
    <row r="35" spans="1:23" x14ac:dyDescent="0.25">
      <c r="A35">
        <v>24</v>
      </c>
      <c r="B35" s="9" t="n">
        <v>6097.52768144367</v>
      </c>
      <c r="C35" s="9" t="n">
        <v>320.7126175784082</v>
      </c>
      <c r="D35" s="9" t="n">
        <v>309.734259794453</v>
      </c>
      <c r="E35" s="9">
        <f t="shared" si="0"/>
        <v>6727.9745588165315</v>
      </c>
      <c r="G35">
        <v>24</v>
      </c>
      <c r="H35" s="16" t="n">
        <v>6784.0</v>
      </c>
      <c r="I35" s="16" t="n">
        <v>445.0</v>
      </c>
      <c r="J35" s="16" t="n">
        <v>162.0</v>
      </c>
      <c r="K35">
        <f t="shared" si="1"/>
        <v>7121</v>
      </c>
      <c r="W35" s="9"/>
    </row>
    <row r="36" spans="1:23" x14ac:dyDescent="0.25">
      <c r="A36">
        <v>25</v>
      </c>
      <c r="B36" s="9" t="n">
        <v>7237.312620890457</v>
      </c>
      <c r="C36" s="9" t="n">
        <v>93.9903795356894</v>
      </c>
      <c r="D36" s="9" t="n">
        <v>0.0</v>
      </c>
      <c r="E36" s="9">
        <f t="shared" si="0"/>
        <v>7331.3030004261464</v>
      </c>
      <c r="G36">
        <v>25</v>
      </c>
      <c r="H36" s="16" t="n">
        <v>6497.0</v>
      </c>
      <c r="I36" s="16" t="n">
        <v>406.0</v>
      </c>
      <c r="J36" s="16" t="n">
        <v>131.0</v>
      </c>
      <c r="K36">
        <f t="shared" si="1"/>
        <v>6811</v>
      </c>
      <c r="W36" s="9"/>
    </row>
    <row r="37" spans="1:23" x14ac:dyDescent="0.25">
      <c r="A37">
        <v>26</v>
      </c>
      <c r="B37" s="9" t="n">
        <v>6019.442524341712</v>
      </c>
      <c r="C37" s="9" t="n">
        <v>305.380737842253</v>
      </c>
      <c r="D37" s="9" t="n">
        <v>0.0</v>
      </c>
      <c r="E37" s="9">
        <f t="shared" si="0"/>
        <v>6324.8232621839652</v>
      </c>
      <c r="G37">
        <v>26</v>
      </c>
      <c r="H37" s="16" t="n">
        <v>6276.0</v>
      </c>
      <c r="I37" s="16" t="n">
        <v>397.0</v>
      </c>
      <c r="J37" s="16" t="n">
        <v>104.0</v>
      </c>
      <c r="K37">
        <f t="shared" si="1"/>
        <v>6196</v>
      </c>
      <c r="W37" s="9"/>
    </row>
    <row r="38" spans="1:23" x14ac:dyDescent="0.25">
      <c r="A38">
        <v>27</v>
      </c>
      <c r="B38" s="9" t="n">
        <v>3425.972829594738</v>
      </c>
      <c r="C38" s="9" t="n">
        <v>884.2671663960303</v>
      </c>
      <c r="D38" s="9" t="n">
        <v>0.0</v>
      </c>
      <c r="E38" s="9">
        <f t="shared" si="0"/>
        <v>4310.239995990768</v>
      </c>
      <c r="G38">
        <v>27</v>
      </c>
      <c r="H38" s="16" t="n">
        <v>5635.0</v>
      </c>
      <c r="I38" s="16" t="n">
        <v>399.0</v>
      </c>
      <c r="J38" s="16" t="n">
        <v>102.0</v>
      </c>
      <c r="K38">
        <f t="shared" si="1"/>
        <v>5832</v>
      </c>
      <c r="W38" s="9"/>
    </row>
    <row r="39" spans="1:23" x14ac:dyDescent="0.25">
      <c r="A39">
        <v>28</v>
      </c>
      <c r="B39" s="9" t="n">
        <v>5445.242375459139</v>
      </c>
      <c r="C39" s="9" t="n">
        <v>80.8335331016083</v>
      </c>
      <c r="D39" s="9" t="n">
        <v>209.79545951788302</v>
      </c>
      <c r="E39" s="9">
        <f t="shared" si="0"/>
        <v>5735.8713680786304</v>
      </c>
      <c r="G39">
        <v>28</v>
      </c>
      <c r="H39" s="16" t="n">
        <v>5346.0</v>
      </c>
      <c r="I39" s="16" t="n">
        <v>305.0</v>
      </c>
      <c r="J39" s="16" t="n">
        <v>106.0</v>
      </c>
      <c r="K39">
        <f t="shared" si="1"/>
        <v>5464</v>
      </c>
      <c r="W39" s="9"/>
    </row>
    <row r="40" spans="1:23" x14ac:dyDescent="0.25">
      <c r="A40">
        <v>29</v>
      </c>
      <c r="B40" s="9" t="n">
        <v>4431.440119052803</v>
      </c>
      <c r="C40" s="9" t="n">
        <v>154.2550843812376</v>
      </c>
      <c r="D40" s="9" t="n">
        <v>0.0</v>
      </c>
      <c r="E40" s="9">
        <f t="shared" si="0"/>
        <v>4585.6952034340411</v>
      </c>
      <c r="G40">
        <v>29</v>
      </c>
      <c r="H40" s="16" t="n">
        <v>4781.0</v>
      </c>
      <c r="I40" s="16" t="n">
        <v>259.0</v>
      </c>
      <c r="J40" s="16" t="n">
        <v>86.0</v>
      </c>
      <c r="K40">
        <f t="shared" si="1"/>
        <v>4958</v>
      </c>
      <c r="W40" s="9"/>
    </row>
    <row r="41" spans="1:23" x14ac:dyDescent="0.25">
      <c r="A41">
        <v>30</v>
      </c>
      <c r="B41" s="9" t="n">
        <v>5048.631711563361</v>
      </c>
      <c r="C41" s="9" t="n">
        <v>322.663604509022</v>
      </c>
      <c r="D41" s="9" t="n">
        <v>36.2890671170556</v>
      </c>
      <c r="E41" s="9">
        <f t="shared" si="0"/>
        <v>5407.5843831894381</v>
      </c>
      <c r="G41">
        <v>30</v>
      </c>
      <c r="H41" s="16" t="n">
        <v>4484.0</v>
      </c>
      <c r="I41" s="16" t="n">
        <v>262.0</v>
      </c>
      <c r="J41" s="16" t="n">
        <v>83.0</v>
      </c>
      <c r="K41">
        <f t="shared" si="1"/>
        <v>4639</v>
      </c>
      <c r="W41" s="9"/>
    </row>
    <row r="42" spans="1:23" x14ac:dyDescent="0.25">
      <c r="A42">
        <v>31</v>
      </c>
      <c r="B42" s="9" t="n">
        <v>4402.910485116882</v>
      </c>
      <c r="C42" s="9" t="n">
        <v>150.8291320450065</v>
      </c>
      <c r="D42" s="9" t="n">
        <v>0.0</v>
      </c>
      <c r="E42" s="9">
        <f t="shared" si="0"/>
        <v>4553.7396171618884</v>
      </c>
      <c r="G42">
        <v>31</v>
      </c>
      <c r="H42" s="16" t="n">
        <v>4083.0</v>
      </c>
      <c r="I42" s="16" t="n">
        <v>249.0</v>
      </c>
      <c r="J42" s="16" t="n">
        <v>73.0</v>
      </c>
      <c r="K42">
        <f t="shared" si="1"/>
        <v>4159</v>
      </c>
      <c r="W42" s="9"/>
    </row>
    <row r="43" spans="1:23" x14ac:dyDescent="0.25">
      <c r="A43">
        <v>32</v>
      </c>
      <c r="B43" s="9" t="n">
        <v>2359.3342166430425</v>
      </c>
      <c r="C43" s="9" t="n">
        <v>160.4898272695059</v>
      </c>
      <c r="D43" s="9" t="n">
        <v>0.0</v>
      </c>
      <c r="E43" s="9">
        <f t="shared" si="0"/>
        <v>2519.8240439125484</v>
      </c>
      <c r="G43">
        <v>32</v>
      </c>
      <c r="H43" s="16" t="n">
        <v>3488.0</v>
      </c>
      <c r="I43" s="16" t="n">
        <v>182.0</v>
      </c>
      <c r="J43" s="16" t="n">
        <v>53.0</v>
      </c>
      <c r="K43">
        <f t="shared" si="1"/>
        <v>3528</v>
      </c>
      <c r="W43" s="9"/>
    </row>
    <row r="44" spans="1:23" x14ac:dyDescent="0.25">
      <c r="A44">
        <v>33</v>
      </c>
      <c r="B44" s="9" t="n">
        <v>1677.9832842694618</v>
      </c>
      <c r="C44" s="9" t="n">
        <v>27.9760635792779</v>
      </c>
      <c r="D44" s="9" t="n">
        <v>1149.6180320961091</v>
      </c>
      <c r="E44" s="9">
        <f t="shared" si="0"/>
        <v>2855.5773799448489</v>
      </c>
      <c r="G44">
        <v>33</v>
      </c>
      <c r="H44" s="16" t="n">
        <v>2995.0</v>
      </c>
      <c r="I44" s="16" t="n">
        <v>179.0</v>
      </c>
      <c r="J44" s="16" t="n">
        <v>51.0</v>
      </c>
      <c r="K44">
        <f t="shared" si="1"/>
        <v>2969</v>
      </c>
      <c r="W44" s="9"/>
    </row>
    <row r="45" spans="1:23" x14ac:dyDescent="0.25">
      <c r="A45">
        <v>34</v>
      </c>
      <c r="B45" s="9" t="n">
        <v>1766.5037148863323</v>
      </c>
      <c r="C45" s="9" t="n">
        <v>235.6478970811146</v>
      </c>
      <c r="D45" s="9" t="n">
        <v>33.9990190163052</v>
      </c>
      <c r="E45" s="9">
        <f t="shared" si="0"/>
        <v>2036.1506309837523</v>
      </c>
      <c r="G45">
        <v>34</v>
      </c>
      <c r="H45" s="16" t="n">
        <v>2455.0</v>
      </c>
      <c r="I45" s="16" t="n">
        <v>162.0</v>
      </c>
      <c r="J45" s="16" t="n">
        <v>54.0</v>
      </c>
      <c r="K45">
        <f t="shared" si="1"/>
        <v>2458</v>
      </c>
      <c r="W45" s="9"/>
    </row>
    <row r="46" spans="1:23" x14ac:dyDescent="0.25">
      <c r="A46">
        <v>35</v>
      </c>
      <c r="B46" s="9" t="n">
        <v>818.0206453900039</v>
      </c>
      <c r="C46" s="9" t="n">
        <v>150.631131704105</v>
      </c>
      <c r="D46" s="9" t="n">
        <v>0.0</v>
      </c>
      <c r="E46" s="9">
        <f t="shared" si="0"/>
        <v>968.65177709410887</v>
      </c>
      <c r="G46">
        <v>35</v>
      </c>
      <c r="H46" s="16" t="n">
        <v>2045.0</v>
      </c>
      <c r="I46" s="16" t="n">
        <v>129.0</v>
      </c>
      <c r="J46" s="16" t="n">
        <v>36.0</v>
      </c>
      <c r="K46">
        <f t="shared" si="1"/>
        <v>2048</v>
      </c>
      <c r="W46" s="9"/>
    </row>
    <row r="47" spans="1:23" x14ac:dyDescent="0.25">
      <c r="A47">
        <v>36</v>
      </c>
      <c r="B47" s="9" t="n">
        <v>2926.2078326463784</v>
      </c>
      <c r="C47" s="9" t="n">
        <v>309.5349203025685</v>
      </c>
      <c r="D47" s="9" t="n">
        <v>0.0</v>
      </c>
      <c r="E47" s="9">
        <f t="shared" si="0"/>
        <v>3235.7427529489469</v>
      </c>
      <c r="G47">
        <v>36</v>
      </c>
      <c r="H47" s="16" t="n">
        <v>1758.0</v>
      </c>
      <c r="I47" s="16" t="n">
        <v>114.0</v>
      </c>
      <c r="J47" s="16" t="n">
        <v>43.0</v>
      </c>
      <c r="K47">
        <f t="shared" si="1"/>
        <v>1718</v>
      </c>
      <c r="W47" s="9"/>
    </row>
    <row r="48" spans="1:23" x14ac:dyDescent="0.25">
      <c r="A48">
        <v>37</v>
      </c>
      <c r="B48" s="9" t="n">
        <v>1210.323475745714</v>
      </c>
      <c r="C48" s="9" t="n">
        <v>133.725294944298</v>
      </c>
      <c r="D48" s="9" t="n">
        <v>0.0</v>
      </c>
      <c r="E48" s="9">
        <f t="shared" si="0"/>
        <v>1344.0487706900119</v>
      </c>
      <c r="G48">
        <v>37</v>
      </c>
      <c r="H48" s="16" t="n">
        <v>1554.0</v>
      </c>
      <c r="I48" s="16" t="n">
        <v>91.0</v>
      </c>
      <c r="J48" s="16" t="n">
        <v>29.0</v>
      </c>
      <c r="K48">
        <f t="shared" si="1"/>
        <v>1497</v>
      </c>
      <c r="W48" s="9"/>
    </row>
    <row r="49" spans="1:23" x14ac:dyDescent="0.25">
      <c r="A49">
        <v>38</v>
      </c>
      <c r="B49" s="9" t="n">
        <v>1234.2175668411405</v>
      </c>
      <c r="C49" s="9" t="n">
        <v>0.0</v>
      </c>
      <c r="D49" s="9" t="n">
        <v>53.7405419735351</v>
      </c>
      <c r="E49" s="9">
        <f t="shared" si="0"/>
        <v>1287.9581088146756</v>
      </c>
      <c r="G49">
        <v>38</v>
      </c>
      <c r="H49" s="16" t="n">
        <v>1294.0</v>
      </c>
      <c r="I49" s="16" t="n">
        <v>97.0</v>
      </c>
      <c r="J49" s="16" t="n">
        <v>21.0</v>
      </c>
      <c r="K49">
        <f t="shared" si="1"/>
        <v>1243</v>
      </c>
      <c r="W49" s="9"/>
    </row>
    <row r="50" spans="1:23" x14ac:dyDescent="0.25">
      <c r="A50">
        <v>39</v>
      </c>
      <c r="B50" s="9" t="n">
        <v>1405.274859274701</v>
      </c>
      <c r="C50" s="9" t="n">
        <v>0.0</v>
      </c>
      <c r="D50" s="9" t="n">
        <v>0.0</v>
      </c>
      <c r="E50" s="9">
        <f t="shared" si="0"/>
        <v>1405.2748592747009</v>
      </c>
      <c r="G50">
        <v>39</v>
      </c>
      <c r="H50" s="16" t="n">
        <v>1153.0</v>
      </c>
      <c r="I50" s="16" t="n">
        <v>81.0</v>
      </c>
      <c r="J50" s="16" t="n">
        <v>26.0</v>
      </c>
      <c r="K50">
        <f t="shared" si="1"/>
        <v>1080</v>
      </c>
      <c r="W50" s="9"/>
    </row>
    <row r="51" spans="1:23" x14ac:dyDescent="0.25">
      <c r="A51">
        <v>40</v>
      </c>
      <c r="B51" s="9" t="n">
        <v>1353.3065641935718</v>
      </c>
      <c r="C51" s="9" t="n">
        <v>0.0</v>
      </c>
      <c r="D51" s="9" t="n">
        <v>0.0</v>
      </c>
      <c r="E51" s="9">
        <f t="shared" si="0"/>
        <v>1353.3065641935718</v>
      </c>
      <c r="G51">
        <v>40</v>
      </c>
      <c r="H51" s="16" t="n">
        <v>975.0</v>
      </c>
      <c r="I51" s="16" t="n">
        <v>84.0</v>
      </c>
      <c r="J51" s="16" t="n">
        <v>15.0</v>
      </c>
      <c r="K51">
        <f t="shared" si="1"/>
        <v>823</v>
      </c>
      <c r="W51" s="9"/>
    </row>
    <row r="52" spans="1:23" x14ac:dyDescent="0.25">
      <c r="A52">
        <v>41</v>
      </c>
      <c r="B52" s="9" t="n">
        <v>732.1362205417386</v>
      </c>
      <c r="C52" s="9" t="n">
        <v>0.0</v>
      </c>
      <c r="D52" s="9" t="n">
        <v>0.0</v>
      </c>
      <c r="E52" s="9">
        <f t="shared" si="0"/>
        <v>732.13622054173857</v>
      </c>
      <c r="G52">
        <v>41</v>
      </c>
      <c r="H52" s="16" t="n">
        <v>859.0</v>
      </c>
      <c r="I52" s="16" t="n">
        <v>61.0</v>
      </c>
      <c r="J52" s="16" t="n">
        <v>22.0</v>
      </c>
      <c r="K52">
        <f t="shared" si="1"/>
        <v>808</v>
      </c>
      <c r="W52" s="9"/>
    </row>
    <row r="53" spans="1:23" x14ac:dyDescent="0.25">
      <c r="A53">
        <v>42</v>
      </c>
      <c r="B53" s="9" t="n">
        <v>587.0407075530967</v>
      </c>
      <c r="C53" s="9" t="n">
        <v>27.2746259405429</v>
      </c>
      <c r="D53" s="9" t="n">
        <v>0.0</v>
      </c>
      <c r="E53" s="9">
        <f t="shared" si="0"/>
        <v>614.31533349363963</v>
      </c>
      <c r="G53">
        <v>42</v>
      </c>
      <c r="H53" s="16" t="n">
        <v>701.0</v>
      </c>
      <c r="I53" s="16" t="n">
        <v>88.0</v>
      </c>
      <c r="J53" s="16" t="n">
        <v>12.0</v>
      </c>
      <c r="K53">
        <f t="shared" si="1"/>
        <v>703</v>
      </c>
      <c r="W53" s="9"/>
    </row>
    <row r="54" spans="1:23" x14ac:dyDescent="0.25">
      <c r="A54">
        <v>43</v>
      </c>
      <c r="B54" s="9" t="n">
        <v>1363.3941063022062</v>
      </c>
      <c r="C54" s="9" t="n">
        <v>74.2925044326287</v>
      </c>
      <c r="D54" s="9" t="n">
        <v>0.0</v>
      </c>
      <c r="E54" s="9">
        <f t="shared" si="0"/>
        <v>1437.6866107348349</v>
      </c>
      <c r="G54">
        <v>43</v>
      </c>
      <c r="H54" s="16" t="n">
        <v>640.0</v>
      </c>
      <c r="I54" s="16" t="n">
        <v>66.0</v>
      </c>
      <c r="J54" s="16" t="n">
        <v>11.0</v>
      </c>
      <c r="K54">
        <f t="shared" si="1"/>
        <v>591</v>
      </c>
      <c r="W54" s="9"/>
    </row>
    <row r="55" spans="1:23" x14ac:dyDescent="0.25">
      <c r="A55">
        <v>44</v>
      </c>
      <c r="B55" s="9" t="n">
        <v>403.0727952538455</v>
      </c>
      <c r="C55" s="9" t="n">
        <v>0.0</v>
      </c>
      <c r="D55" s="9" t="n">
        <v>0.0</v>
      </c>
      <c r="E55" s="9">
        <f t="shared" si="0"/>
        <v>403.07279525384553</v>
      </c>
      <c r="G55">
        <v>44</v>
      </c>
      <c r="H55" s="16" t="n">
        <v>460.0</v>
      </c>
      <c r="I55" s="16" t="n">
        <v>52.0</v>
      </c>
      <c r="J55" s="16" t="n">
        <v>12.0</v>
      </c>
      <c r="K55">
        <f t="shared" si="1"/>
        <v>441</v>
      </c>
      <c r="W55" s="9"/>
    </row>
    <row r="56" spans="1:23" x14ac:dyDescent="0.25">
      <c r="A56">
        <v>45</v>
      </c>
      <c r="B56" s="9" t="n">
        <v>753.639016977397</v>
      </c>
      <c r="C56" s="9" t="n">
        <v>0.0</v>
      </c>
      <c r="D56" s="9" t="n">
        <v>0.0</v>
      </c>
      <c r="E56" s="9">
        <f t="shared" si="0"/>
        <v>753.63901697739698</v>
      </c>
      <c r="G56">
        <v>45</v>
      </c>
      <c r="H56" s="16" t="n">
        <v>421.0</v>
      </c>
      <c r="I56" s="16" t="n">
        <v>39.0</v>
      </c>
      <c r="J56" s="16" t="n">
        <v>4.0</v>
      </c>
      <c r="K56">
        <f t="shared" si="1"/>
        <v>378</v>
      </c>
      <c r="W56" s="9"/>
    </row>
    <row r="57" spans="1:23" x14ac:dyDescent="0.25">
      <c r="A57">
        <v>46</v>
      </c>
      <c r="B57" s="9" t="n">
        <v>1358.7422422958373</v>
      </c>
      <c r="C57" s="9" t="n">
        <v>0.0</v>
      </c>
      <c r="D57" s="9" t="n">
        <v>0.0</v>
      </c>
      <c r="E57" s="9">
        <f t="shared" si="0"/>
        <v>1358.7422422958373</v>
      </c>
      <c r="G57">
        <v>46</v>
      </c>
      <c r="H57" s="16" t="n">
        <v>353.0</v>
      </c>
      <c r="I57" s="16" t="n">
        <v>43.0</v>
      </c>
      <c r="J57" s="16" t="n">
        <v>5.0</v>
      </c>
      <c r="K57">
        <f t="shared" si="1"/>
        <v>325</v>
      </c>
      <c r="W57" s="9"/>
    </row>
    <row r="58" spans="1:23" x14ac:dyDescent="0.25">
      <c r="A58">
        <v>47</v>
      </c>
      <c r="B58" s="9" t="n">
        <v>194.40680958973</v>
      </c>
      <c r="C58" s="9" t="n">
        <v>0.0</v>
      </c>
      <c r="D58" s="9" t="n">
        <v>0.0</v>
      </c>
      <c r="E58" s="9">
        <f t="shared" si="0"/>
        <v>194.40680958972999</v>
      </c>
      <c r="G58">
        <v>47</v>
      </c>
      <c r="H58" s="16" t="n">
        <v>323.0</v>
      </c>
      <c r="I58" s="16" t="n">
        <v>34.0</v>
      </c>
      <c r="J58" s="16" t="n">
        <v>7.0</v>
      </c>
      <c r="K58">
        <f t="shared" si="1"/>
        <v>291</v>
      </c>
      <c r="W58" s="9"/>
    </row>
    <row r="59" spans="1:23" x14ac:dyDescent="0.25">
      <c r="A59">
        <v>48</v>
      </c>
      <c r="B59" s="9" t="n">
        <v>471.4838157559356</v>
      </c>
      <c r="C59" s="9" t="n">
        <v>0.0</v>
      </c>
      <c r="D59" s="9" t="n">
        <v>0.0</v>
      </c>
      <c r="E59" s="9">
        <f t="shared" si="0"/>
        <v>471.48381575593561</v>
      </c>
      <c r="G59">
        <v>48</v>
      </c>
      <c r="H59" s="16" t="n">
        <v>270.0</v>
      </c>
      <c r="I59" s="16" t="n">
        <v>30.0</v>
      </c>
      <c r="J59" s="16" t="n">
        <v>9.0</v>
      </c>
      <c r="K59">
        <f t="shared" si="1"/>
        <v>232</v>
      </c>
      <c r="W59" s="9"/>
    </row>
    <row r="60" spans="1:23" x14ac:dyDescent="0.25">
      <c r="A60">
        <v>49</v>
      </c>
      <c r="B60" s="9" t="n">
        <v>239.0000548058428</v>
      </c>
      <c r="C60" s="9" t="n">
        <v>0.0</v>
      </c>
      <c r="D60" s="9" t="n">
        <v>0.0</v>
      </c>
      <c r="E60" s="9">
        <f t="shared" si="0"/>
        <v>239.00005480584281</v>
      </c>
      <c r="G60">
        <v>49</v>
      </c>
      <c r="H60" s="16" t="n">
        <v>211.0</v>
      </c>
      <c r="I60" s="16" t="n">
        <v>27.0</v>
      </c>
      <c r="J60" s="16" t="n">
        <v>3.0</v>
      </c>
      <c r="K60">
        <f t="shared" si="1"/>
        <v>160</v>
      </c>
      <c r="W60" s="9"/>
    </row>
    <row r="61" spans="1:23" x14ac:dyDescent="0.25">
      <c r="A61">
        <v>50</v>
      </c>
      <c r="B61" s="9" t="n">
        <v>328.5139676563087</v>
      </c>
      <c r="C61" s="9" t="n">
        <v>0.0</v>
      </c>
      <c r="D61" s="9" t="n">
        <v>0.0</v>
      </c>
      <c r="E61" s="9">
        <f t="shared" si="0"/>
        <v>328.51396765630869</v>
      </c>
      <c r="G61">
        <v>50</v>
      </c>
      <c r="H61" s="16" t="n">
        <v>192.0</v>
      </c>
      <c r="I61" s="16" t="n">
        <v>33.0</v>
      </c>
      <c r="J61" s="16" t="n">
        <v>3.0</v>
      </c>
      <c r="K61">
        <f t="shared" si="1"/>
        <v>166</v>
      </c>
      <c r="W61" s="9"/>
    </row>
    <row r="62" spans="1:23" x14ac:dyDescent="0.25">
      <c r="A62">
        <v>51</v>
      </c>
      <c r="B62" s="9" t="n">
        <v>748.353361101959</v>
      </c>
      <c r="C62" s="9" t="n">
        <v>41.8458826914718</v>
      </c>
      <c r="D62" s="9" t="n">
        <v>0.0</v>
      </c>
      <c r="E62" s="9">
        <f t="shared" si="0"/>
        <v>790.19924379343081</v>
      </c>
      <c r="G62">
        <v>51</v>
      </c>
      <c r="H62" s="16" t="n">
        <v>169.0</v>
      </c>
      <c r="I62" s="16" t="n">
        <v>24.0</v>
      </c>
      <c r="J62" s="16" t="n">
        <v>1.0</v>
      </c>
      <c r="K62">
        <f t="shared" si="1"/>
        <v>120</v>
      </c>
      <c r="W62" s="9"/>
    </row>
    <row r="63" spans="1:23" x14ac:dyDescent="0.25">
      <c r="A63">
        <v>52</v>
      </c>
      <c r="B63" s="9" t="n">
        <v>788.2869326627972</v>
      </c>
      <c r="C63" s="9" t="n">
        <v>0.0</v>
      </c>
      <c r="D63" s="9" t="n">
        <v>0.0</v>
      </c>
      <c r="E63" s="9">
        <f t="shared" si="0"/>
        <v>788.2869326627972</v>
      </c>
      <c r="G63">
        <v>52</v>
      </c>
      <c r="H63" s="16" t="n">
        <v>135.0</v>
      </c>
      <c r="I63" s="16" t="n">
        <v>24.0</v>
      </c>
      <c r="J63" s="16" t="n">
        <v>0.0</v>
      </c>
      <c r="K63">
        <f t="shared" si="1"/>
        <v>97</v>
      </c>
      <c r="W63" s="9"/>
    </row>
    <row r="64" spans="1:23" x14ac:dyDescent="0.25">
      <c r="A64">
        <v>53</v>
      </c>
      <c r="B64" s="9" t="n">
        <v>128.8863539203306</v>
      </c>
      <c r="C64" s="9" t="n">
        <v>0.0</v>
      </c>
      <c r="D64" s="9" t="n">
        <v>0.0</v>
      </c>
      <c r="E64" s="9">
        <f t="shared" si="0"/>
        <v>128.88635392033061</v>
      </c>
      <c r="G64">
        <v>53</v>
      </c>
      <c r="H64" s="16" t="n">
        <v>125.0</v>
      </c>
      <c r="I64" s="16" t="n">
        <v>27.0</v>
      </c>
      <c r="J64" s="16" t="n">
        <v>1.0</v>
      </c>
      <c r="K64">
        <f t="shared" si="1"/>
        <v>78</v>
      </c>
      <c r="W64" s="9"/>
    </row>
    <row r="65" spans="1:23" x14ac:dyDescent="0.25">
      <c r="A65">
        <v>54</v>
      </c>
      <c r="B65" s="9" t="n">
        <v>0.0</v>
      </c>
      <c r="C65" s="9" t="n">
        <v>0.0</v>
      </c>
      <c r="D65" s="9" t="n">
        <v>0.0</v>
      </c>
      <c r="E65" s="9">
        <f t="shared" si="0"/>
        <v>0</v>
      </c>
      <c r="G65">
        <v>54</v>
      </c>
      <c r="H65" s="16" t="n">
        <v>76.0</v>
      </c>
      <c r="I65" s="16" t="n">
        <v>14.0</v>
      </c>
      <c r="J65" s="16" t="n">
        <v>2.0</v>
      </c>
      <c r="K65">
        <f t="shared" si="1"/>
        <v>72</v>
      </c>
      <c r="W65" s="9"/>
    </row>
    <row r="66" spans="1:23" x14ac:dyDescent="0.25">
      <c r="A66">
        <v>55</v>
      </c>
      <c r="B66" s="9" t="n">
        <v>0.0</v>
      </c>
      <c r="C66" s="9" t="n">
        <v>0.0</v>
      </c>
      <c r="D66" s="9" t="n">
        <v>0.0</v>
      </c>
      <c r="E66" s="9">
        <f t="shared" si="0"/>
        <v>0</v>
      </c>
      <c r="G66">
        <v>55</v>
      </c>
      <c r="H66" s="16" t="n">
        <v>90.0</v>
      </c>
      <c r="I66" s="16" t="n">
        <v>26.0</v>
      </c>
      <c r="J66" s="16" t="n">
        <v>1.0</v>
      </c>
      <c r="K66">
        <f t="shared" si="1"/>
        <v>60</v>
      </c>
      <c r="W66" s="9"/>
    </row>
    <row r="67" spans="1:23" x14ac:dyDescent="0.25">
      <c r="A67">
        <v>56</v>
      </c>
      <c r="B67" s="9" t="n">
        <v>544.712633504951</v>
      </c>
      <c r="C67" s="9" t="n">
        <v>0.0</v>
      </c>
      <c r="D67" s="9" t="n">
        <v>0.0</v>
      </c>
      <c r="E67" s="9">
        <f t="shared" si="0"/>
        <v>544.71263350495099</v>
      </c>
      <c r="G67">
        <v>56</v>
      </c>
      <c r="H67" s="16" t="n">
        <v>73.0</v>
      </c>
      <c r="I67" s="16" t="n">
        <v>24.0</v>
      </c>
      <c r="J67" s="16" t="n">
        <v>4.0</v>
      </c>
      <c r="K67">
        <f t="shared" si="1"/>
        <v>46</v>
      </c>
      <c r="W67" s="9"/>
    </row>
    <row r="68" spans="1:23" x14ac:dyDescent="0.25">
      <c r="A68">
        <v>57</v>
      </c>
      <c r="B68" s="9" t="n">
        <v>0.0</v>
      </c>
      <c r="C68" s="9" t="n">
        <v>0.0</v>
      </c>
      <c r="D68" s="9" t="n">
        <v>0.0</v>
      </c>
      <c r="E68" s="9">
        <f t="shared" si="0"/>
        <v>0</v>
      </c>
      <c r="G68">
        <v>57</v>
      </c>
      <c r="H68" s="16" t="n">
        <v>75.0</v>
      </c>
      <c r="I68" s="16" t="n">
        <v>17.0</v>
      </c>
      <c r="J68" s="16" t="n">
        <v>1.0</v>
      </c>
      <c r="K68">
        <f t="shared" si="1"/>
        <v>35</v>
      </c>
      <c r="W68" s="9"/>
    </row>
    <row r="69" spans="1:23" x14ac:dyDescent="0.25">
      <c r="A69">
        <v>58</v>
      </c>
      <c r="B69" s="9" t="n">
        <v>0.0</v>
      </c>
      <c r="C69" s="9" t="n">
        <v>0.0</v>
      </c>
      <c r="D69" s="9" t="n">
        <v>0.0</v>
      </c>
      <c r="E69" s="9">
        <f t="shared" si="0"/>
        <v>0</v>
      </c>
      <c r="G69">
        <v>58</v>
      </c>
      <c r="H69" s="16" t="n">
        <v>52.0</v>
      </c>
      <c r="I69" s="16" t="n">
        <v>11.0</v>
      </c>
      <c r="J69" s="16" t="n">
        <v>2.0</v>
      </c>
      <c r="K69">
        <f t="shared" si="1"/>
        <v>27</v>
      </c>
      <c r="W69" s="9"/>
    </row>
    <row r="70" spans="1:23" x14ac:dyDescent="0.25">
      <c r="A70">
        <v>59</v>
      </c>
      <c r="B70" s="9" t="n">
        <v>0.0</v>
      </c>
      <c r="C70" s="9" t="n">
        <v>34.3455237132042</v>
      </c>
      <c r="D70" s="9" t="n">
        <v>0.0</v>
      </c>
      <c r="E70" s="9">
        <f t="shared" si="0"/>
        <v>34.345523713204201</v>
      </c>
      <c r="G70">
        <v>59</v>
      </c>
      <c r="H70" s="16" t="n">
        <v>71.0</v>
      </c>
      <c r="I70" s="16" t="n">
        <v>20.0</v>
      </c>
      <c r="J70" s="16" t="n">
        <v>5.0</v>
      </c>
      <c r="K70">
        <f t="shared" si="1"/>
        <v>26</v>
      </c>
      <c r="W70" s="9"/>
    </row>
    <row r="71" spans="1:23" x14ac:dyDescent="0.25">
      <c r="A71">
        <v>60</v>
      </c>
      <c r="B71" s="9" t="n">
        <v>80.6787613869614</v>
      </c>
      <c r="C71" s="9" t="n">
        <v>0.0</v>
      </c>
      <c r="D71" s="9" t="n">
        <v>0.0</v>
      </c>
      <c r="E71" s="9">
        <f t="shared" si="0"/>
        <v>80.678761386961398</v>
      </c>
      <c r="G71">
        <v>60</v>
      </c>
      <c r="H71" s="16" t="n">
        <v>35.0</v>
      </c>
      <c r="I71" s="16" t="n">
        <v>8.0</v>
      </c>
      <c r="J71" s="16" t="n">
        <v>3.0</v>
      </c>
      <c r="K71">
        <f t="shared" si="1"/>
        <v>17</v>
      </c>
      <c r="W71" s="9"/>
    </row>
    <row r="72" spans="1:23" x14ac:dyDescent="0.25">
      <c r="A72">
        <v>61</v>
      </c>
      <c r="B72" s="9" t="n">
        <v>0.0</v>
      </c>
      <c r="C72" s="9" t="n">
        <v>0.0</v>
      </c>
      <c r="D72" s="9" t="n">
        <v>0.0</v>
      </c>
      <c r="E72" s="9">
        <f t="shared" si="0"/>
        <v>0</v>
      </c>
      <c r="G72">
        <v>61</v>
      </c>
      <c r="H72" s="16" t="n">
        <v>46.0</v>
      </c>
      <c r="I72" s="16" t="n">
        <v>16.0</v>
      </c>
      <c r="J72" s="16" t="n">
        <v>2.0</v>
      </c>
      <c r="K72">
        <f t="shared" si="1"/>
        <v>12</v>
      </c>
      <c r="W72" s="9"/>
    </row>
    <row r="73" spans="1:23" x14ac:dyDescent="0.25">
      <c r="A73">
        <v>62</v>
      </c>
      <c r="B73" s="9" t="n">
        <v>0.0</v>
      </c>
      <c r="C73" s="9" t="n">
        <v>0.0</v>
      </c>
      <c r="D73" s="9" t="n">
        <v>0.0</v>
      </c>
      <c r="E73" s="9">
        <f t="shared" si="0"/>
        <v>0</v>
      </c>
      <c r="G73">
        <v>62</v>
      </c>
      <c r="H73" s="16" t="n">
        <v>24.0</v>
      </c>
      <c r="I73" s="16" t="n">
        <v>7.0</v>
      </c>
      <c r="J73" s="16" t="n">
        <v>0.0</v>
      </c>
      <c r="K73">
        <f t="shared" si="1"/>
        <v>11</v>
      </c>
      <c r="W73" s="9"/>
    </row>
    <row r="74" spans="1:23" x14ac:dyDescent="0.25">
      <c r="A74">
        <v>63</v>
      </c>
      <c r="B74" s="9" t="n">
        <v>74.3866041701779</v>
      </c>
      <c r="C74" s="9" t="n">
        <v>0.0</v>
      </c>
      <c r="D74" s="9" t="n">
        <v>0.0</v>
      </c>
      <c r="E74" s="9">
        <f t="shared" si="0"/>
        <v>74.386604170177904</v>
      </c>
      <c r="G74">
        <v>63</v>
      </c>
      <c r="H74" s="16" t="n">
        <v>31.0</v>
      </c>
      <c r="I74" s="16" t="n">
        <v>15.0</v>
      </c>
      <c r="J74" s="16" t="n">
        <v>0.0</v>
      </c>
      <c r="K74">
        <f t="shared" si="1"/>
        <v>8</v>
      </c>
      <c r="W74" s="9"/>
    </row>
    <row r="75" spans="1:23" x14ac:dyDescent="0.25">
      <c r="A75">
        <v>64</v>
      </c>
      <c r="B75" s="9" t="n">
        <v>0.0</v>
      </c>
      <c r="C75" s="9" t="n">
        <v>0.0</v>
      </c>
      <c r="D75" s="9" t="n">
        <v>0.0</v>
      </c>
      <c r="E75" s="9">
        <f t="shared" si="0"/>
        <v>0</v>
      </c>
      <c r="G75">
        <v>64</v>
      </c>
      <c r="H75" s="16" t="n">
        <v>29.0</v>
      </c>
      <c r="I75" s="16" t="n">
        <v>12.0</v>
      </c>
      <c r="J75" s="16" t="n">
        <v>1.0</v>
      </c>
      <c r="K75">
        <f t="shared" si="1"/>
        <v>5</v>
      </c>
      <c r="W75" s="9"/>
    </row>
    <row r="76" spans="1:23" x14ac:dyDescent="0.25">
      <c r="A76">
        <v>65</v>
      </c>
      <c r="B76" s="9" t="n">
        <v>0.0</v>
      </c>
      <c r="C76" s="9" t="n">
        <v>0.0</v>
      </c>
      <c r="D76" s="9" t="n">
        <v>0.0</v>
      </c>
      <c r="E76" s="9">
        <f t="shared" ref="E76:E100" si="2">SUM(B76:D76)</f>
        <v>0</v>
      </c>
      <c r="G76">
        <v>65</v>
      </c>
      <c r="H76" s="16" t="n">
        <v>39.0</v>
      </c>
      <c r="I76" s="16" t="n">
        <v>14.0</v>
      </c>
      <c r="J76" s="16" t="n">
        <v>1.0</v>
      </c>
      <c r="K76">
        <f t="shared" ref="K76:K101" si="3">SUM(H76:J76)</f>
        <v>1</v>
      </c>
      <c r="W76" s="9"/>
    </row>
    <row r="77" spans="1:23" x14ac:dyDescent="0.25">
      <c r="A77">
        <v>66</v>
      </c>
      <c r="B77" s="9" t="n">
        <v>0.0</v>
      </c>
      <c r="C77" s="9" t="n">
        <v>0.0</v>
      </c>
      <c r="D77" s="9" t="n">
        <v>0.0</v>
      </c>
      <c r="E77" s="9">
        <f t="shared" si="2"/>
        <v>0</v>
      </c>
      <c r="G77">
        <v>66</v>
      </c>
      <c r="H77" s="16" t="n">
        <v>32.0</v>
      </c>
      <c r="I77" s="16" t="n">
        <v>14.0</v>
      </c>
      <c r="J77" s="16" t="n">
        <v>0.0</v>
      </c>
      <c r="K77">
        <f t="shared" si="3"/>
        <v>3</v>
      </c>
      <c r="W77" s="9"/>
    </row>
    <row r="78" spans="1:23" x14ac:dyDescent="0.25">
      <c r="A78">
        <v>67</v>
      </c>
      <c r="B78" s="9" t="n">
        <v>0.0</v>
      </c>
      <c r="C78" s="9" t="n">
        <v>0.0</v>
      </c>
      <c r="D78" s="9" t="n">
        <v>0.0</v>
      </c>
      <c r="E78" s="9">
        <f t="shared" si="2"/>
        <v>0</v>
      </c>
      <c r="G78">
        <v>67</v>
      </c>
      <c r="H78" s="16" t="n">
        <v>26.0</v>
      </c>
      <c r="I78" s="16" t="n">
        <v>8.0</v>
      </c>
      <c r="J78" s="16" t="n">
        <v>1.0</v>
      </c>
      <c r="K78">
        <f t="shared" si="3"/>
        <v>5</v>
      </c>
      <c r="W78" s="9"/>
    </row>
    <row r="79" spans="1:23" x14ac:dyDescent="0.25">
      <c r="A79">
        <v>68</v>
      </c>
      <c r="B79" s="9" t="n">
        <v>0.0</v>
      </c>
      <c r="C79" s="9" t="n">
        <v>0.0</v>
      </c>
      <c r="D79" s="9" t="n">
        <v>0.0</v>
      </c>
      <c r="E79" s="9">
        <f t="shared" si="2"/>
        <v>0</v>
      </c>
      <c r="G79">
        <v>68</v>
      </c>
      <c r="H79" s="16" t="n">
        <v>34.0</v>
      </c>
      <c r="I79" s="16" t="n">
        <v>8.0</v>
      </c>
      <c r="J79" s="16" t="n">
        <v>1.0</v>
      </c>
      <c r="K79">
        <f t="shared" si="3"/>
        <v>1</v>
      </c>
      <c r="W79" s="9"/>
    </row>
    <row r="80" spans="1:23" x14ac:dyDescent="0.25">
      <c r="A80">
        <v>69</v>
      </c>
      <c r="B80" s="9" t="n">
        <v>0.0</v>
      </c>
      <c r="C80" s="9" t="n">
        <v>0.0</v>
      </c>
      <c r="D80" s="9" t="n">
        <v>0.0</v>
      </c>
      <c r="E80" s="9">
        <f t="shared" si="2"/>
        <v>0</v>
      </c>
      <c r="G80">
        <v>69</v>
      </c>
      <c r="H80" s="16" t="n">
        <v>15.0</v>
      </c>
      <c r="I80" s="16" t="n">
        <v>10.0</v>
      </c>
      <c r="J80" s="16" t="n">
        <v>1.0</v>
      </c>
      <c r="K80">
        <f t="shared" si="3"/>
        <v>3</v>
      </c>
      <c r="W80" s="9"/>
    </row>
    <row r="81" spans="1:23" x14ac:dyDescent="0.25">
      <c r="A81">
        <v>70</v>
      </c>
      <c r="B81" s="9" t="n">
        <v>0.0</v>
      </c>
      <c r="C81" s="9" t="n">
        <v>0.0</v>
      </c>
      <c r="D81" s="9" t="n">
        <v>0.0</v>
      </c>
      <c r="E81" s="9">
        <f t="shared" si="2"/>
        <v>0</v>
      </c>
      <c r="G81">
        <v>70</v>
      </c>
      <c r="H81" s="16" t="n">
        <v>25.0</v>
      </c>
      <c r="I81" s="16" t="n">
        <v>10.0</v>
      </c>
      <c r="J81" s="16" t="n">
        <v>0.0</v>
      </c>
      <c r="K81">
        <f t="shared" si="3"/>
        <v>0</v>
      </c>
      <c r="W81" s="9"/>
    </row>
    <row r="82" spans="1:23" x14ac:dyDescent="0.25">
      <c r="A82">
        <v>71</v>
      </c>
      <c r="B82" s="9" t="n">
        <v>0.0</v>
      </c>
      <c r="C82" s="9" t="n">
        <v>0.0</v>
      </c>
      <c r="D82" s="9" t="n">
        <v>0.0</v>
      </c>
      <c r="E82" s="9">
        <f t="shared" si="2"/>
        <v>0</v>
      </c>
      <c r="G82">
        <v>71</v>
      </c>
      <c r="H82" s="16" t="n">
        <v>9.0</v>
      </c>
      <c r="I82" s="16" t="n">
        <v>4.0</v>
      </c>
      <c r="J82" s="16" t="n">
        <v>0.0</v>
      </c>
      <c r="K82">
        <f t="shared" si="3"/>
        <v>3</v>
      </c>
      <c r="W82" s="9"/>
    </row>
    <row r="83" spans="1:23" x14ac:dyDescent="0.25">
      <c r="A83">
        <v>72</v>
      </c>
      <c r="B83" s="9" t="n">
        <v>0.0</v>
      </c>
      <c r="C83" s="9" t="n">
        <v>0.0</v>
      </c>
      <c r="D83" s="9" t="n">
        <v>0.0</v>
      </c>
      <c r="E83" s="9">
        <f t="shared" si="2"/>
        <v>0</v>
      </c>
      <c r="G83">
        <v>72</v>
      </c>
      <c r="H83" s="16" t="n">
        <v>18.0</v>
      </c>
      <c r="I83" s="16" t="n">
        <v>8.0</v>
      </c>
      <c r="J83" s="16" t="n">
        <v>1.0</v>
      </c>
      <c r="K83">
        <f t="shared" si="3"/>
        <v>1</v>
      </c>
      <c r="W83" s="9"/>
    </row>
    <row r="84" spans="1:23" x14ac:dyDescent="0.25">
      <c r="A84">
        <v>73</v>
      </c>
      <c r="B84" s="9" t="n">
        <v>0.0</v>
      </c>
      <c r="C84" s="9" t="n">
        <v>0.0</v>
      </c>
      <c r="D84" s="9" t="n">
        <v>0.0</v>
      </c>
      <c r="E84" s="9">
        <f t="shared" si="2"/>
        <v>0</v>
      </c>
      <c r="G84">
        <v>73</v>
      </c>
      <c r="H84" s="16" t="n">
        <v>10.0</v>
      </c>
      <c r="I84" t="n">
        <v>7.0</v>
      </c>
      <c r="J84" s="16" t="n">
        <v>1.0</v>
      </c>
      <c r="K84">
        <f t="shared" si="3"/>
        <v>2</v>
      </c>
      <c r="W84" s="9"/>
    </row>
    <row r="85" spans="1:23" x14ac:dyDescent="0.25">
      <c r="A85">
        <v>74</v>
      </c>
      <c r="B85" s="9" t="n">
        <v>0.0</v>
      </c>
      <c r="C85" s="9" t="n">
        <v>0.0</v>
      </c>
      <c r="D85" s="9" t="n">
        <v>0.0</v>
      </c>
      <c r="E85" s="9">
        <f t="shared" si="2"/>
        <v>0</v>
      </c>
      <c r="G85">
        <v>74</v>
      </c>
      <c r="H85" s="16" t="n">
        <v>23.0</v>
      </c>
      <c r="I85" s="16" t="n">
        <v>11.0</v>
      </c>
      <c r="J85" s="16" t="n">
        <v>1.0</v>
      </c>
      <c r="K85">
        <f t="shared" si="3"/>
        <v>0</v>
      </c>
      <c r="W85" s="9"/>
    </row>
    <row r="86" spans="1:23" x14ac:dyDescent="0.25">
      <c r="A86">
        <v>75</v>
      </c>
      <c r="B86" s="9" t="n">
        <v>0.0</v>
      </c>
      <c r="C86" s="9" t="n">
        <v>0.0</v>
      </c>
      <c r="D86" s="9" t="n">
        <v>0.0</v>
      </c>
      <c r="E86" s="9">
        <f t="shared" si="2"/>
        <v>0</v>
      </c>
      <c r="G86">
        <v>75</v>
      </c>
      <c r="H86" s="16" t="n">
        <v>15.0</v>
      </c>
      <c r="I86" t="n">
        <v>5.0</v>
      </c>
      <c r="J86" s="16" t="n">
        <v>0.0</v>
      </c>
      <c r="K86">
        <f t="shared" si="3"/>
        <v>1</v>
      </c>
      <c r="W86" s="9"/>
    </row>
    <row r="87" spans="1:23" x14ac:dyDescent="0.25">
      <c r="A87">
        <v>76</v>
      </c>
      <c r="B87" s="9" t="n">
        <v>0.0</v>
      </c>
      <c r="C87" s="9" t="n">
        <v>0.0</v>
      </c>
      <c r="D87" s="9" t="n">
        <v>0.0</v>
      </c>
      <c r="E87" s="9">
        <f t="shared" si="2"/>
        <v>0</v>
      </c>
      <c r="G87">
        <v>76</v>
      </c>
      <c r="H87" s="16" t="n">
        <v>12.0</v>
      </c>
      <c r="I87" t="n">
        <v>4.0</v>
      </c>
      <c r="J87" s="16" t="n">
        <v>0.0</v>
      </c>
      <c r="K87">
        <f t="shared" si="3"/>
        <v>0</v>
      </c>
      <c r="W87" s="9"/>
    </row>
    <row r="88" spans="1:23" x14ac:dyDescent="0.25">
      <c r="A88">
        <v>77</v>
      </c>
      <c r="B88" s="9" t="n">
        <v>0.0</v>
      </c>
      <c r="C88" s="9" t="n">
        <v>0.0</v>
      </c>
      <c r="D88" s="9" t="n">
        <v>0.0</v>
      </c>
      <c r="E88" s="9">
        <f t="shared" si="2"/>
        <v>0</v>
      </c>
      <c r="G88">
        <v>77</v>
      </c>
      <c r="H88" s="16" t="n">
        <v>7.0</v>
      </c>
      <c r="I88" t="n">
        <v>6.0</v>
      </c>
      <c r="J88" t="n">
        <v>1.0</v>
      </c>
      <c r="K88">
        <f t="shared" si="3"/>
        <v>0</v>
      </c>
      <c r="W88" s="9"/>
    </row>
    <row r="89" spans="1:23" x14ac:dyDescent="0.25">
      <c r="A89">
        <v>78</v>
      </c>
      <c r="B89" s="9" t="n">
        <v>0.0</v>
      </c>
      <c r="C89" s="9" t="n">
        <v>0.0</v>
      </c>
      <c r="D89" s="9" t="n">
        <v>0.0</v>
      </c>
      <c r="E89" s="9">
        <f t="shared" si="2"/>
        <v>0</v>
      </c>
      <c r="G89">
        <v>78</v>
      </c>
      <c r="H89" s="16" t="n">
        <v>26.0</v>
      </c>
      <c r="I89" t="n">
        <v>14.0</v>
      </c>
      <c r="J89" t="n">
        <v>3.0</v>
      </c>
      <c r="K89">
        <f t="shared" si="3"/>
        <v>0</v>
      </c>
      <c r="W89" s="9"/>
    </row>
    <row r="90" spans="1:23" x14ac:dyDescent="0.25">
      <c r="A90">
        <v>79</v>
      </c>
      <c r="B90" s="9" t="n">
        <v>0.0</v>
      </c>
      <c r="C90" s="9" t="n">
        <v>0.0</v>
      </c>
      <c r="D90" s="9" t="n">
        <v>0.0</v>
      </c>
      <c r="E90" s="9">
        <f t="shared" si="2"/>
        <v>0</v>
      </c>
      <c r="G90">
        <v>79</v>
      </c>
      <c r="H90" s="16" t="n">
        <v>27.0</v>
      </c>
      <c r="I90" t="n">
        <v>14.0</v>
      </c>
      <c r="J90" t="n">
        <v>1.0</v>
      </c>
      <c r="K90">
        <f t="shared" si="3"/>
        <v>0</v>
      </c>
      <c r="W90" s="9"/>
    </row>
    <row r="91" spans="1:23" x14ac:dyDescent="0.25">
      <c r="A91">
        <v>80</v>
      </c>
      <c r="B91" s="9" t="n">
        <v>0.0</v>
      </c>
      <c r="C91" s="9" t="n">
        <v>0.0</v>
      </c>
      <c r="D91" s="9" t="n">
        <v>0.0</v>
      </c>
      <c r="E91" s="9">
        <f t="shared" si="2"/>
        <v>0</v>
      </c>
      <c r="G91">
        <v>80</v>
      </c>
      <c r="H91" s="16" t="n">
        <v>21.0</v>
      </c>
      <c r="I91" t="n">
        <v>9.0</v>
      </c>
      <c r="J91" t="n">
        <v>0.0</v>
      </c>
      <c r="K91">
        <f t="shared" si="3"/>
        <v>0</v>
      </c>
      <c r="W91" s="9"/>
    </row>
    <row r="92" spans="1:23" x14ac:dyDescent="0.25">
      <c r="A92">
        <v>81</v>
      </c>
      <c r="B92" s="9" t="n">
        <v>0.0</v>
      </c>
      <c r="C92" s="9" t="n">
        <v>0.0</v>
      </c>
      <c r="D92" s="9" t="n">
        <v>0.0</v>
      </c>
      <c r="E92" s="9">
        <f t="shared" si="2"/>
        <v>0</v>
      </c>
      <c r="G92">
        <v>81</v>
      </c>
      <c r="H92" s="16" t="n">
        <v>22.0</v>
      </c>
      <c r="I92" t="n">
        <v>10.0</v>
      </c>
      <c r="J92" t="n">
        <v>1.0</v>
      </c>
      <c r="K92">
        <f t="shared" si="3"/>
        <v>0</v>
      </c>
      <c r="W92" s="9"/>
    </row>
    <row r="93" spans="1:23" x14ac:dyDescent="0.25">
      <c r="A93">
        <v>82</v>
      </c>
      <c r="B93" s="9" t="n">
        <v>0.0</v>
      </c>
      <c r="C93" s="9" t="n">
        <v>0.0</v>
      </c>
      <c r="D93" s="9" t="n">
        <v>0.0</v>
      </c>
      <c r="E93" s="9">
        <f t="shared" si="2"/>
        <v>0</v>
      </c>
      <c r="G93">
        <v>82</v>
      </c>
      <c r="H93" s="16" t="n">
        <v>17.0</v>
      </c>
      <c r="I93" t="n">
        <v>6.0</v>
      </c>
      <c r="J93" t="n">
        <v>0.0</v>
      </c>
      <c r="K93">
        <f t="shared" si="3"/>
        <v>1</v>
      </c>
      <c r="W93" s="9"/>
    </row>
    <row r="94" spans="1:23" x14ac:dyDescent="0.25">
      <c r="A94">
        <v>83</v>
      </c>
      <c r="B94" s="9" t="n">
        <v>0.0</v>
      </c>
      <c r="C94" s="9" t="n">
        <v>0.0</v>
      </c>
      <c r="D94" s="9" t="n">
        <v>0.0</v>
      </c>
      <c r="E94" s="9">
        <f t="shared" si="2"/>
        <v>0</v>
      </c>
      <c r="G94">
        <v>83</v>
      </c>
      <c r="H94" s="16" t="n">
        <v>20.0</v>
      </c>
      <c r="I94" t="n">
        <v>2.0</v>
      </c>
      <c r="J94" t="n">
        <v>1.0</v>
      </c>
      <c r="K94">
        <f t="shared" si="3"/>
        <v>0</v>
      </c>
      <c r="W94" s="9"/>
    </row>
    <row r="95" spans="1:23" x14ac:dyDescent="0.25">
      <c r="A95">
        <v>84</v>
      </c>
      <c r="B95" s="9" t="n">
        <v>0.0</v>
      </c>
      <c r="C95" s="9" t="n">
        <v>0.0</v>
      </c>
      <c r="D95" s="9" t="n">
        <v>0.0</v>
      </c>
      <c r="E95" s="9">
        <f t="shared" si="2"/>
        <v>0</v>
      </c>
      <c r="G95">
        <v>84</v>
      </c>
      <c r="H95" s="16" t="n">
        <v>6.0</v>
      </c>
      <c r="I95" t="n">
        <v>3.0</v>
      </c>
      <c r="J95" t="n">
        <v>0.0</v>
      </c>
      <c r="K95">
        <f t="shared" si="3"/>
        <v>0</v>
      </c>
      <c r="W95" s="9"/>
    </row>
    <row r="96" spans="1:23" x14ac:dyDescent="0.25">
      <c r="A96">
        <v>85</v>
      </c>
      <c r="B96" s="9" t="n">
        <v>0.0</v>
      </c>
      <c r="C96" s="9" t="n">
        <v>0.0</v>
      </c>
      <c r="D96" s="9" t="n">
        <v>0.0</v>
      </c>
      <c r="E96" s="9">
        <f t="shared" si="2"/>
        <v>0</v>
      </c>
      <c r="G96">
        <v>85</v>
      </c>
      <c r="H96" s="16" t="n">
        <v>14.0</v>
      </c>
      <c r="I96" t="n">
        <v>7.0</v>
      </c>
      <c r="J96" t="n">
        <v>1.0</v>
      </c>
      <c r="K96">
        <f t="shared" si="3"/>
        <v>0</v>
      </c>
      <c r="W96" s="9"/>
    </row>
    <row r="97" spans="1:23" x14ac:dyDescent="0.25">
      <c r="A97">
        <v>86</v>
      </c>
      <c r="B97" s="9" t="n">
        <v>0.0</v>
      </c>
      <c r="C97" s="9" t="n">
        <v>0.0</v>
      </c>
      <c r="D97" s="9" t="n">
        <v>0.0</v>
      </c>
      <c r="E97" s="9">
        <f t="shared" si="2"/>
        <v>0</v>
      </c>
      <c r="G97">
        <v>86</v>
      </c>
      <c r="H97" s="16" t="n">
        <v>16.0</v>
      </c>
      <c r="I97" t="n">
        <v>9.0</v>
      </c>
      <c r="J97" t="n">
        <v>2.0</v>
      </c>
      <c r="K97">
        <f t="shared" si="3"/>
        <v>0</v>
      </c>
      <c r="W97" s="9"/>
    </row>
    <row r="98" spans="1:23" x14ac:dyDescent="0.25">
      <c r="A98">
        <v>87</v>
      </c>
      <c r="B98" s="9" t="n">
        <v>0.0</v>
      </c>
      <c r="C98" s="9" t="n">
        <v>0.0</v>
      </c>
      <c r="D98" s="9" t="n">
        <v>0.0</v>
      </c>
      <c r="E98" s="9">
        <f t="shared" si="2"/>
        <v>0</v>
      </c>
      <c r="G98">
        <v>87</v>
      </c>
      <c r="H98" s="16" t="n">
        <v>23.0</v>
      </c>
      <c r="I98" t="n">
        <v>6.0</v>
      </c>
      <c r="J98" t="n">
        <v>1.0</v>
      </c>
      <c r="K98">
        <f t="shared" si="3"/>
        <v>0</v>
      </c>
      <c r="W98" s="9"/>
    </row>
    <row r="99" spans="1:23" x14ac:dyDescent="0.25">
      <c r="A99">
        <v>88</v>
      </c>
      <c r="B99" s="9" t="n">
        <v>0.0</v>
      </c>
      <c r="C99" s="9" t="n">
        <v>0.0</v>
      </c>
      <c r="D99" s="9" t="n">
        <v>0.0</v>
      </c>
      <c r="E99" s="9">
        <f t="shared" si="2"/>
        <v>0</v>
      </c>
      <c r="G99">
        <v>88</v>
      </c>
      <c r="H99" s="16" t="n">
        <v>15.0</v>
      </c>
      <c r="I99" t="n">
        <v>5.0</v>
      </c>
      <c r="J99" t="n">
        <v>0.0</v>
      </c>
      <c r="K99">
        <f t="shared" si="3"/>
        <v>0</v>
      </c>
      <c r="W99" s="9"/>
    </row>
    <row r="100" spans="1:23" x14ac:dyDescent="0.25">
      <c r="A100">
        <v>89</v>
      </c>
      <c r="B100" s="9" t="n">
        <v>0.0</v>
      </c>
      <c r="C100" s="9" t="n">
        <v>0.0</v>
      </c>
      <c r="D100" s="9" t="n">
        <v>0.0</v>
      </c>
      <c r="E100" s="9">
        <f t="shared" si="2"/>
        <v>0</v>
      </c>
      <c r="G100">
        <v>89</v>
      </c>
      <c r="H100" s="16" t="n">
        <v>274.0</v>
      </c>
      <c r="I100" t="n">
        <v>124.0</v>
      </c>
      <c r="J100" t="n">
        <v>10.0</v>
      </c>
      <c r="K100">
        <f t="shared" si="3"/>
        <v>0</v>
      </c>
      <c r="W100" s="9"/>
    </row>
    <row r="101" spans="1:23" ht="15.75" thickBot="1" x14ac:dyDescent="0.3">
      <c r="A101" s="1" t="s">
        <v>291</v>
      </c>
      <c r="B101" s="10" t="n">
        <v>17805.298624083374</v>
      </c>
      <c r="C101" s="10" t="n">
        <v>1927.7764160161569</v>
      </c>
      <c r="D101" s="10" t="n">
        <v>397.2554326959326</v>
      </c>
      <c r="E101" s="10">
        <f>SUM(B101:D101)</f>
        <v>20130.330472795464</v>
      </c>
      <c r="G101" s="1" t="s">
        <v>291</v>
      </c>
      <c r="H101" s="17" t="n">
        <v>16964.0</v>
      </c>
      <c r="I101" s="1" t="n">
        <v>2426.0</v>
      </c>
      <c r="J101" s="1" t="n">
        <v>1030.0</v>
      </c>
      <c r="K101" s="1">
        <f t="shared" si="3"/>
        <v>20318</v>
      </c>
      <c r="W101" s="10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01"/>
  <sheetViews>
    <sheetView workbookViewId="0">
      <selection activeCell="W14" sqref="W14"/>
    </sheetView>
  </sheetViews>
  <sheetFormatPr defaultRowHeight="15" x14ac:dyDescent="0.25"/>
  <sheetData>
    <row r="1" spans="1:23" x14ac:dyDescent="0.25">
      <c r="A1" t="s">
        <v>0</v>
      </c>
    </row>
    <row r="2" spans="1:23" x14ac:dyDescent="0.25">
      <c r="A2" t="s">
        <v>235</v>
      </c>
    </row>
    <row r="3" spans="1:23" x14ac:dyDescent="0.25">
      <c r="A3" t="s">
        <v>9</v>
      </c>
    </row>
    <row r="4" spans="1:23" x14ac:dyDescent="0.25">
      <c r="A4" t="s">
        <v>8</v>
      </c>
    </row>
    <row r="5" spans="1:23" x14ac:dyDescent="0.25">
      <c r="A5" t="s">
        <v>10</v>
      </c>
    </row>
    <row r="6" spans="1:23" x14ac:dyDescent="0.25">
      <c r="A6" t="s">
        <v>11</v>
      </c>
    </row>
    <row r="7" spans="1:23" x14ac:dyDescent="0.25">
      <c r="A7" t="s">
        <v>15</v>
      </c>
    </row>
    <row r="9" spans="1:23" ht="15.75" thickBot="1" x14ac:dyDescent="0.3">
      <c r="A9" s="4" t="s">
        <v>230</v>
      </c>
      <c r="B9" s="1"/>
      <c r="C9" s="1"/>
      <c r="D9" s="1"/>
      <c r="E9" s="1"/>
      <c r="G9" s="4" t="s">
        <v>17</v>
      </c>
      <c r="H9" s="1"/>
      <c r="I9" s="1"/>
      <c r="J9" s="1"/>
      <c r="K9" s="1"/>
      <c r="M9" s="11" t="s">
        <v>51</v>
      </c>
      <c r="W9" s="9"/>
    </row>
    <row r="10" spans="1:23" x14ac:dyDescent="0.25">
      <c r="A10" s="2" t="s">
        <v>29</v>
      </c>
      <c r="B10" s="5" t="s">
        <v>12</v>
      </c>
      <c r="C10" s="5" t="s">
        <v>13</v>
      </c>
      <c r="D10" s="5" t="s">
        <v>14</v>
      </c>
      <c r="E10" s="5" t="s">
        <v>228</v>
      </c>
      <c r="G10" s="2" t="s">
        <v>29</v>
      </c>
      <c r="H10" s="5" t="s">
        <v>12</v>
      </c>
      <c r="I10" s="5" t="s">
        <v>13</v>
      </c>
      <c r="J10" s="5" t="s">
        <v>14</v>
      </c>
      <c r="K10" s="5" t="s">
        <v>49</v>
      </c>
      <c r="M10" s="2"/>
      <c r="N10" s="5" t="s">
        <v>228</v>
      </c>
      <c r="O10" s="5" t="s">
        <v>49</v>
      </c>
      <c r="W10" s="9"/>
    </row>
    <row r="11" spans="1:23" x14ac:dyDescent="0.25">
      <c r="A11">
        <v>0</v>
      </c>
      <c r="B11" s="9" t="n">
        <v>0.0</v>
      </c>
      <c r="C11" s="9" t="n">
        <v>0.0</v>
      </c>
      <c r="D11" s="9" t="n">
        <v>0.0</v>
      </c>
      <c r="E11" s="9">
        <f>SUM(B11:D11)</f>
        <v>0</v>
      </c>
      <c r="G11">
        <v>0</v>
      </c>
      <c r="H11" s="16" t="n">
        <v>3211.0</v>
      </c>
      <c r="I11" s="16" t="n">
        <v>1351.0</v>
      </c>
      <c r="J11" s="16" t="n">
        <v>193.0</v>
      </c>
      <c r="K11">
        <f>SUM(H11:J11)</f>
        <v>578</v>
      </c>
      <c r="M11" t="s">
        <v>12</v>
      </c>
      <c r="N11" s="9" t="n">
        <v>23.59165947569633</v>
      </c>
      <c r="O11" s="9" t="n">
        <v>31.48687193899177</v>
      </c>
      <c r="W11" s="9"/>
    </row>
    <row r="12" spans="1:23" x14ac:dyDescent="0.25">
      <c r="A12">
        <v>1</v>
      </c>
      <c r="B12" s="9" t="n">
        <v>0.0</v>
      </c>
      <c r="C12" s="9" t="n">
        <v>0.0</v>
      </c>
      <c r="D12" s="9" t="n">
        <v>0.0</v>
      </c>
      <c r="E12" s="9">
        <f t="shared" ref="E12:E75" si="0">SUM(B12:D12)</f>
        <v>0</v>
      </c>
      <c r="G12">
        <v>1</v>
      </c>
      <c r="H12" s="16" t="n">
        <v>856.0</v>
      </c>
      <c r="I12" s="16" t="n">
        <v>231.0</v>
      </c>
      <c r="J12" s="16" t="n">
        <v>84.0</v>
      </c>
      <c r="K12">
        <f t="shared" ref="K12:K75" si="1">SUM(H12:J12)</f>
        <v>1578</v>
      </c>
      <c r="M12" t="s">
        <v>13</v>
      </c>
      <c r="N12" s="9" t="n">
        <v>16.705624600771845</v>
      </c>
      <c r="O12" s="9" t="n">
        <v>23.9409025843663</v>
      </c>
      <c r="W12" s="9"/>
    </row>
    <row r="13" spans="1:23" x14ac:dyDescent="0.25">
      <c r="A13">
        <v>2</v>
      </c>
      <c r="B13" s="9" t="n">
        <v>1254.3961418278054</v>
      </c>
      <c r="C13" s="9" t="n">
        <v>1188.7843471534688</v>
      </c>
      <c r="D13" s="9" t="n">
        <v>227.2936442115604</v>
      </c>
      <c r="E13" s="9">
        <f t="shared" si="0"/>
        <v>2670.4741331928349</v>
      </c>
      <c r="G13">
        <v>2</v>
      </c>
      <c r="H13" s="16" t="n">
        <v>1306.0</v>
      </c>
      <c r="I13" s="16" t="n">
        <v>388.0</v>
      </c>
      <c r="J13" s="16" t="n">
        <v>158.0</v>
      </c>
      <c r="K13">
        <f t="shared" si="1"/>
        <v>4796</v>
      </c>
      <c r="M13" s="6" t="s">
        <v>14</v>
      </c>
      <c r="N13" s="14" t="n">
        <v>15.769968982151676</v>
      </c>
      <c r="O13" s="14" t="n">
        <v>20.78364021681326</v>
      </c>
      <c r="W13" s="9"/>
    </row>
    <row r="14" spans="1:23" ht="15.75" thickBot="1" x14ac:dyDescent="0.3">
      <c r="A14">
        <v>3</v>
      </c>
      <c r="B14" s="9" t="n">
        <v>11702.383585528138</v>
      </c>
      <c r="C14" s="9" t="n">
        <v>6649.207187784681</v>
      </c>
      <c r="D14" s="9" t="n">
        <v>1124.5053928647833</v>
      </c>
      <c r="E14" s="9">
        <f t="shared" si="0"/>
        <v>19476.096166177602</v>
      </c>
      <c r="G14">
        <v>3</v>
      </c>
      <c r="H14" s="16" t="n">
        <v>2644.0</v>
      </c>
      <c r="I14" s="16" t="n">
        <v>727.0</v>
      </c>
      <c r="J14" s="16" t="n">
        <v>380.0</v>
      </c>
      <c r="K14">
        <f t="shared" si="1"/>
        <v>22277</v>
      </c>
      <c r="M14" s="1" t="s">
        <v>4</v>
      </c>
      <c r="N14" s="15" t="n">
        <v>22.444214522103692</v>
      </c>
      <c r="O14" s="15" t="n">
        <v>30.07525391721833</v>
      </c>
      <c r="W14" s="9"/>
    </row>
    <row r="15" spans="1:23" x14ac:dyDescent="0.25">
      <c r="A15">
        <v>4</v>
      </c>
      <c r="B15" s="9" t="n">
        <v>8729.00563743033</v>
      </c>
      <c r="C15" s="9" t="n">
        <v>2551.8211530973167</v>
      </c>
      <c r="D15" s="9" t="n">
        <v>250.2376061855351</v>
      </c>
      <c r="E15" s="9">
        <f t="shared" si="0"/>
        <v>11531.064396713182</v>
      </c>
      <c r="G15">
        <v>4</v>
      </c>
      <c r="H15" s="16" t="n">
        <v>5184.0</v>
      </c>
      <c r="I15" s="16" t="n">
        <v>1357.0</v>
      </c>
      <c r="J15" s="16" t="n">
        <v>636.0</v>
      </c>
      <c r="K15">
        <f t="shared" si="1"/>
        <v>14130</v>
      </c>
      <c r="W15" s="9"/>
    </row>
    <row r="16" spans="1:23" x14ac:dyDescent="0.25">
      <c r="A16">
        <v>5</v>
      </c>
      <c r="B16" s="9" t="n">
        <v>7938.286529938708</v>
      </c>
      <c r="C16" s="9" t="n">
        <v>2320.208322335626</v>
      </c>
      <c r="D16" s="9" t="n">
        <v>3642.327082918803</v>
      </c>
      <c r="E16" s="9">
        <f t="shared" si="0"/>
        <v>13900.821935193137</v>
      </c>
      <c r="G16">
        <v>5</v>
      </c>
      <c r="H16" s="16" t="n">
        <v>7892.0</v>
      </c>
      <c r="I16" s="16" t="n">
        <v>2117.0</v>
      </c>
      <c r="J16" s="16" t="n">
        <v>1011.0</v>
      </c>
      <c r="K16">
        <f t="shared" si="1"/>
        <v>16236</v>
      </c>
      <c r="W16" s="9"/>
    </row>
    <row r="17" spans="1:23" x14ac:dyDescent="0.25">
      <c r="A17">
        <v>6</v>
      </c>
      <c r="B17" s="9" t="n">
        <v>12641.545435733646</v>
      </c>
      <c r="C17" s="9" t="n">
        <v>3982.951284437744</v>
      </c>
      <c r="D17" s="9" t="n">
        <v>770.4038975653557</v>
      </c>
      <c r="E17" s="9">
        <f t="shared" si="0"/>
        <v>17394.900617736745</v>
      </c>
      <c r="G17">
        <v>6</v>
      </c>
      <c r="H17" s="16" t="n">
        <v>9927.0</v>
      </c>
      <c r="I17" s="16" t="n">
        <v>2765.0</v>
      </c>
      <c r="J17" s="16" t="n">
        <v>1421.0</v>
      </c>
      <c r="K17">
        <f t="shared" si="1"/>
        <v>18893</v>
      </c>
      <c r="W17" s="9"/>
    </row>
    <row r="18" spans="1:23" x14ac:dyDescent="0.25">
      <c r="A18">
        <v>7</v>
      </c>
      <c r="B18" s="9" t="n">
        <v>13526.190140023853</v>
      </c>
      <c r="C18" s="9" t="n">
        <v>1951.9138775377437</v>
      </c>
      <c r="D18" s="9" t="n">
        <v>1212.8517751661211</v>
      </c>
      <c r="E18" s="9">
        <f t="shared" si="0"/>
        <v>16690.955792727716</v>
      </c>
      <c r="G18">
        <v>7</v>
      </c>
      <c r="H18" s="16" t="n">
        <v>11494.0</v>
      </c>
      <c r="I18" s="16" t="n">
        <v>3429.0</v>
      </c>
      <c r="J18" s="16" t="n">
        <v>1639.0</v>
      </c>
      <c r="K18">
        <f t="shared" si="1"/>
        <v>19092</v>
      </c>
      <c r="W18" s="9"/>
    </row>
    <row r="19" spans="1:23" x14ac:dyDescent="0.25">
      <c r="A19">
        <v>8</v>
      </c>
      <c r="B19" s="9" t="n">
        <v>18474.984843471062</v>
      </c>
      <c r="C19" s="9" t="n">
        <v>2267.328198815067</v>
      </c>
      <c r="D19" s="9" t="n">
        <v>1043.8350103069772</v>
      </c>
      <c r="E19" s="9">
        <f t="shared" si="0"/>
        <v>21786.148052593107</v>
      </c>
      <c r="G19">
        <v>8</v>
      </c>
      <c r="H19" s="16" t="n">
        <v>12019.0</v>
      </c>
      <c r="I19" s="16" t="n">
        <v>3730.0</v>
      </c>
      <c r="J19" s="16" t="n">
        <v>1808.0</v>
      </c>
      <c r="K19">
        <f t="shared" si="1"/>
        <v>18795</v>
      </c>
      <c r="W19" s="9"/>
    </row>
    <row r="20" spans="1:23" x14ac:dyDescent="0.25">
      <c r="A20">
        <v>9</v>
      </c>
      <c r="B20" s="9" t="n">
        <v>15686.934272661876</v>
      </c>
      <c r="C20" s="9" t="n">
        <v>2589.622361746673</v>
      </c>
      <c r="D20" s="9" t="n">
        <v>1693.1643211849557</v>
      </c>
      <c r="E20" s="9">
        <f t="shared" si="0"/>
        <v>19969.720955593504</v>
      </c>
      <c r="G20">
        <v>9</v>
      </c>
      <c r="H20" s="16" t="n">
        <v>11501.0</v>
      </c>
      <c r="I20" s="16" t="n">
        <v>3539.0</v>
      </c>
      <c r="J20" s="16" t="n">
        <v>1767.0</v>
      </c>
      <c r="K20">
        <f t="shared" si="1"/>
        <v>18043</v>
      </c>
      <c r="W20" s="9"/>
    </row>
    <row r="21" spans="1:23" x14ac:dyDescent="0.25">
      <c r="A21">
        <v>10</v>
      </c>
      <c r="B21" s="9" t="n">
        <v>13107.504519199147</v>
      </c>
      <c r="C21" s="9" t="n">
        <v>2255.9757879708286</v>
      </c>
      <c r="D21" s="9" t="n">
        <v>2555.784667328264</v>
      </c>
      <c r="E21" s="9">
        <f t="shared" si="0"/>
        <v>17919.264974498241</v>
      </c>
      <c r="G21">
        <v>10</v>
      </c>
      <c r="H21" s="16" t="n">
        <v>11230.0</v>
      </c>
      <c r="I21" s="16" t="n">
        <v>3396.0</v>
      </c>
      <c r="J21" s="16" t="n">
        <v>1828.0</v>
      </c>
      <c r="K21">
        <f t="shared" si="1"/>
        <v>18675</v>
      </c>
      <c r="W21" s="9"/>
    </row>
    <row r="22" spans="1:23" x14ac:dyDescent="0.25">
      <c r="A22">
        <v>11</v>
      </c>
      <c r="B22" s="9" t="n">
        <v>16222.351906435993</v>
      </c>
      <c r="C22" s="9" t="n">
        <v>2089.325283563847</v>
      </c>
      <c r="D22" s="9" t="n">
        <v>2676.2002543764247</v>
      </c>
      <c r="E22" s="9">
        <f t="shared" si="0"/>
        <v>20987.877444376267</v>
      </c>
      <c r="G22">
        <v>11</v>
      </c>
      <c r="H22" s="16" t="n">
        <v>11443.0</v>
      </c>
      <c r="I22" s="16" t="n">
        <v>3180.0</v>
      </c>
      <c r="J22" s="16" t="n">
        <v>1774.0</v>
      </c>
      <c r="K22">
        <f t="shared" si="1"/>
        <v>18096</v>
      </c>
      <c r="W22" s="9"/>
    </row>
    <row r="23" spans="1:23" x14ac:dyDescent="0.25">
      <c r="A23">
        <v>12</v>
      </c>
      <c r="B23" s="9" t="n">
        <v>12751.526932820421</v>
      </c>
      <c r="C23" s="9" t="n">
        <v>2210.9836571846718</v>
      </c>
      <c r="D23" s="9" t="n">
        <v>1629.608149551241</v>
      </c>
      <c r="E23" s="9">
        <f t="shared" si="0"/>
        <v>16592.118739556336</v>
      </c>
      <c r="G23">
        <v>12</v>
      </c>
      <c r="H23" s="16" t="n">
        <v>11693.0</v>
      </c>
      <c r="I23" s="16" t="n">
        <v>2906.0</v>
      </c>
      <c r="J23" s="16" t="n">
        <v>1687.0</v>
      </c>
      <c r="K23">
        <f t="shared" si="1"/>
        <v>18262</v>
      </c>
      <c r="W23" s="9"/>
    </row>
    <row r="24" spans="1:23" x14ac:dyDescent="0.25">
      <c r="A24">
        <v>13</v>
      </c>
      <c r="B24" s="9" t="n">
        <v>13184.934270561265</v>
      </c>
      <c r="C24" s="9" t="n">
        <v>1478.412433498184</v>
      </c>
      <c r="D24" s="9" t="n">
        <v>499.87194217987</v>
      </c>
      <c r="E24" s="9">
        <f t="shared" si="0"/>
        <v>15163.21864623932</v>
      </c>
      <c r="G24">
        <v>13</v>
      </c>
      <c r="H24" s="16" t="n">
        <v>12052.0</v>
      </c>
      <c r="I24" s="16" t="n">
        <v>2775.0</v>
      </c>
      <c r="J24" s="16" t="n">
        <v>1491.0</v>
      </c>
      <c r="K24">
        <f t="shared" si="1"/>
        <v>18307</v>
      </c>
      <c r="W24" s="9"/>
    </row>
    <row r="25" spans="1:23" x14ac:dyDescent="0.25">
      <c r="A25">
        <v>14</v>
      </c>
      <c r="B25" s="9" t="n">
        <v>16072.756679677634</v>
      </c>
      <c r="C25" s="9" t="n">
        <v>3106.30769858647</v>
      </c>
      <c r="D25" s="9" t="n">
        <v>945.6282332189269</v>
      </c>
      <c r="E25" s="9">
        <f t="shared" si="0"/>
        <v>20124.692611483031</v>
      </c>
      <c r="G25">
        <v>14</v>
      </c>
      <c r="H25" s="16" t="n">
        <v>12311.0</v>
      </c>
      <c r="I25" s="16" t="n">
        <v>2591.0</v>
      </c>
      <c r="J25" s="16" t="n">
        <v>1383.0</v>
      </c>
      <c r="K25">
        <f t="shared" si="1"/>
        <v>17635</v>
      </c>
      <c r="W25" s="9"/>
    </row>
    <row r="26" spans="1:23" x14ac:dyDescent="0.25">
      <c r="A26">
        <v>15</v>
      </c>
      <c r="B26" s="9" t="n">
        <v>13537.2754531353</v>
      </c>
      <c r="C26" s="9" t="n">
        <v>2059.3636213637174</v>
      </c>
      <c r="D26" s="9" t="n">
        <v>878.0448499706828</v>
      </c>
      <c r="E26" s="9">
        <f t="shared" si="0"/>
        <v>16474.6839244697</v>
      </c>
      <c r="G26">
        <v>15</v>
      </c>
      <c r="H26" s="16" t="n">
        <v>12517.0</v>
      </c>
      <c r="I26" s="16" t="n">
        <v>2523.0</v>
      </c>
      <c r="J26" s="16" t="n">
        <v>1223.0</v>
      </c>
      <c r="K26">
        <f t="shared" si="1"/>
        <v>18017</v>
      </c>
      <c r="W26" s="9"/>
    </row>
    <row r="27" spans="1:23" x14ac:dyDescent="0.25">
      <c r="A27">
        <v>16</v>
      </c>
      <c r="B27" s="9" t="n">
        <v>20269.5773943549</v>
      </c>
      <c r="C27" s="9" t="n">
        <v>2351.7282631144967</v>
      </c>
      <c r="D27" s="9" t="n">
        <v>495.0854252427388</v>
      </c>
      <c r="E27" s="9">
        <f t="shared" si="0"/>
        <v>23116.391082712133</v>
      </c>
      <c r="G27">
        <v>16</v>
      </c>
      <c r="H27" s="16" t="n">
        <v>12849.0</v>
      </c>
      <c r="I27" s="16" t="n">
        <v>2295.0</v>
      </c>
      <c r="J27" s="16" t="n">
        <v>1072.0</v>
      </c>
      <c r="K27">
        <f t="shared" si="1"/>
        <v>17727</v>
      </c>
      <c r="W27" s="9"/>
    </row>
    <row r="28" spans="1:23" x14ac:dyDescent="0.25">
      <c r="A28">
        <v>17</v>
      </c>
      <c r="B28" s="9" t="n">
        <v>10562.147796600064</v>
      </c>
      <c r="C28" s="9" t="n">
        <v>1531.9029935770866</v>
      </c>
      <c r="D28" s="9" t="n">
        <v>1574.0827458705935</v>
      </c>
      <c r="E28" s="9">
        <f t="shared" si="0"/>
        <v>13668.133536047744</v>
      </c>
      <c r="G28">
        <v>17</v>
      </c>
      <c r="H28" s="16" t="n">
        <v>13042.0</v>
      </c>
      <c r="I28" s="16" t="n">
        <v>2194.0</v>
      </c>
      <c r="J28" s="16" t="n">
        <v>904.0</v>
      </c>
      <c r="K28">
        <f t="shared" si="1"/>
        <v>17431</v>
      </c>
      <c r="W28" s="9"/>
    </row>
    <row r="29" spans="1:23" x14ac:dyDescent="0.25">
      <c r="A29">
        <v>18</v>
      </c>
      <c r="B29" s="9" t="n">
        <v>15240.344322815175</v>
      </c>
      <c r="C29" s="9" t="n">
        <v>1287.4117982331368</v>
      </c>
      <c r="D29" s="9" t="n">
        <v>450.8303386497864</v>
      </c>
      <c r="E29" s="9">
        <f t="shared" si="0"/>
        <v>16978.586459698097</v>
      </c>
      <c r="G29">
        <v>18</v>
      </c>
      <c r="H29" s="16" t="n">
        <v>13167.0</v>
      </c>
      <c r="I29" s="16" t="n">
        <v>2051.0</v>
      </c>
      <c r="J29" s="16" t="n">
        <v>879.0</v>
      </c>
      <c r="K29">
        <f t="shared" si="1"/>
        <v>17401</v>
      </c>
      <c r="W29" s="9"/>
    </row>
    <row r="30" spans="1:23" x14ac:dyDescent="0.25">
      <c r="A30">
        <v>19</v>
      </c>
      <c r="B30" s="9" t="n">
        <v>12917.32251125798</v>
      </c>
      <c r="C30" s="9" t="n">
        <v>634.2769745782518</v>
      </c>
      <c r="D30" s="9" t="n">
        <v>635.0115878329555</v>
      </c>
      <c r="E30" s="9">
        <f t="shared" si="0"/>
        <v>14186.611073669188</v>
      </c>
      <c r="G30">
        <v>19</v>
      </c>
      <c r="H30" s="16" t="n">
        <v>13015.0</v>
      </c>
      <c r="I30" s="16" t="n">
        <v>1961.0</v>
      </c>
      <c r="J30" s="16" t="n">
        <v>729.0</v>
      </c>
      <c r="K30">
        <f t="shared" si="1"/>
        <v>17595</v>
      </c>
      <c r="W30" s="9"/>
    </row>
    <row r="31" spans="1:23" x14ac:dyDescent="0.25">
      <c r="A31">
        <v>20</v>
      </c>
      <c r="B31" s="9" t="n">
        <v>15465.245602713394</v>
      </c>
      <c r="C31" s="9" t="n">
        <v>844.0529137022731</v>
      </c>
      <c r="D31" s="9" t="n">
        <v>779.338768346054</v>
      </c>
      <c r="E31" s="9">
        <f t="shared" si="0"/>
        <v>17088.63728476172</v>
      </c>
      <c r="G31">
        <v>20</v>
      </c>
      <c r="H31" s="16" t="n">
        <v>13013.0</v>
      </c>
      <c r="I31" s="16" t="n">
        <v>1774.0</v>
      </c>
      <c r="J31" s="16" t="n">
        <v>695.0</v>
      </c>
      <c r="K31">
        <f t="shared" si="1"/>
        <v>16999</v>
      </c>
      <c r="W31" s="9"/>
    </row>
    <row r="32" spans="1:23" x14ac:dyDescent="0.25">
      <c r="A32">
        <v>21</v>
      </c>
      <c r="B32" s="9" t="n">
        <v>11821.304715571945</v>
      </c>
      <c r="C32" s="9" t="n">
        <v>1757.7142096178982</v>
      </c>
      <c r="D32" s="9" t="n">
        <v>665.072456347911</v>
      </c>
      <c r="E32" s="9">
        <f t="shared" si="0"/>
        <v>14244.091381537753</v>
      </c>
      <c r="G32">
        <v>21</v>
      </c>
      <c r="H32" s="16" t="n">
        <v>12958.0</v>
      </c>
      <c r="I32" s="16" t="n">
        <v>1698.0</v>
      </c>
      <c r="J32" s="16" t="n">
        <v>638.0</v>
      </c>
      <c r="K32">
        <f t="shared" si="1"/>
        <v>17087</v>
      </c>
      <c r="W32" s="9"/>
    </row>
    <row r="33" spans="1:23" x14ac:dyDescent="0.25">
      <c r="A33">
        <v>22</v>
      </c>
      <c r="B33" s="9" t="n">
        <v>14449.912645189743</v>
      </c>
      <c r="C33" s="9" t="n">
        <v>973.001376407926</v>
      </c>
      <c r="D33" s="9" t="n">
        <v>208.04728944085798</v>
      </c>
      <c r="E33" s="9">
        <f t="shared" si="0"/>
        <v>15630.961311038527</v>
      </c>
      <c r="G33">
        <v>22</v>
      </c>
      <c r="H33" s="16" t="n">
        <v>12855.0</v>
      </c>
      <c r="I33" s="16" t="n">
        <v>1555.0</v>
      </c>
      <c r="J33" s="16" t="n">
        <v>590.0</v>
      </c>
      <c r="K33">
        <f t="shared" si="1"/>
        <v>16361</v>
      </c>
      <c r="W33" s="9"/>
    </row>
    <row r="34" spans="1:23" x14ac:dyDescent="0.25">
      <c r="A34">
        <v>23</v>
      </c>
      <c r="B34" s="9" t="n">
        <v>15278.152985712244</v>
      </c>
      <c r="C34" s="9" t="n">
        <v>1430.4563144174438</v>
      </c>
      <c r="D34" s="9" t="n">
        <v>77.7549175564256</v>
      </c>
      <c r="E34" s="9">
        <f t="shared" si="0"/>
        <v>16786.364217686114</v>
      </c>
      <c r="G34">
        <v>23</v>
      </c>
      <c r="H34" s="16" t="n">
        <v>12607.0</v>
      </c>
      <c r="I34" s="16" t="n">
        <v>1455.0</v>
      </c>
      <c r="J34" s="16" t="n">
        <v>649.0</v>
      </c>
      <c r="K34">
        <f t="shared" si="1"/>
        <v>15661</v>
      </c>
      <c r="W34" s="9"/>
    </row>
    <row r="35" spans="1:23" x14ac:dyDescent="0.25">
      <c r="A35">
        <v>24</v>
      </c>
      <c r="B35" s="9" t="n">
        <v>11247.119842320044</v>
      </c>
      <c r="C35" s="9" t="n">
        <v>2276.192428555562</v>
      </c>
      <c r="D35" s="9" t="n">
        <v>154.5673041833314</v>
      </c>
      <c r="E35" s="9">
        <f t="shared" si="0"/>
        <v>13677.879575058936</v>
      </c>
      <c r="G35">
        <v>24</v>
      </c>
      <c r="H35" s="16" t="n">
        <v>12651.0</v>
      </c>
      <c r="I35" s="16" t="n">
        <v>1415.0</v>
      </c>
      <c r="J35" s="16" t="n">
        <v>540.0</v>
      </c>
      <c r="K35">
        <f t="shared" si="1"/>
        <v>15415</v>
      </c>
      <c r="W35" s="9"/>
    </row>
    <row r="36" spans="1:23" x14ac:dyDescent="0.25">
      <c r="A36">
        <v>25</v>
      </c>
      <c r="B36" s="9" t="n">
        <v>8605.602589341306</v>
      </c>
      <c r="C36" s="9" t="n">
        <v>1516.7300653438253</v>
      </c>
      <c r="D36" s="9" t="n">
        <v>656.0702036580566</v>
      </c>
      <c r="E36" s="9">
        <f t="shared" si="0"/>
        <v>10778.402858343188</v>
      </c>
      <c r="G36">
        <v>25</v>
      </c>
      <c r="H36" s="16" t="n">
        <v>12409.0</v>
      </c>
      <c r="I36" s="16" t="n">
        <v>1331.0</v>
      </c>
      <c r="J36" s="16" t="n">
        <v>522.0</v>
      </c>
      <c r="K36">
        <f t="shared" si="1"/>
        <v>15176</v>
      </c>
      <c r="W36" s="9"/>
    </row>
    <row r="37" spans="1:23" x14ac:dyDescent="0.25">
      <c r="A37">
        <v>26</v>
      </c>
      <c r="B37" s="9" t="n">
        <v>9445.898687034749</v>
      </c>
      <c r="C37" s="9" t="n">
        <v>105.5976275320219</v>
      </c>
      <c r="D37" s="9" t="n">
        <v>623.590721885239</v>
      </c>
      <c r="E37" s="9">
        <f t="shared" si="0"/>
        <v>10175.087036452011</v>
      </c>
      <c r="G37">
        <v>26</v>
      </c>
      <c r="H37" s="16" t="n">
        <v>12124.0</v>
      </c>
      <c r="I37" s="16" t="n">
        <v>1225.0</v>
      </c>
      <c r="J37" s="16" t="n">
        <v>495.0</v>
      </c>
      <c r="K37">
        <f t="shared" si="1"/>
        <v>14672</v>
      </c>
      <c r="W37" s="9"/>
    </row>
    <row r="38" spans="1:23" x14ac:dyDescent="0.25">
      <c r="A38">
        <v>27</v>
      </c>
      <c r="B38" s="9" t="n">
        <v>8260.39676658353</v>
      </c>
      <c r="C38" s="9" t="n">
        <v>800.6948398117127</v>
      </c>
      <c r="D38" s="9" t="n">
        <v>997.1224190881032</v>
      </c>
      <c r="E38" s="9">
        <f t="shared" si="0"/>
        <v>10058.214025483347</v>
      </c>
      <c r="G38">
        <v>27</v>
      </c>
      <c r="H38" s="16" t="n">
        <v>11296.0</v>
      </c>
      <c r="I38" s="16" t="n">
        <v>1119.0</v>
      </c>
      <c r="J38" s="16" t="n">
        <v>420.0</v>
      </c>
      <c r="K38">
        <f t="shared" si="1"/>
        <v>13809</v>
      </c>
      <c r="W38" s="9"/>
    </row>
    <row r="39" spans="1:23" x14ac:dyDescent="0.25">
      <c r="A39">
        <v>28</v>
      </c>
      <c r="B39" s="9" t="n">
        <v>10687.236252284536</v>
      </c>
      <c r="C39" s="9" t="n">
        <v>399.7584733594643</v>
      </c>
      <c r="D39" s="9" t="n">
        <v>305.648471193249</v>
      </c>
      <c r="E39" s="9">
        <f t="shared" si="0"/>
        <v>11392.643196837251</v>
      </c>
      <c r="G39">
        <v>28</v>
      </c>
      <c r="H39" s="16" t="n">
        <v>11344.0</v>
      </c>
      <c r="I39" s="16" t="n">
        <v>1046.0</v>
      </c>
      <c r="J39" s="16" t="n">
        <v>406.0</v>
      </c>
      <c r="K39">
        <f t="shared" si="1"/>
        <v>13598</v>
      </c>
      <c r="W39" s="9"/>
    </row>
    <row r="40" spans="1:23" x14ac:dyDescent="0.25">
      <c r="A40">
        <v>29</v>
      </c>
      <c r="B40" s="9" t="n">
        <v>11070.678420023658</v>
      </c>
      <c r="C40" s="9" t="n">
        <v>617.4453853618838</v>
      </c>
      <c r="D40" s="9" t="n">
        <v>86.9560887156758</v>
      </c>
      <c r="E40" s="9">
        <f t="shared" si="0"/>
        <v>11775.079894101216</v>
      </c>
      <c r="G40">
        <v>29</v>
      </c>
      <c r="H40" s="16" t="n">
        <v>11089.0</v>
      </c>
      <c r="I40" s="16" t="n">
        <v>990.0</v>
      </c>
      <c r="J40" s="16" t="n">
        <v>410.0</v>
      </c>
      <c r="K40">
        <f t="shared" si="1"/>
        <v>12755</v>
      </c>
      <c r="W40" s="9"/>
    </row>
    <row r="41" spans="1:23" x14ac:dyDescent="0.25">
      <c r="A41">
        <v>30</v>
      </c>
      <c r="B41" s="9" t="n">
        <v>7358.025988996453</v>
      </c>
      <c r="C41" s="9" t="n">
        <v>795.4370204893987</v>
      </c>
      <c r="D41" s="9" t="n">
        <v>68.9004302318935</v>
      </c>
      <c r="E41" s="9">
        <f t="shared" si="0"/>
        <v>8222.3634397177448</v>
      </c>
      <c r="G41">
        <v>30</v>
      </c>
      <c r="H41" s="16" t="n">
        <v>10462.0</v>
      </c>
      <c r="I41" s="16" t="n">
        <v>957.0</v>
      </c>
      <c r="J41" s="16" t="n">
        <v>336.0</v>
      </c>
      <c r="K41">
        <f t="shared" si="1"/>
        <v>12297</v>
      </c>
      <c r="W41" s="9"/>
    </row>
    <row r="42" spans="1:23" x14ac:dyDescent="0.25">
      <c r="A42">
        <v>31</v>
      </c>
      <c r="B42" s="9" t="n">
        <v>7290.656065508332</v>
      </c>
      <c r="C42" s="9" t="n">
        <v>367.97709888740803</v>
      </c>
      <c r="D42" s="9" t="n">
        <v>424.497314053641</v>
      </c>
      <c r="E42" s="9">
        <f t="shared" si="0"/>
        <v>8083.1304784493814</v>
      </c>
      <c r="G42">
        <v>31</v>
      </c>
      <c r="H42" s="16" t="n">
        <v>10535.0</v>
      </c>
      <c r="I42" s="16" t="n">
        <v>926.0</v>
      </c>
      <c r="J42" s="16" t="n">
        <v>329.0</v>
      </c>
      <c r="K42">
        <f t="shared" si="1"/>
        <v>11672</v>
      </c>
      <c r="W42" s="9"/>
    </row>
    <row r="43" spans="1:23" x14ac:dyDescent="0.25">
      <c r="A43">
        <v>32</v>
      </c>
      <c r="B43" s="9" t="n">
        <v>6842.819345096924</v>
      </c>
      <c r="C43" s="9" t="n">
        <v>564.3288868771557</v>
      </c>
      <c r="D43" s="9" t="n">
        <v>0.0</v>
      </c>
      <c r="E43" s="9">
        <f t="shared" si="0"/>
        <v>7407.1482319740799</v>
      </c>
      <c r="G43">
        <v>32</v>
      </c>
      <c r="H43" s="16" t="n">
        <v>9903.0</v>
      </c>
      <c r="I43" s="16" t="n">
        <v>854.0</v>
      </c>
      <c r="J43" s="16" t="n">
        <v>314.0</v>
      </c>
      <c r="K43">
        <f t="shared" si="1"/>
        <v>11117</v>
      </c>
      <c r="W43" s="9"/>
    </row>
    <row r="44" spans="1:23" x14ac:dyDescent="0.25">
      <c r="A44">
        <v>33</v>
      </c>
      <c r="B44" s="9" t="n">
        <v>9494.803776354433</v>
      </c>
      <c r="C44" s="9" t="n">
        <v>91.7980003477607</v>
      </c>
      <c r="D44" s="9" t="n">
        <v>224.377519140366</v>
      </c>
      <c r="E44" s="9">
        <f t="shared" si="0"/>
        <v>9810.9792958425587</v>
      </c>
      <c r="G44">
        <v>33</v>
      </c>
      <c r="H44" s="16" t="n">
        <v>9461.0</v>
      </c>
      <c r="I44" s="16" t="n">
        <v>790.0</v>
      </c>
      <c r="J44" s="16" t="n">
        <v>288.0</v>
      </c>
      <c r="K44">
        <f t="shared" si="1"/>
        <v>10372</v>
      </c>
      <c r="W44" s="9"/>
    </row>
    <row r="45" spans="1:23" x14ac:dyDescent="0.25">
      <c r="A45">
        <v>34</v>
      </c>
      <c r="B45" s="9" t="n">
        <v>5566.636399423542</v>
      </c>
      <c r="C45" s="9" t="n">
        <v>711.7703898395409</v>
      </c>
      <c r="D45" s="9" t="n">
        <v>43.837501892159</v>
      </c>
      <c r="E45" s="9">
        <f t="shared" si="0"/>
        <v>6322.2442911552416</v>
      </c>
      <c r="G45">
        <v>34</v>
      </c>
      <c r="H45" s="16" t="n">
        <v>9193.0</v>
      </c>
      <c r="I45" s="16" t="n">
        <v>793.0</v>
      </c>
      <c r="J45" s="16" t="n">
        <v>322.0</v>
      </c>
      <c r="K45">
        <f t="shared" si="1"/>
        <v>10052</v>
      </c>
      <c r="W45" s="9"/>
    </row>
    <row r="46" spans="1:23" x14ac:dyDescent="0.25">
      <c r="A46">
        <v>35</v>
      </c>
      <c r="B46" s="9" t="n">
        <v>6748.131862519546</v>
      </c>
      <c r="C46" s="9" t="n">
        <v>687.3665229245036</v>
      </c>
      <c r="D46" s="9" t="n">
        <v>103.32434305203842</v>
      </c>
      <c r="E46" s="9">
        <f t="shared" si="0"/>
        <v>7538.8227284960885</v>
      </c>
      <c r="G46">
        <v>35</v>
      </c>
      <c r="H46" s="16" t="n">
        <v>8905.0</v>
      </c>
      <c r="I46" s="16" t="n">
        <v>674.0</v>
      </c>
      <c r="J46" s="16" t="n">
        <v>288.0</v>
      </c>
      <c r="K46">
        <f t="shared" si="1"/>
        <v>9660</v>
      </c>
      <c r="W46" s="9"/>
    </row>
    <row r="47" spans="1:23" x14ac:dyDescent="0.25">
      <c r="A47">
        <v>36</v>
      </c>
      <c r="B47" s="9" t="n">
        <v>8508.888884569653</v>
      </c>
      <c r="C47" s="9" t="n">
        <v>418.6673088334606</v>
      </c>
      <c r="D47" s="9" t="n">
        <v>597.8968472926331</v>
      </c>
      <c r="E47" s="9">
        <f t="shared" si="0"/>
        <v>9525.4530406957474</v>
      </c>
      <c r="G47">
        <v>36</v>
      </c>
      <c r="H47" s="16" t="n">
        <v>8936.0</v>
      </c>
      <c r="I47" s="16" t="n">
        <v>751.0</v>
      </c>
      <c r="J47" s="16" t="n">
        <v>288.0</v>
      </c>
      <c r="K47">
        <f t="shared" si="1"/>
        <v>9090</v>
      </c>
      <c r="W47" s="9"/>
    </row>
    <row r="48" spans="1:23" x14ac:dyDescent="0.25">
      <c r="A48">
        <v>37</v>
      </c>
      <c r="B48" s="9" t="n">
        <v>4611.703279793504</v>
      </c>
      <c r="C48" s="9" t="n">
        <v>380.8064473918665</v>
      </c>
      <c r="D48" s="9" t="n">
        <v>0.0</v>
      </c>
      <c r="E48" s="9">
        <f t="shared" si="0"/>
        <v>4992.509727185371</v>
      </c>
      <c r="G48">
        <v>37</v>
      </c>
      <c r="H48" s="16" t="n">
        <v>8575.0</v>
      </c>
      <c r="I48" s="16" t="n">
        <v>685.0</v>
      </c>
      <c r="J48" s="16" t="n">
        <v>264.0</v>
      </c>
      <c r="K48">
        <f t="shared" si="1"/>
        <v>8999</v>
      </c>
      <c r="W48" s="9"/>
    </row>
    <row r="49" spans="1:23" x14ac:dyDescent="0.25">
      <c r="A49">
        <v>38</v>
      </c>
      <c r="B49" s="9" t="n">
        <v>7480.180256307894</v>
      </c>
      <c r="C49" s="9" t="n">
        <v>125.8503250186471</v>
      </c>
      <c r="D49" s="9" t="n">
        <v>161.1633007801325</v>
      </c>
      <c r="E49" s="9">
        <f t="shared" si="0"/>
        <v>7767.1938821066733</v>
      </c>
      <c r="G49">
        <v>38</v>
      </c>
      <c r="H49" s="16" t="n">
        <v>8130.0</v>
      </c>
      <c r="I49" s="16" t="n">
        <v>666.0</v>
      </c>
      <c r="J49" s="16" t="n">
        <v>252.0</v>
      </c>
      <c r="K49">
        <f t="shared" si="1"/>
        <v>8356</v>
      </c>
      <c r="W49" s="9"/>
    </row>
    <row r="50" spans="1:23" x14ac:dyDescent="0.25">
      <c r="A50">
        <v>39</v>
      </c>
      <c r="B50" s="9" t="n">
        <v>7783.915814220444</v>
      </c>
      <c r="C50" s="9" t="n">
        <v>711.5809259206874</v>
      </c>
      <c r="D50" s="9" t="n">
        <v>61.2858481420108</v>
      </c>
      <c r="E50" s="9">
        <f t="shared" si="0"/>
        <v>8556.7825882831439</v>
      </c>
      <c r="G50">
        <v>39</v>
      </c>
      <c r="H50" s="16" t="n">
        <v>7956.0</v>
      </c>
      <c r="I50" s="16" t="n">
        <v>634.0</v>
      </c>
      <c r="J50" s="16" t="n">
        <v>251.0</v>
      </c>
      <c r="K50">
        <f t="shared" si="1"/>
        <v>8286</v>
      </c>
      <c r="W50" s="9"/>
    </row>
    <row r="51" spans="1:23" x14ac:dyDescent="0.25">
      <c r="A51">
        <v>40</v>
      </c>
      <c r="B51" s="9" t="n">
        <v>5052.552332197169</v>
      </c>
      <c r="C51" s="9" t="n">
        <v>213.3550660000808</v>
      </c>
      <c r="D51" s="9" t="n">
        <v>266.2172978125226</v>
      </c>
      <c r="E51" s="9">
        <f t="shared" si="0"/>
        <v>5532.1246960097724</v>
      </c>
      <c r="G51">
        <v>40</v>
      </c>
      <c r="H51" s="16" t="n">
        <v>8052.0</v>
      </c>
      <c r="I51" s="16" t="n">
        <v>587.0</v>
      </c>
      <c r="J51" s="16" t="n">
        <v>219.0</v>
      </c>
      <c r="K51">
        <f t="shared" si="1"/>
        <v>7727</v>
      </c>
      <c r="W51" s="9"/>
    </row>
    <row r="52" spans="1:23" x14ac:dyDescent="0.25">
      <c r="A52">
        <v>41</v>
      </c>
      <c r="B52" s="9" t="n">
        <v>4222.981677628612</v>
      </c>
      <c r="C52" s="9" t="n">
        <v>568.0645694707017</v>
      </c>
      <c r="D52" s="9" t="n">
        <v>0.0</v>
      </c>
      <c r="E52" s="9">
        <f t="shared" si="0"/>
        <v>4791.0462470993134</v>
      </c>
      <c r="G52">
        <v>41</v>
      </c>
      <c r="H52" s="16" t="n">
        <v>7748.0</v>
      </c>
      <c r="I52" s="16" t="n">
        <v>546.0</v>
      </c>
      <c r="J52" s="16" t="n">
        <v>223.0</v>
      </c>
      <c r="K52">
        <f t="shared" si="1"/>
        <v>7314</v>
      </c>
      <c r="W52" s="9"/>
    </row>
    <row r="53" spans="1:23" x14ac:dyDescent="0.25">
      <c r="A53">
        <v>42</v>
      </c>
      <c r="B53" s="9" t="n">
        <v>3295.091429743648</v>
      </c>
      <c r="C53" s="9" t="n">
        <v>323.5940512184427</v>
      </c>
      <c r="D53" s="9" t="n">
        <v>495.102892725069</v>
      </c>
      <c r="E53" s="9">
        <f t="shared" si="0"/>
        <v>4113.7883736871599</v>
      </c>
      <c r="G53">
        <v>42</v>
      </c>
      <c r="H53" s="16" t="n">
        <v>7505.0</v>
      </c>
      <c r="I53" s="16" t="n">
        <v>532.0</v>
      </c>
      <c r="J53" s="16" t="n">
        <v>223.0</v>
      </c>
      <c r="K53">
        <f t="shared" si="1"/>
        <v>7122</v>
      </c>
      <c r="W53" s="9"/>
    </row>
    <row r="54" spans="1:23" x14ac:dyDescent="0.25">
      <c r="A54">
        <v>43</v>
      </c>
      <c r="B54" s="9" t="n">
        <v>4192.38705517278</v>
      </c>
      <c r="C54" s="9" t="n">
        <v>354.9218010226478</v>
      </c>
      <c r="D54" s="9" t="n">
        <v>0.0</v>
      </c>
      <c r="E54" s="9">
        <f t="shared" si="0"/>
        <v>4547.3088561954273</v>
      </c>
      <c r="G54">
        <v>43</v>
      </c>
      <c r="H54" s="16" t="n">
        <v>7641.0</v>
      </c>
      <c r="I54" s="16" t="n">
        <v>568.0</v>
      </c>
      <c r="J54" s="16" t="n">
        <v>210.0</v>
      </c>
      <c r="K54">
        <f t="shared" si="1"/>
        <v>6586</v>
      </c>
      <c r="W54" s="9"/>
    </row>
    <row r="55" spans="1:23" x14ac:dyDescent="0.25">
      <c r="A55">
        <v>44</v>
      </c>
      <c r="B55" s="9" t="n">
        <v>3349.7237011592856</v>
      </c>
      <c r="C55" s="9" t="n">
        <v>112.8997031514202</v>
      </c>
      <c r="D55" s="9" t="n">
        <v>36.2890671170556</v>
      </c>
      <c r="E55" s="9">
        <f t="shared" si="0"/>
        <v>3498.9124714277614</v>
      </c>
      <c r="G55">
        <v>44</v>
      </c>
      <c r="H55" s="16" t="n">
        <v>6986.0</v>
      </c>
      <c r="I55" s="16" t="n">
        <v>478.0</v>
      </c>
      <c r="J55" s="16" t="n">
        <v>197.0</v>
      </c>
      <c r="K55">
        <f t="shared" si="1"/>
        <v>6306</v>
      </c>
      <c r="W55" s="9"/>
    </row>
    <row r="56" spans="1:23" x14ac:dyDescent="0.25">
      <c r="A56">
        <v>45</v>
      </c>
      <c r="B56" s="9" t="n">
        <v>5250.709183078698</v>
      </c>
      <c r="C56" s="9" t="n">
        <v>515.065725588328</v>
      </c>
      <c r="D56" s="9" t="n">
        <v>0.0</v>
      </c>
      <c r="E56" s="9">
        <f t="shared" si="0"/>
        <v>5765.7749086670256</v>
      </c>
      <c r="G56">
        <v>45</v>
      </c>
      <c r="H56" s="16" t="n">
        <v>7115.0</v>
      </c>
      <c r="I56" s="16" t="n">
        <v>465.0</v>
      </c>
      <c r="J56" s="16" t="n">
        <v>199.0</v>
      </c>
      <c r="K56">
        <f t="shared" si="1"/>
        <v>5645</v>
      </c>
      <c r="W56" s="9"/>
    </row>
    <row r="57" spans="1:23" x14ac:dyDescent="0.25">
      <c r="A57">
        <v>46</v>
      </c>
      <c r="B57" s="9" t="n">
        <v>2142.361505570202</v>
      </c>
      <c r="C57" s="9" t="n">
        <v>580.1368753323869</v>
      </c>
      <c r="D57" s="9" t="n">
        <v>654.51513937104</v>
      </c>
      <c r="E57" s="9">
        <f t="shared" si="0"/>
        <v>3377.0135202736292</v>
      </c>
      <c r="G57">
        <v>46</v>
      </c>
      <c r="H57" s="16" t="n">
        <v>6765.0</v>
      </c>
      <c r="I57" s="16" t="n">
        <v>445.0</v>
      </c>
      <c r="J57" s="16" t="n">
        <v>170.0</v>
      </c>
      <c r="K57">
        <f t="shared" si="1"/>
        <v>5457</v>
      </c>
      <c r="W57" s="9"/>
    </row>
    <row r="58" spans="1:23" x14ac:dyDescent="0.25">
      <c r="A58">
        <v>47</v>
      </c>
      <c r="B58" s="9" t="n">
        <v>3852.8182958834623</v>
      </c>
      <c r="C58" s="9" t="n">
        <v>83.6307903483621</v>
      </c>
      <c r="D58" s="9" t="n">
        <v>0.0</v>
      </c>
      <c r="E58" s="9">
        <f t="shared" si="0"/>
        <v>3936.4490862318244</v>
      </c>
      <c r="G58">
        <v>47</v>
      </c>
      <c r="H58" s="16" t="n">
        <v>6337.0</v>
      </c>
      <c r="I58" s="16" t="n">
        <v>393.0</v>
      </c>
      <c r="J58" s="16" t="n">
        <v>174.0</v>
      </c>
      <c r="K58">
        <f t="shared" si="1"/>
        <v>5056</v>
      </c>
      <c r="W58" s="9"/>
    </row>
    <row r="59" spans="1:23" x14ac:dyDescent="0.25">
      <c r="A59">
        <v>48</v>
      </c>
      <c r="B59" s="9" t="n">
        <v>3490.030399367886</v>
      </c>
      <c r="C59" s="9" t="n">
        <v>93.8947512799998</v>
      </c>
      <c r="D59" s="9" t="n">
        <v>0.0</v>
      </c>
      <c r="E59" s="9">
        <f t="shared" si="0"/>
        <v>3583.9251506478854</v>
      </c>
      <c r="G59">
        <v>48</v>
      </c>
      <c r="H59" s="16" t="n">
        <v>6336.0</v>
      </c>
      <c r="I59" s="16" t="n">
        <v>388.0</v>
      </c>
      <c r="J59" s="16" t="n">
        <v>188.0</v>
      </c>
      <c r="K59">
        <f t="shared" si="1"/>
        <v>4914</v>
      </c>
      <c r="W59" s="9"/>
    </row>
    <row r="60" spans="1:23" x14ac:dyDescent="0.25">
      <c r="A60">
        <v>49</v>
      </c>
      <c r="B60" s="9" t="n">
        <v>2674.930388006257</v>
      </c>
      <c r="C60" s="9" t="n">
        <v>28.5874540713672</v>
      </c>
      <c r="D60" s="9" t="n">
        <v>0.0</v>
      </c>
      <c r="E60" s="9">
        <f t="shared" si="0"/>
        <v>2703.5178420776242</v>
      </c>
      <c r="G60">
        <v>49</v>
      </c>
      <c r="H60" s="16" t="n">
        <v>6344.0</v>
      </c>
      <c r="I60" s="16" t="n">
        <v>396.0</v>
      </c>
      <c r="J60" s="16" t="n">
        <v>162.0</v>
      </c>
      <c r="K60">
        <f t="shared" si="1"/>
        <v>4742</v>
      </c>
      <c r="W60" s="9"/>
    </row>
    <row r="61" spans="1:23" x14ac:dyDescent="0.25">
      <c r="A61">
        <v>50</v>
      </c>
      <c r="B61" s="9" t="n">
        <v>1567.925946007652</v>
      </c>
      <c r="C61" s="9" t="n">
        <v>0.0</v>
      </c>
      <c r="D61" s="9" t="n">
        <v>0.0</v>
      </c>
      <c r="E61" s="9">
        <f t="shared" si="0"/>
        <v>1567.9259460076521</v>
      </c>
      <c r="G61">
        <v>50</v>
      </c>
      <c r="H61" s="16" t="n">
        <v>5916.0</v>
      </c>
      <c r="I61" s="16" t="n">
        <v>428.0</v>
      </c>
      <c r="J61" s="16" t="n">
        <v>136.0</v>
      </c>
      <c r="K61">
        <f t="shared" si="1"/>
        <v>4627</v>
      </c>
      <c r="W61" s="9"/>
    </row>
    <row r="62" spans="1:23" x14ac:dyDescent="0.25">
      <c r="A62">
        <v>51</v>
      </c>
      <c r="B62" s="9" t="n">
        <v>2363.291029476585</v>
      </c>
      <c r="C62" s="9" t="n">
        <v>206.1985757645713</v>
      </c>
      <c r="D62" s="9" t="n">
        <v>76.4968029091012</v>
      </c>
      <c r="E62" s="9">
        <f t="shared" si="0"/>
        <v>2645.9864081502574</v>
      </c>
      <c r="G62">
        <v>51</v>
      </c>
      <c r="H62" s="16" t="n">
        <v>5797.0</v>
      </c>
      <c r="I62" s="16" t="n">
        <v>369.0</v>
      </c>
      <c r="J62" s="16" t="n">
        <v>156.0</v>
      </c>
      <c r="K62">
        <f t="shared" si="1"/>
        <v>4348</v>
      </c>
      <c r="W62" s="9"/>
    </row>
    <row r="63" spans="1:23" x14ac:dyDescent="0.25">
      <c r="A63">
        <v>52</v>
      </c>
      <c r="B63" s="9" t="n">
        <v>363.53749048180583</v>
      </c>
      <c r="C63" s="9" t="n">
        <v>392.74735996220295</v>
      </c>
      <c r="D63" s="9" t="n">
        <v>0.0</v>
      </c>
      <c r="E63" s="9">
        <f t="shared" si="0"/>
        <v>756.28485044400873</v>
      </c>
      <c r="G63">
        <v>52</v>
      </c>
      <c r="H63" s="16" t="n">
        <v>5138.0</v>
      </c>
      <c r="I63" s="16" t="n">
        <v>351.0</v>
      </c>
      <c r="J63" s="16" t="n">
        <v>133.0</v>
      </c>
      <c r="K63">
        <f t="shared" si="1"/>
        <v>4120</v>
      </c>
      <c r="W63" s="9"/>
    </row>
    <row r="64" spans="1:23" x14ac:dyDescent="0.25">
      <c r="A64">
        <v>53</v>
      </c>
      <c r="B64" s="9" t="n">
        <v>1141.2357716394788</v>
      </c>
      <c r="C64" s="9" t="n">
        <v>170.9996681650496</v>
      </c>
      <c r="D64" s="9" t="n">
        <v>0.0</v>
      </c>
      <c r="E64" s="9">
        <f t="shared" si="0"/>
        <v>1312.2354398045284</v>
      </c>
      <c r="G64">
        <v>53</v>
      </c>
      <c r="H64" s="16" t="n">
        <v>5174.0</v>
      </c>
      <c r="I64" s="16" t="n">
        <v>315.0</v>
      </c>
      <c r="J64" s="16" t="n">
        <v>115.0</v>
      </c>
      <c r="K64">
        <f t="shared" si="1"/>
        <v>3702</v>
      </c>
      <c r="W64" s="9"/>
    </row>
    <row r="65" spans="1:23" x14ac:dyDescent="0.25">
      <c r="A65">
        <v>54</v>
      </c>
      <c r="B65" s="9" t="n">
        <v>1714.3376549427362</v>
      </c>
      <c r="C65" s="9" t="n">
        <v>109.827660800789</v>
      </c>
      <c r="D65" s="9" t="n">
        <v>0.0</v>
      </c>
      <c r="E65" s="9">
        <f t="shared" si="0"/>
        <v>1824.1653157435253</v>
      </c>
      <c r="G65">
        <v>54</v>
      </c>
      <c r="H65" s="16" t="n">
        <v>4874.0</v>
      </c>
      <c r="I65" s="16" t="n">
        <v>313.0</v>
      </c>
      <c r="J65" s="16" t="n">
        <v>114.0</v>
      </c>
      <c r="K65">
        <f t="shared" si="1"/>
        <v>3565</v>
      </c>
      <c r="W65" s="9"/>
    </row>
    <row r="66" spans="1:23" x14ac:dyDescent="0.25">
      <c r="A66">
        <v>55</v>
      </c>
      <c r="B66" s="9" t="n">
        <v>1848.8033225755778</v>
      </c>
      <c r="C66" s="9" t="n">
        <v>27.9760635792779</v>
      </c>
      <c r="D66" s="9" t="n">
        <v>53.7405419735351</v>
      </c>
      <c r="E66" s="9">
        <f t="shared" si="0"/>
        <v>1930.5199281283908</v>
      </c>
      <c r="G66">
        <v>55</v>
      </c>
      <c r="H66" s="16" t="n">
        <v>4858.0</v>
      </c>
      <c r="I66" s="16" t="n">
        <v>280.0</v>
      </c>
      <c r="J66" s="16" t="n">
        <v>115.0</v>
      </c>
      <c r="K66">
        <f t="shared" si="1"/>
        <v>3140</v>
      </c>
      <c r="W66" s="9"/>
    </row>
    <row r="67" spans="1:23" x14ac:dyDescent="0.25">
      <c r="A67">
        <v>56</v>
      </c>
      <c r="B67" s="9" t="n">
        <v>2343.893902029461</v>
      </c>
      <c r="C67" s="9" t="n">
        <v>0.0</v>
      </c>
      <c r="D67" s="9" t="n">
        <v>0.0</v>
      </c>
      <c r="E67" s="9">
        <f t="shared" si="0"/>
        <v>2343.8939020294611</v>
      </c>
      <c r="G67">
        <v>56</v>
      </c>
      <c r="H67" s="16" t="n">
        <v>4608.0</v>
      </c>
      <c r="I67" s="16" t="n">
        <v>245.0</v>
      </c>
      <c r="J67" s="16" t="n">
        <v>87.0</v>
      </c>
      <c r="K67">
        <f t="shared" si="1"/>
        <v>2784</v>
      </c>
      <c r="W67" s="9"/>
    </row>
    <row r="68" spans="1:23" x14ac:dyDescent="0.25">
      <c r="A68">
        <v>57</v>
      </c>
      <c r="B68" s="9" t="n">
        <v>891.5525304106511</v>
      </c>
      <c r="C68" s="9" t="n">
        <v>36.1713256356157</v>
      </c>
      <c r="D68" s="9" t="n">
        <v>0.0</v>
      </c>
      <c r="E68" s="9">
        <f t="shared" si="0"/>
        <v>927.72385604626686</v>
      </c>
      <c r="G68">
        <v>57</v>
      </c>
      <c r="H68" s="16" t="n">
        <v>4426.0</v>
      </c>
      <c r="I68" s="16" t="n">
        <v>275.0</v>
      </c>
      <c r="J68" s="16" t="n">
        <v>94.0</v>
      </c>
      <c r="K68">
        <f t="shared" si="1"/>
        <v>2541</v>
      </c>
      <c r="W68" s="9"/>
    </row>
    <row r="69" spans="1:23" x14ac:dyDescent="0.25">
      <c r="A69">
        <v>58</v>
      </c>
      <c r="B69" s="9" t="n">
        <v>2142.296423231727</v>
      </c>
      <c r="C69" s="9" t="n">
        <v>0.0</v>
      </c>
      <c r="D69" s="9" t="n">
        <v>0.0</v>
      </c>
      <c r="E69" s="9">
        <f t="shared" si="0"/>
        <v>2142.2964232317272</v>
      </c>
      <c r="G69">
        <v>58</v>
      </c>
      <c r="H69" s="16" t="n">
        <v>4142.0</v>
      </c>
      <c r="I69" s="16" t="n">
        <v>249.0</v>
      </c>
      <c r="J69" s="16" t="n">
        <v>98.0</v>
      </c>
      <c r="K69">
        <f t="shared" si="1"/>
        <v>2521</v>
      </c>
      <c r="W69" s="9"/>
    </row>
    <row r="70" spans="1:23" x14ac:dyDescent="0.25">
      <c r="A70">
        <v>59</v>
      </c>
      <c r="B70" s="9" t="n">
        <v>2268.446366693514</v>
      </c>
      <c r="C70" s="9" t="n">
        <v>177.05007348406372</v>
      </c>
      <c r="D70" s="9" t="n">
        <v>0.0</v>
      </c>
      <c r="E70" s="9">
        <f t="shared" si="0"/>
        <v>2445.4964401775778</v>
      </c>
      <c r="G70">
        <v>59</v>
      </c>
      <c r="H70" s="16" t="n">
        <v>3832.0</v>
      </c>
      <c r="I70" s="16" t="n">
        <v>242.0</v>
      </c>
      <c r="J70" s="16" t="n">
        <v>88.0</v>
      </c>
      <c r="K70">
        <f t="shared" si="1"/>
        <v>2277</v>
      </c>
      <c r="W70" s="9"/>
    </row>
    <row r="71" spans="1:23" x14ac:dyDescent="0.25">
      <c r="A71">
        <v>60</v>
      </c>
      <c r="B71" s="9" t="n">
        <v>762.6136753244053</v>
      </c>
      <c r="C71" s="9" t="n">
        <v>92.0539362412587</v>
      </c>
      <c r="D71" s="9" t="n">
        <v>0.0</v>
      </c>
      <c r="E71" s="9">
        <f t="shared" si="0"/>
        <v>854.66761156566406</v>
      </c>
      <c r="G71">
        <v>60</v>
      </c>
      <c r="H71" s="16" t="n">
        <v>3614.0</v>
      </c>
      <c r="I71" s="16" t="n">
        <v>202.0</v>
      </c>
      <c r="J71" s="16" t="n">
        <v>65.0</v>
      </c>
      <c r="K71">
        <f t="shared" si="1"/>
        <v>2262</v>
      </c>
      <c r="W71" s="9"/>
    </row>
    <row r="72" spans="1:23" x14ac:dyDescent="0.25">
      <c r="A72">
        <v>61</v>
      </c>
      <c r="B72" s="9" t="n">
        <v>1040.190343815064</v>
      </c>
      <c r="C72" s="9" t="n">
        <v>0.0</v>
      </c>
      <c r="D72" s="9" t="n">
        <v>0.0</v>
      </c>
      <c r="E72" s="9">
        <f t="shared" si="0"/>
        <v>1040.1903438150639</v>
      </c>
      <c r="G72">
        <v>61</v>
      </c>
      <c r="H72" s="16" t="n">
        <v>3221.0</v>
      </c>
      <c r="I72" s="16" t="n">
        <v>188.0</v>
      </c>
      <c r="J72" s="16" t="n">
        <v>71.0</v>
      </c>
      <c r="K72">
        <f t="shared" si="1"/>
        <v>2011</v>
      </c>
      <c r="W72" s="9"/>
    </row>
    <row r="73" spans="1:23" x14ac:dyDescent="0.25">
      <c r="A73">
        <v>62</v>
      </c>
      <c r="B73" s="9" t="n">
        <v>473.7262388714614</v>
      </c>
      <c r="C73" s="9" t="n">
        <v>74.2925044326287</v>
      </c>
      <c r="D73" s="9" t="n">
        <v>0.0</v>
      </c>
      <c r="E73" s="9">
        <f t="shared" si="0"/>
        <v>548.01874330409009</v>
      </c>
      <c r="G73">
        <v>62</v>
      </c>
      <c r="H73" s="16" t="n">
        <v>3087.0</v>
      </c>
      <c r="I73" s="16" t="n">
        <v>151.0</v>
      </c>
      <c r="J73" s="16" t="n">
        <v>60.0</v>
      </c>
      <c r="K73">
        <f t="shared" si="1"/>
        <v>1918</v>
      </c>
      <c r="W73" s="9"/>
    </row>
    <row r="74" spans="1:23" x14ac:dyDescent="0.25">
      <c r="A74">
        <v>63</v>
      </c>
      <c r="B74" s="9" t="n">
        <v>842.7730588935018</v>
      </c>
      <c r="C74" s="9" t="n">
        <v>0.0</v>
      </c>
      <c r="D74" s="9" t="n">
        <v>0.0</v>
      </c>
      <c r="E74" s="9">
        <f t="shared" si="0"/>
        <v>842.7730588935018</v>
      </c>
      <c r="G74">
        <v>63</v>
      </c>
      <c r="H74" s="16" t="n">
        <v>2769.0</v>
      </c>
      <c r="I74" s="16" t="n">
        <v>150.0</v>
      </c>
      <c r="J74" s="16" t="n">
        <v>70.0</v>
      </c>
      <c r="K74">
        <f t="shared" si="1"/>
        <v>1766</v>
      </c>
      <c r="W74" s="9"/>
    </row>
    <row r="75" spans="1:23" x14ac:dyDescent="0.25">
      <c r="A75">
        <v>64</v>
      </c>
      <c r="B75" s="9" t="n">
        <v>268.91221840699154</v>
      </c>
      <c r="C75" s="9" t="n">
        <v>0.0</v>
      </c>
      <c r="D75" s="9" t="n">
        <v>0.0</v>
      </c>
      <c r="E75" s="9">
        <f t="shared" si="0"/>
        <v>268.91221840699154</v>
      </c>
      <c r="G75">
        <v>64</v>
      </c>
      <c r="H75" s="16" t="n">
        <v>2544.0</v>
      </c>
      <c r="I75" s="16" t="n">
        <v>167.0</v>
      </c>
      <c r="J75" s="16" t="n">
        <v>65.0</v>
      </c>
      <c r="K75">
        <f t="shared" si="1"/>
        <v>1611</v>
      </c>
      <c r="W75" s="9"/>
    </row>
    <row r="76" spans="1:23" x14ac:dyDescent="0.25">
      <c r="A76">
        <v>65</v>
      </c>
      <c r="B76" s="9" t="n">
        <v>1509.8745445421812</v>
      </c>
      <c r="C76" s="9" t="n">
        <v>0.0</v>
      </c>
      <c r="D76" s="9" t="n">
        <v>0.0</v>
      </c>
      <c r="E76" s="9">
        <f t="shared" ref="E76:E101" si="2">SUM(B76:D76)</f>
        <v>1509.8745445421812</v>
      </c>
      <c r="G76">
        <v>65</v>
      </c>
      <c r="H76" s="16" t="n">
        <v>2475.0</v>
      </c>
      <c r="I76" s="16" t="n">
        <v>137.0</v>
      </c>
      <c r="J76" s="16" t="n">
        <v>64.0</v>
      </c>
      <c r="K76">
        <f t="shared" ref="K76:K101" si="3">SUM(H76:J76)</f>
        <v>1495</v>
      </c>
      <c r="W76" s="9"/>
    </row>
    <row r="77" spans="1:23" x14ac:dyDescent="0.25">
      <c r="A77">
        <v>66</v>
      </c>
      <c r="B77" s="9" t="n">
        <v>102.3234183625895</v>
      </c>
      <c r="C77" s="9" t="n">
        <v>0.0</v>
      </c>
      <c r="D77" s="9" t="n">
        <v>0.0</v>
      </c>
      <c r="E77" s="9">
        <f t="shared" si="2"/>
        <v>102.32341836258951</v>
      </c>
      <c r="G77">
        <v>66</v>
      </c>
      <c r="H77" s="16" t="n">
        <v>2290.0</v>
      </c>
      <c r="I77" s="16" t="n">
        <v>122.0</v>
      </c>
      <c r="J77" s="16" t="n">
        <v>76.0</v>
      </c>
      <c r="K77">
        <f t="shared" si="3"/>
        <v>1476</v>
      </c>
      <c r="W77" s="9"/>
    </row>
    <row r="78" spans="1:23" x14ac:dyDescent="0.25">
      <c r="A78">
        <v>67</v>
      </c>
      <c r="B78" s="9" t="n">
        <v>444.0815574332882</v>
      </c>
      <c r="C78" s="9" t="n">
        <v>27.2746259405429</v>
      </c>
      <c r="D78" s="9" t="n">
        <v>0.0</v>
      </c>
      <c r="E78" s="9">
        <f t="shared" si="2"/>
        <v>471.35618337383107</v>
      </c>
      <c r="G78">
        <v>67</v>
      </c>
      <c r="H78" s="16" t="n">
        <v>2205.0</v>
      </c>
      <c r="I78" s="16" t="n">
        <v>121.0</v>
      </c>
      <c r="J78" s="16" t="n">
        <v>49.0</v>
      </c>
      <c r="K78">
        <f t="shared" si="3"/>
        <v>1352</v>
      </c>
      <c r="W78" s="9"/>
    </row>
    <row r="79" spans="1:23" x14ac:dyDescent="0.25">
      <c r="A79">
        <v>68</v>
      </c>
      <c r="B79" s="9" t="n">
        <v>463.84000942268574</v>
      </c>
      <c r="C79" s="9" t="n">
        <v>0.0</v>
      </c>
      <c r="D79" s="9" t="n">
        <v>0.0</v>
      </c>
      <c r="E79" s="9">
        <f t="shared" si="2"/>
        <v>463.84000942268574</v>
      </c>
      <c r="G79">
        <v>68</v>
      </c>
      <c r="H79" s="16" t="n">
        <v>1920.0</v>
      </c>
      <c r="I79" s="16" t="n">
        <v>128.0</v>
      </c>
      <c r="J79" s="16" t="n">
        <v>41.0</v>
      </c>
      <c r="K79">
        <f t="shared" si="3"/>
        <v>1284</v>
      </c>
      <c r="W79" s="9"/>
    </row>
    <row r="80" spans="1:23" x14ac:dyDescent="0.25">
      <c r="A80">
        <v>69</v>
      </c>
      <c r="B80" s="9" t="n">
        <v>1046.2207175497442</v>
      </c>
      <c r="C80" s="9" t="n">
        <v>0.0</v>
      </c>
      <c r="D80" s="9" t="n">
        <v>0.0</v>
      </c>
      <c r="E80" s="9">
        <f t="shared" si="2"/>
        <v>1046.2207175497442</v>
      </c>
      <c r="G80">
        <v>69</v>
      </c>
      <c r="H80" s="16" t="n">
        <v>1846.0</v>
      </c>
      <c r="I80" s="16" t="n">
        <v>121.0</v>
      </c>
      <c r="J80" s="16" t="n">
        <v>41.0</v>
      </c>
      <c r="K80">
        <f t="shared" si="3"/>
        <v>1158</v>
      </c>
      <c r="W80" s="9"/>
    </row>
    <row r="81" spans="1:23" x14ac:dyDescent="0.25">
      <c r="A81">
        <v>70</v>
      </c>
      <c r="B81" s="9" t="n">
        <v>813.399223155497</v>
      </c>
      <c r="C81" s="9" t="n">
        <v>0.0</v>
      </c>
      <c r="D81" s="9" t="n">
        <v>0.0</v>
      </c>
      <c r="E81" s="9">
        <f t="shared" si="2"/>
        <v>813.399223155497</v>
      </c>
      <c r="G81">
        <v>70</v>
      </c>
      <c r="H81" s="16" t="n">
        <v>1655.0</v>
      </c>
      <c r="I81" s="16" t="n">
        <v>103.0</v>
      </c>
      <c r="J81" s="16" t="n">
        <v>34.0</v>
      </c>
      <c r="K81">
        <f t="shared" si="3"/>
        <v>1160</v>
      </c>
      <c r="W81" s="9"/>
    </row>
    <row r="82" spans="1:23" x14ac:dyDescent="0.25">
      <c r="A82">
        <v>71</v>
      </c>
      <c r="B82" s="9" t="n">
        <v>409.8931595977752</v>
      </c>
      <c r="C82" s="9" t="n">
        <v>34.3455237132042</v>
      </c>
      <c r="D82" s="9" t="n">
        <v>0.0</v>
      </c>
      <c r="E82" s="9">
        <f t="shared" si="2"/>
        <v>444.23868331097941</v>
      </c>
      <c r="G82">
        <v>71</v>
      </c>
      <c r="H82" s="16" t="n">
        <v>1627.0</v>
      </c>
      <c r="I82" s="16" t="n">
        <v>109.0</v>
      </c>
      <c r="J82" s="16" t="n">
        <v>33.0</v>
      </c>
      <c r="K82">
        <f t="shared" si="3"/>
        <v>1025</v>
      </c>
      <c r="W82" s="9"/>
    </row>
    <row r="83" spans="1:23" x14ac:dyDescent="0.25">
      <c r="A83">
        <v>72</v>
      </c>
      <c r="B83" s="9" t="n">
        <v>0.0</v>
      </c>
      <c r="C83" s="9" t="n">
        <v>0.0</v>
      </c>
      <c r="D83" s="9" t="n">
        <v>0.0</v>
      </c>
      <c r="E83" s="9">
        <f t="shared" si="2"/>
        <v>0</v>
      </c>
      <c r="G83">
        <v>72</v>
      </c>
      <c r="H83" s="16" t="n">
        <v>1445.0</v>
      </c>
      <c r="I83" s="16" t="n">
        <v>85.0</v>
      </c>
      <c r="J83" s="16" t="n">
        <v>37.0</v>
      </c>
      <c r="K83">
        <f t="shared" si="3"/>
        <v>928</v>
      </c>
      <c r="W83" s="9"/>
    </row>
    <row r="84" spans="1:23" x14ac:dyDescent="0.25">
      <c r="A84">
        <v>73</v>
      </c>
      <c r="B84" s="9" t="n">
        <v>390.8823414423468</v>
      </c>
      <c r="C84" s="9" t="n">
        <v>0.0</v>
      </c>
      <c r="D84" s="9" t="n">
        <v>0.0</v>
      </c>
      <c r="E84" s="9">
        <f t="shared" si="2"/>
        <v>390.88234144234679</v>
      </c>
      <c r="G84">
        <v>73</v>
      </c>
      <c r="H84" s="16" t="n">
        <v>1399.0</v>
      </c>
      <c r="I84" s="16" t="n">
        <v>92.0</v>
      </c>
      <c r="J84" s="16" t="n">
        <v>26.0</v>
      </c>
      <c r="K84">
        <f t="shared" si="3"/>
        <v>938</v>
      </c>
      <c r="W84" s="9"/>
    </row>
    <row r="85" spans="1:23" x14ac:dyDescent="0.25">
      <c r="A85">
        <v>74</v>
      </c>
      <c r="B85" s="9" t="n">
        <v>342.402299725126</v>
      </c>
      <c r="C85" s="9" t="n">
        <v>0.0</v>
      </c>
      <c r="D85" s="9" t="n">
        <v>0.0</v>
      </c>
      <c r="E85" s="9">
        <f t="shared" si="2"/>
        <v>342.402299725126</v>
      </c>
      <c r="G85">
        <v>74</v>
      </c>
      <c r="H85" s="16" t="n">
        <v>1414.0</v>
      </c>
      <c r="I85" s="16" t="n">
        <v>105.0</v>
      </c>
      <c r="J85" s="16" t="n">
        <v>32.0</v>
      </c>
      <c r="K85">
        <f t="shared" si="3"/>
        <v>785</v>
      </c>
      <c r="W85" s="9"/>
    </row>
    <row r="86" spans="1:23" x14ac:dyDescent="0.25">
      <c r="A86">
        <v>75</v>
      </c>
      <c r="B86" s="9" t="n">
        <v>45.0836394940109</v>
      </c>
      <c r="C86" s="9" t="n">
        <v>0.0</v>
      </c>
      <c r="D86" s="9" t="n">
        <v>0.0</v>
      </c>
      <c r="E86" s="9">
        <f t="shared" si="2"/>
        <v>45.083639494010903</v>
      </c>
      <c r="G86">
        <v>75</v>
      </c>
      <c r="H86" s="16" t="n">
        <v>1342.0</v>
      </c>
      <c r="I86" s="16" t="n">
        <v>91.0</v>
      </c>
      <c r="J86" s="16" t="n">
        <v>21.0</v>
      </c>
      <c r="K86">
        <f t="shared" si="3"/>
        <v>726</v>
      </c>
      <c r="W86" s="9"/>
    </row>
    <row r="87" spans="1:23" x14ac:dyDescent="0.25">
      <c r="A87">
        <v>76</v>
      </c>
      <c r="B87" s="9" t="n">
        <v>194.40680958973</v>
      </c>
      <c r="C87" s="9" t="n">
        <v>0.0</v>
      </c>
      <c r="D87" s="9" t="n">
        <v>0.0</v>
      </c>
      <c r="E87" s="9">
        <f t="shared" si="2"/>
        <v>194.40680958972999</v>
      </c>
      <c r="G87">
        <v>76</v>
      </c>
      <c r="H87" s="16" t="n">
        <v>1270.0</v>
      </c>
      <c r="I87" s="16" t="n">
        <v>87.0</v>
      </c>
      <c r="J87" s="16" t="n">
        <v>14.0</v>
      </c>
      <c r="K87">
        <f t="shared" si="3"/>
        <v>584</v>
      </c>
      <c r="W87" s="9"/>
    </row>
    <row r="88" spans="1:23" x14ac:dyDescent="0.25">
      <c r="A88">
        <v>77</v>
      </c>
      <c r="B88" s="9" t="n">
        <v>738.689576478381</v>
      </c>
      <c r="C88" s="9" t="n">
        <v>0.0</v>
      </c>
      <c r="D88" s="9" t="n">
        <v>0.0</v>
      </c>
      <c r="E88" s="9">
        <f t="shared" si="2"/>
        <v>738.68957647838101</v>
      </c>
      <c r="G88">
        <v>77</v>
      </c>
      <c r="H88" s="16" t="n">
        <v>1149.0</v>
      </c>
      <c r="I88" s="16" t="n">
        <v>66.0</v>
      </c>
      <c r="J88" s="16" t="n">
        <v>11.0</v>
      </c>
      <c r="K88">
        <f t="shared" si="3"/>
        <v>523</v>
      </c>
      <c r="W88" s="9"/>
    </row>
    <row r="89" spans="1:23" x14ac:dyDescent="0.25">
      <c r="A89">
        <v>78</v>
      </c>
      <c r="B89" s="9" t="n">
        <v>240.1892697509537</v>
      </c>
      <c r="C89" s="9" t="n">
        <v>41.8458826914718</v>
      </c>
      <c r="D89" s="9" t="n">
        <v>0.0</v>
      </c>
      <c r="E89" s="9">
        <f t="shared" si="2"/>
        <v>282.0351524424255</v>
      </c>
      <c r="G89">
        <v>78</v>
      </c>
      <c r="H89" s="16" t="n">
        <v>955.0</v>
      </c>
      <c r="I89" s="16" t="n">
        <v>75.0</v>
      </c>
      <c r="J89" s="16" t="n">
        <v>15.0</v>
      </c>
      <c r="K89">
        <f t="shared" si="3"/>
        <v>450</v>
      </c>
      <c r="W89" s="9"/>
    </row>
    <row r="90" spans="1:23" x14ac:dyDescent="0.25">
      <c r="A90">
        <v>79</v>
      </c>
      <c r="B90" s="9" t="n">
        <v>312.579832725274</v>
      </c>
      <c r="C90" s="9" t="n">
        <v>0.0</v>
      </c>
      <c r="D90" s="9" t="n">
        <v>0.0</v>
      </c>
      <c r="E90" s="9">
        <f t="shared" si="2"/>
        <v>312.579832725274</v>
      </c>
      <c r="G90">
        <v>79</v>
      </c>
      <c r="H90" s="16" t="n">
        <v>842.0</v>
      </c>
      <c r="I90" s="16" t="n">
        <v>63.0</v>
      </c>
      <c r="J90" s="16" t="n">
        <v>14.0</v>
      </c>
      <c r="K90">
        <f t="shared" si="3"/>
        <v>381</v>
      </c>
      <c r="W90" s="9"/>
    </row>
    <row r="91" spans="1:23" x14ac:dyDescent="0.25">
      <c r="A91">
        <v>80</v>
      </c>
      <c r="B91" s="9" t="n">
        <v>256.352368238167</v>
      </c>
      <c r="C91" s="9" t="n">
        <v>0.0</v>
      </c>
      <c r="D91" s="9" t="n">
        <v>0.0</v>
      </c>
      <c r="E91" s="9">
        <f t="shared" si="2"/>
        <v>256.352368238167</v>
      </c>
      <c r="G91">
        <v>80</v>
      </c>
      <c r="H91" s="16" t="n">
        <v>732.0</v>
      </c>
      <c r="I91" s="16" t="n">
        <v>63.0</v>
      </c>
      <c r="J91" s="16" t="n">
        <v>13.0</v>
      </c>
      <c r="K91">
        <f t="shared" si="3"/>
        <v>330</v>
      </c>
      <c r="W91" s="9"/>
    </row>
    <row r="92" spans="1:23" x14ac:dyDescent="0.25">
      <c r="A92">
        <v>81</v>
      </c>
      <c r="B92" s="9" t="n">
        <v>114.340931068469</v>
      </c>
      <c r="C92" s="9" t="n">
        <v>0.0</v>
      </c>
      <c r="D92" s="9" t="n">
        <v>0.0</v>
      </c>
      <c r="E92" s="9">
        <f t="shared" si="2"/>
        <v>114.340931068469</v>
      </c>
      <c r="G92">
        <v>81</v>
      </c>
      <c r="H92" s="16" t="n">
        <v>655.0</v>
      </c>
      <c r="I92" s="16" t="n">
        <v>63.0</v>
      </c>
      <c r="J92" s="16" t="n">
        <v>11.0</v>
      </c>
      <c r="K92">
        <f t="shared" si="3"/>
        <v>269</v>
      </c>
      <c r="W92" s="9"/>
    </row>
    <row r="93" spans="1:23" x14ac:dyDescent="0.25">
      <c r="A93">
        <v>82</v>
      </c>
      <c r="B93" s="9" t="n">
        <v>83.8027144263197</v>
      </c>
      <c r="C93" s="9" t="n">
        <v>0.0</v>
      </c>
      <c r="D93" s="9" t="n">
        <v>0.0</v>
      </c>
      <c r="E93" s="9">
        <f t="shared" si="2"/>
        <v>83.802714426319696</v>
      </c>
      <c r="G93">
        <v>82</v>
      </c>
      <c r="H93" s="16" t="n">
        <v>507.0</v>
      </c>
      <c r="I93" s="16" t="n">
        <v>58.0</v>
      </c>
      <c r="J93" s="16" t="n">
        <v>10.0</v>
      </c>
      <c r="K93">
        <f t="shared" si="3"/>
        <v>241</v>
      </c>
      <c r="W93" s="9"/>
    </row>
    <row r="94" spans="1:23" x14ac:dyDescent="0.25">
      <c r="A94">
        <v>83</v>
      </c>
      <c r="B94" s="9" t="n">
        <v>0.0</v>
      </c>
      <c r="C94" s="9" t="n">
        <v>0.0</v>
      </c>
      <c r="D94" s="9" t="n">
        <v>0.0</v>
      </c>
      <c r="E94" s="9">
        <f t="shared" si="2"/>
        <v>0</v>
      </c>
      <c r="G94">
        <v>83</v>
      </c>
      <c r="H94" s="16" t="n">
        <v>525.0</v>
      </c>
      <c r="I94" s="16" t="n">
        <v>42.0</v>
      </c>
      <c r="J94" t="n">
        <v>7.0</v>
      </c>
      <c r="K94">
        <f t="shared" si="3"/>
        <v>206</v>
      </c>
      <c r="W94" s="9"/>
    </row>
    <row r="95" spans="1:23" ht="15.75" thickBot="1" x14ac:dyDescent="0.3">
      <c r="A95">
        <v>84</v>
      </c>
      <c r="B95" s="9" t="n">
        <v>0.0</v>
      </c>
      <c r="C95" s="9" t="n">
        <v>0.0</v>
      </c>
      <c r="D95" s="9" t="n">
        <v>0.0</v>
      </c>
      <c r="E95" s="9">
        <f t="shared" si="2"/>
        <v>0</v>
      </c>
      <c r="G95">
        <v>84</v>
      </c>
      <c r="H95" s="16" t="n">
        <v>467.0</v>
      </c>
      <c r="I95" s="16" t="n">
        <v>46.0</v>
      </c>
      <c r="J95" s="16" t="n">
        <v>7.0</v>
      </c>
      <c r="K95">
        <f t="shared" si="3"/>
        <v>184</v>
      </c>
      <c r="W95" s="10"/>
    </row>
    <row r="96" spans="1:23" x14ac:dyDescent="0.25">
      <c r="A96">
        <v>85</v>
      </c>
      <c r="B96" s="9" t="n">
        <v>0.0</v>
      </c>
      <c r="C96" s="9" t="n">
        <v>0.0</v>
      </c>
      <c r="D96" s="9" t="n">
        <v>0.0</v>
      </c>
      <c r="E96" s="9">
        <f t="shared" si="2"/>
        <v>0</v>
      </c>
      <c r="G96">
        <v>85</v>
      </c>
      <c r="H96" s="16" t="n">
        <v>398.0</v>
      </c>
      <c r="I96" s="16" t="n">
        <v>48.0</v>
      </c>
      <c r="J96" t="n">
        <v>7.0</v>
      </c>
      <c r="K96">
        <f t="shared" si="3"/>
        <v>187</v>
      </c>
    </row>
    <row r="97" spans="1:11" x14ac:dyDescent="0.25">
      <c r="A97">
        <v>86</v>
      </c>
      <c r="B97" s="9" t="n">
        <v>0.0</v>
      </c>
      <c r="C97" s="9" t="n">
        <v>0.0</v>
      </c>
      <c r="D97" s="9" t="n">
        <v>0.0</v>
      </c>
      <c r="E97" s="9">
        <f t="shared" si="2"/>
        <v>0</v>
      </c>
      <c r="G97">
        <v>86</v>
      </c>
      <c r="H97" s="16" t="n">
        <v>364.0</v>
      </c>
      <c r="I97" s="16" t="n">
        <v>57.0</v>
      </c>
      <c r="J97" s="16" t="n">
        <v>12.0</v>
      </c>
      <c r="K97">
        <f t="shared" si="3"/>
        <v>132</v>
      </c>
    </row>
    <row r="98" spans="1:11" x14ac:dyDescent="0.25">
      <c r="A98">
        <v>87</v>
      </c>
      <c r="B98" s="9" t="n">
        <v>0.0</v>
      </c>
      <c r="C98" s="9" t="n">
        <v>0.0</v>
      </c>
      <c r="D98" s="9" t="n">
        <v>0.0</v>
      </c>
      <c r="E98" s="9">
        <f t="shared" si="2"/>
        <v>0</v>
      </c>
      <c r="G98">
        <v>87</v>
      </c>
      <c r="H98" s="16" t="n">
        <v>304.0</v>
      </c>
      <c r="I98" s="16" t="n">
        <v>49.0</v>
      </c>
      <c r="J98" s="16" t="n">
        <v>7.0</v>
      </c>
      <c r="K98">
        <f t="shared" si="3"/>
        <v>120</v>
      </c>
    </row>
    <row r="99" spans="1:11" x14ac:dyDescent="0.25">
      <c r="A99">
        <v>88</v>
      </c>
      <c r="B99" s="9" t="n">
        <v>0.0</v>
      </c>
      <c r="C99" s="9" t="n">
        <v>0.0</v>
      </c>
      <c r="D99" s="9" t="n">
        <v>0.0</v>
      </c>
      <c r="E99" s="9">
        <f t="shared" si="2"/>
        <v>0</v>
      </c>
      <c r="G99">
        <v>88</v>
      </c>
      <c r="H99" s="16" t="n">
        <v>272.0</v>
      </c>
      <c r="I99" s="16" t="n">
        <v>29.0</v>
      </c>
      <c r="J99" s="16" t="n">
        <v>4.0</v>
      </c>
      <c r="K99">
        <f t="shared" si="3"/>
        <v>97</v>
      </c>
    </row>
    <row r="100" spans="1:11" x14ac:dyDescent="0.25">
      <c r="A100">
        <v>89</v>
      </c>
      <c r="B100" s="9" t="n">
        <v>155.0653655571393</v>
      </c>
      <c r="C100" s="9" t="n">
        <v>0.0</v>
      </c>
      <c r="D100" s="9" t="n">
        <v>0.0</v>
      </c>
      <c r="E100" s="9">
        <f t="shared" si="2"/>
        <v>155.0653655571393</v>
      </c>
      <c r="G100">
        <v>89</v>
      </c>
      <c r="H100" s="16" t="n">
        <v>5143.0</v>
      </c>
      <c r="I100" s="16" t="n">
        <v>1665.0</v>
      </c>
      <c r="J100" t="n">
        <v>203.0</v>
      </c>
      <c r="K100">
        <f t="shared" si="3"/>
        <v>573</v>
      </c>
    </row>
    <row r="101" spans="1:11" ht="15.75" thickBot="1" x14ac:dyDescent="0.3">
      <c r="A101" s="1">
        <v>90</v>
      </c>
      <c r="B101" s="10" t="n">
        <v>17805.298624083374</v>
      </c>
      <c r="C101" s="10" t="n">
        <v>1927.7764160161569</v>
      </c>
      <c r="D101" s="10" t="n">
        <v>397.2554326959326</v>
      </c>
      <c r="E101" s="10">
        <f t="shared" si="2"/>
        <v>20130.330472795464</v>
      </c>
      <c r="G101" s="1">
        <v>90</v>
      </c>
      <c r="H101" s="1" t="n">
        <v>16964.0</v>
      </c>
      <c r="I101" s="1" t="n">
        <v>2426.0</v>
      </c>
      <c r="J101" s="1" t="n">
        <v>1030.0</v>
      </c>
      <c r="K101" s="1">
        <f t="shared" si="3"/>
        <v>20318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2"/>
  <sheetViews>
    <sheetView workbookViewId="0">
      <selection activeCell="R35" sqref="R35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7" max="7" customWidth="true" width="10.85546875" collapsed="true"/>
    <col min="13" max="13" customWidth="true" width="10.85546875" collapsed="true"/>
    <col min="17" max="17" bestFit="true" customWidth="true" width="9.5703125" collapsed="true"/>
  </cols>
  <sheetData>
    <row r="1" spans="1:17" x14ac:dyDescent="0.25">
      <c r="A1" t="s">
        <v>31</v>
      </c>
    </row>
    <row r="2" spans="1:17" x14ac:dyDescent="0.25">
      <c r="A2" t="s">
        <v>235</v>
      </c>
    </row>
    <row r="3" spans="1:17" x14ac:dyDescent="0.25">
      <c r="A3" t="s">
        <v>9</v>
      </c>
    </row>
    <row r="4" spans="1:17" x14ac:dyDescent="0.25">
      <c r="A4" t="s">
        <v>8</v>
      </c>
    </row>
    <row r="5" spans="1:17" x14ac:dyDescent="0.25">
      <c r="A5" t="s">
        <v>10</v>
      </c>
    </row>
    <row r="6" spans="1:17" x14ac:dyDescent="0.25">
      <c r="A6" t="s">
        <v>11</v>
      </c>
    </row>
    <row r="7" spans="1:17" x14ac:dyDescent="0.25">
      <c r="A7" t="s">
        <v>15</v>
      </c>
    </row>
    <row r="9" spans="1:17" ht="15.75" thickBot="1" x14ac:dyDescent="0.3">
      <c r="A9" s="4" t="s">
        <v>230</v>
      </c>
      <c r="B9" s="1"/>
      <c r="C9" s="1"/>
      <c r="D9" s="1"/>
      <c r="E9" s="1"/>
      <c r="G9" s="4" t="s">
        <v>32</v>
      </c>
      <c r="H9" s="1"/>
      <c r="I9" s="1"/>
      <c r="J9" s="1"/>
      <c r="K9" s="1"/>
      <c r="M9" s="4" t="s">
        <v>17</v>
      </c>
      <c r="N9" s="1"/>
      <c r="O9" s="1"/>
      <c r="P9" s="1"/>
      <c r="Q9" s="1"/>
    </row>
    <row r="10" spans="1:17" x14ac:dyDescent="0.25">
      <c r="A10" s="2" t="s">
        <v>29</v>
      </c>
      <c r="B10" s="5" t="s">
        <v>12</v>
      </c>
      <c r="C10" s="5" t="s">
        <v>13</v>
      </c>
      <c r="D10" s="5" t="s">
        <v>14</v>
      </c>
      <c r="E10" s="5" t="s">
        <v>4</v>
      </c>
      <c r="G10" s="2" t="s">
        <v>29</v>
      </c>
      <c r="H10" s="5" t="s">
        <v>12</v>
      </c>
      <c r="I10" s="5" t="s">
        <v>13</v>
      </c>
      <c r="J10" s="5" t="s">
        <v>14</v>
      </c>
      <c r="K10" s="5" t="s">
        <v>4</v>
      </c>
      <c r="M10" s="2" t="s">
        <v>29</v>
      </c>
      <c r="N10" s="5" t="s">
        <v>12</v>
      </c>
      <c r="O10" s="5" t="s">
        <v>13</v>
      </c>
      <c r="P10" s="5" t="s">
        <v>14</v>
      </c>
      <c r="Q10" s="5" t="s">
        <v>4</v>
      </c>
    </row>
    <row r="11" spans="1:17" x14ac:dyDescent="0.25">
      <c r="A11" t="s">
        <v>33</v>
      </c>
      <c r="B11" s="12">
        <f>SUM(TDFD!B11:B15)</f>
        <v>21685.785364786272</v>
      </c>
      <c r="C11" s="12">
        <f>SUM(TDFD!C11:C15)</f>
        <v>10389.812688035467</v>
      </c>
      <c r="D11" s="12">
        <f>SUM(TDFD!D11:D15)</f>
        <v>1602.0366432618787</v>
      </c>
      <c r="E11" s="12">
        <f>SUM(TDFD!E11:E15)</f>
        <v>33677.634696083616</v>
      </c>
      <c r="G11" t="s">
        <v>33</v>
      </c>
      <c r="H11" s="12"/>
      <c r="I11" s="12"/>
      <c r="J11" s="12"/>
      <c r="K11" s="12">
        <v>13509</v>
      </c>
      <c r="M11" t="s">
        <v>33</v>
      </c>
      <c r="N11" s="12">
        <f>SUM(TDFD!H11:H15)</f>
        <v>30258</v>
      </c>
      <c r="O11" s="12">
        <f>SUM(TDFD!I11:I15)</f>
        <v>10527</v>
      </c>
      <c r="P11" s="12">
        <f>SUM(TDFD!J11:J15)</f>
        <v>2574</v>
      </c>
      <c r="Q11" s="12">
        <f>SUM(TDFD!K11:K15)</f>
        <v>43359</v>
      </c>
    </row>
    <row r="12" spans="1:17" x14ac:dyDescent="0.25">
      <c r="A12" t="s">
        <v>34</v>
      </c>
      <c r="B12" s="12">
        <f>SUM(TDFD!B16:B20)</f>
        <v>68267.94122182914</v>
      </c>
      <c r="C12" s="12">
        <f>SUM(TDFD!C16:C20)</f>
        <v>13112.024044872853</v>
      </c>
      <c r="D12" s="12">
        <f>SUM(TDFD!D16:D20)</f>
        <v>8362.5820871422129</v>
      </c>
      <c r="E12" s="12">
        <f>SUM(TDFD!E16:E20)</f>
        <v>89742.547353844217</v>
      </c>
      <c r="G12" t="s">
        <v>34</v>
      </c>
      <c r="H12" s="12"/>
      <c r="I12" s="12"/>
      <c r="J12" s="12"/>
      <c r="K12" s="12">
        <v>48039</v>
      </c>
      <c r="M12" t="s">
        <v>34</v>
      </c>
      <c r="N12" s="12">
        <f>SUM(TDFD!H16:H20)</f>
        <v>63438</v>
      </c>
      <c r="O12" s="12">
        <f>SUM(TDFD!I16:I20)</f>
        <v>17906</v>
      </c>
      <c r="P12" s="12">
        <f>SUM(TDFD!J16:J20)</f>
        <v>9715</v>
      </c>
      <c r="Q12" s="12">
        <f>SUM(TDFD!K16:K20)</f>
        <v>91059</v>
      </c>
    </row>
    <row r="13" spans="1:17" x14ac:dyDescent="0.25">
      <c r="A13" t="s">
        <v>35</v>
      </c>
      <c r="B13" s="12">
        <f>SUM(TDFD!B21:B25)</f>
        <v>71339.074308694457</v>
      </c>
      <c r="C13" s="12">
        <f>SUM(TDFD!C21:C25)</f>
        <v>11141.004860804002</v>
      </c>
      <c r="D13" s="12">
        <f>SUM(TDFD!D21:D25)</f>
        <v>8307.0932466547256</v>
      </c>
      <c r="E13" s="12">
        <f>SUM(TDFD!E21:E25)</f>
        <v>90787.172416153189</v>
      </c>
      <c r="G13" t="s">
        <v>35</v>
      </c>
      <c r="H13" s="12"/>
      <c r="I13" s="12"/>
      <c r="J13" s="12"/>
      <c r="K13" s="12">
        <v>73140</v>
      </c>
      <c r="M13" t="s">
        <v>35</v>
      </c>
      <c r="N13" s="12">
        <f>SUM(TDFD!H21:H25)</f>
        <v>67676</v>
      </c>
      <c r="O13" s="12">
        <f>SUM(TDFD!I21:I25)</f>
        <v>15236</v>
      </c>
      <c r="P13" s="12">
        <f>SUM(TDFD!J21:J25)</f>
        <v>8063</v>
      </c>
      <c r="Q13" s="12">
        <f>SUM(TDFD!K21:K25)</f>
        <v>90975</v>
      </c>
    </row>
    <row r="14" spans="1:17" x14ac:dyDescent="0.25">
      <c r="A14" t="s">
        <v>36</v>
      </c>
      <c r="B14" s="12">
        <f>SUM(TDFD!B26:B30)</f>
        <v>72526.667478163421</v>
      </c>
      <c r="C14" s="12">
        <f>SUM(TDFD!C26:C30)</f>
        <v>7864.6836508666893</v>
      </c>
      <c r="D14" s="12">
        <f>SUM(TDFD!D26:D30)</f>
        <v>4033.0549475667567</v>
      </c>
      <c r="E14" s="12">
        <f>SUM(TDFD!E26:E30)</f>
        <v>84424.406076596875</v>
      </c>
      <c r="G14" t="s">
        <v>36</v>
      </c>
      <c r="H14" s="12"/>
      <c r="I14" s="12"/>
      <c r="J14" s="12"/>
      <c r="K14" s="12">
        <v>91600</v>
      </c>
      <c r="M14" t="s">
        <v>36</v>
      </c>
      <c r="N14" s="12">
        <f>SUM(TDFD!H26:H30)</f>
        <v>73379</v>
      </c>
      <c r="O14" s="12">
        <f>SUM(TDFD!I26:I30)</f>
        <v>10525</v>
      </c>
      <c r="P14" s="12">
        <f>SUM(TDFD!J26:J30)</f>
        <v>4267</v>
      </c>
      <c r="Q14" s="12">
        <f>SUM(TDFD!K26:K30)</f>
        <v>88171</v>
      </c>
    </row>
    <row r="15" spans="1:17" x14ac:dyDescent="0.25">
      <c r="A15" t="s">
        <v>37</v>
      </c>
      <c r="B15" s="12">
        <f>SUM(TDFD!B31:B35)</f>
        <v>68261.735791507366</v>
      </c>
      <c r="C15" s="12">
        <f>SUM(TDFD!C31:C35)</f>
        <v>7281.4172427011035</v>
      </c>
      <c r="D15" s="12">
        <f>SUM(TDFD!D31:D35)</f>
        <v>1884.7807358745799</v>
      </c>
      <c r="E15" s="12">
        <f>SUM(TDFD!E31:E35)</f>
        <v>77427.933770083051</v>
      </c>
      <c r="G15" t="s">
        <v>37</v>
      </c>
      <c r="H15" s="12"/>
      <c r="I15" s="12"/>
      <c r="J15" s="12"/>
      <c r="K15" s="12">
        <v>100858</v>
      </c>
      <c r="M15" t="s">
        <v>37</v>
      </c>
      <c r="N15" s="12">
        <f>SUM(TDFD!H31:H35)</f>
        <v>71298</v>
      </c>
      <c r="O15" s="12">
        <f>SUM(TDFD!I31:I35)</f>
        <v>7423</v>
      </c>
      <c r="P15" s="12">
        <f>SUM(TDFD!J31:J35)</f>
        <v>2802</v>
      </c>
      <c r="Q15" s="12">
        <f>SUM(TDFD!K31:K35)</f>
        <v>81523</v>
      </c>
    </row>
    <row r="16" spans="1:17" x14ac:dyDescent="0.25">
      <c r="A16" t="s">
        <v>38</v>
      </c>
      <c r="B16" s="12">
        <f>SUM(TDFD!B36:B40)</f>
        <v>48069.812715267777</v>
      </c>
      <c r="C16" s="12">
        <f>SUM(TDFD!C36:C40)</f>
        <v>3440.2263914089081</v>
      </c>
      <c r="D16" s="12">
        <f>SUM(TDFD!D36:D40)</f>
        <v>2669.3879045403237</v>
      </c>
      <c r="E16" s="12">
        <f>SUM(TDFD!E36:E40)</f>
        <v>54179.427011217012</v>
      </c>
      <c r="G16" t="s">
        <v>38</v>
      </c>
      <c r="H16" s="12"/>
      <c r="I16" s="12"/>
      <c r="J16" s="12"/>
      <c r="K16" s="12">
        <v>40453</v>
      </c>
      <c r="M16" t="s">
        <v>38</v>
      </c>
      <c r="N16" s="12">
        <f>SUM(TDFD!H36:H40)</f>
        <v>62785</v>
      </c>
      <c r="O16" s="12">
        <f>SUM(TDFD!I36:I40)</f>
        <v>5129</v>
      </c>
      <c r="P16" s="12">
        <f>SUM(TDFD!J36:J40)</f>
        <v>2096</v>
      </c>
      <c r="Q16" s="12">
        <f>SUM(TDFD!K36:K40)</f>
        <v>70010</v>
      </c>
    </row>
    <row r="17" spans="1:17" x14ac:dyDescent="0.25">
      <c r="A17" t="s">
        <v>39</v>
      </c>
      <c r="B17" s="12">
        <f>SUM(TDFD!B41:B45)</f>
        <v>36552.941575379686</v>
      </c>
      <c r="C17" s="12">
        <f>SUM(TDFD!C41:C45)</f>
        <v>2531.3113964412642</v>
      </c>
      <c r="D17" s="12">
        <f>SUM(TDFD!D41:D45)</f>
        <v>761.61276531805947</v>
      </c>
      <c r="E17" s="12">
        <f>SUM(TDFD!E41:E45)</f>
        <v>39845.865737139007</v>
      </c>
      <c r="G17" t="s">
        <v>39</v>
      </c>
      <c r="H17" s="12"/>
      <c r="I17" s="12"/>
      <c r="J17" s="12"/>
      <c r="K17" s="12">
        <v>102299</v>
      </c>
      <c r="M17" t="s">
        <v>39</v>
      </c>
      <c r="N17" s="12">
        <f>SUM(TDFD!H41:H45)</f>
        <v>50301</v>
      </c>
      <c r="O17" s="12">
        <f>SUM(TDFD!I41:I45)</f>
        <v>3700</v>
      </c>
      <c r="P17" s="12">
        <f>SUM(TDFD!J41:J45)</f>
        <v>1509</v>
      </c>
      <c r="Q17" s="12">
        <f>SUM(TDFD!K41:K45)</f>
        <v>55510</v>
      </c>
    </row>
    <row r="18" spans="1:17" x14ac:dyDescent="0.25">
      <c r="A18" t="s">
        <v>40</v>
      </c>
      <c r="B18" s="12">
        <f>SUM(TDFD!B46:B50)</f>
        <v>35132.820097411037</v>
      </c>
      <c r="C18" s="12">
        <f>SUM(TDFD!C46:C50)</f>
        <v>2324.271530089165</v>
      </c>
      <c r="D18" s="12">
        <f>SUM(TDFD!D46:D50)</f>
        <v>923.67033926681484</v>
      </c>
      <c r="E18" s="12">
        <f>SUM(TDFD!E46:E50)</f>
        <v>38380.761966767022</v>
      </c>
      <c r="G18" t="s">
        <v>40</v>
      </c>
      <c r="H18" s="12"/>
      <c r="I18" s="12"/>
      <c r="J18" s="12"/>
      <c r="K18" s="12">
        <v>17547</v>
      </c>
      <c r="M18" t="s">
        <v>40</v>
      </c>
      <c r="N18" s="12">
        <f>SUM(TDFD!H46:H50)</f>
        <v>40539</v>
      </c>
      <c r="O18" s="12">
        <f>SUM(TDFD!I46:I50)</f>
        <v>2697</v>
      </c>
      <c r="P18" s="12">
        <f>SUM(TDFD!J46:J50)</f>
        <v>1155</v>
      </c>
      <c r="Q18" s="12">
        <f>SUM(TDFD!K46:K50)</f>
        <v>44391</v>
      </c>
    </row>
    <row r="19" spans="1:17" x14ac:dyDescent="0.25">
      <c r="A19" t="s">
        <v>41</v>
      </c>
      <c r="B19" s="12">
        <f>SUM(TDFD!B51:B55)</f>
        <v>20112.736195901492</v>
      </c>
      <c r="C19" s="12">
        <f>SUM(TDFD!C51:C55)</f>
        <v>1572.8351908632933</v>
      </c>
      <c r="D19" s="12">
        <f>SUM(TDFD!D51:D55)</f>
        <v>797.60925765464719</v>
      </c>
      <c r="E19" s="12">
        <f>SUM(TDFD!E51:E55)</f>
        <v>22483.180644419434</v>
      </c>
      <c r="G19" t="s">
        <v>41</v>
      </c>
      <c r="H19" s="12"/>
      <c r="I19" s="12"/>
      <c r="J19" s="12"/>
      <c r="K19" s="12">
        <v>20353</v>
      </c>
      <c r="M19" t="s">
        <v>41</v>
      </c>
      <c r="N19" s="12">
        <f>SUM(TDFD!H51:H55)</f>
        <v>32390</v>
      </c>
      <c r="O19" s="12">
        <f>SUM(TDFD!I51:I55)</f>
        <v>1858</v>
      </c>
      <c r="P19" s="12">
        <f>SUM(TDFD!J51:J55)</f>
        <v>807</v>
      </c>
      <c r="Q19" s="12">
        <f>SUM(TDFD!K51:K55)</f>
        <v>35055</v>
      </c>
    </row>
    <row r="20" spans="1:17" x14ac:dyDescent="0.25">
      <c r="A20" t="s">
        <v>42</v>
      </c>
      <c r="B20" s="12">
        <f>SUM(TDFD!B56:B70)</f>
        <v>34056.170209395699</v>
      </c>
      <c r="C20" s="12">
        <f>SUM(TDFD!C56:C70)</f>
        <v>2422.2863240120141</v>
      </c>
      <c r="D20" s="12">
        <f>SUM(TDFD!D56:D70)</f>
        <v>784.75248425367636</v>
      </c>
      <c r="E20" s="12">
        <f>SUM(TDFD!E56:E70)</f>
        <v>37263.209017661386</v>
      </c>
      <c r="G20" t="s">
        <v>42</v>
      </c>
      <c r="H20" s="12"/>
      <c r="I20" s="12"/>
      <c r="J20" s="12"/>
      <c r="K20" s="12">
        <v>49147</v>
      </c>
      <c r="M20" t="s">
        <v>42</v>
      </c>
      <c r="N20" s="12">
        <f>SUM(TDFD!H56:H70)</f>
        <v>55085</v>
      </c>
      <c r="O20" s="12">
        <f>SUM(TDFD!I56:I70)</f>
        <v>3069</v>
      </c>
      <c r="P20" s="12">
        <f>SUM(TDFD!J56:J70)</f>
        <v>1285</v>
      </c>
      <c r="Q20" s="12">
        <f>SUM(TDFD!K56:K70)</f>
        <v>59439</v>
      </c>
    </row>
    <row r="21" spans="1:17" x14ac:dyDescent="0.25">
      <c r="A21" t="s">
        <v>43</v>
      </c>
      <c r="B21" s="12">
        <f>SUM(TDFD!B71:B100)</f>
        <v>11051.643313871102</v>
      </c>
      <c r="C21" s="12">
        <f>SUM(TDFD!C71:C100)</f>
        <v>269.81247301910628</v>
      </c>
      <c r="D21" s="12">
        <f>SUM(TDFD!D71:D100)</f>
        <v>0</v>
      </c>
      <c r="E21" s="12">
        <f>SUM(TDFD!E71:E100)</f>
        <v>11321.455786890207</v>
      </c>
      <c r="G21" t="s">
        <v>43</v>
      </c>
      <c r="H21" s="12"/>
      <c r="I21" s="12"/>
      <c r="J21" s="12"/>
      <c r="K21" s="12">
        <v>24219</v>
      </c>
      <c r="M21" t="s">
        <v>43</v>
      </c>
      <c r="N21" s="12">
        <f>SUM(TDFD!H71:H100)</f>
        <v>24644</v>
      </c>
      <c r="O21" s="12">
        <f>SUM(TDFD!I71:I100)</f>
        <v>1121</v>
      </c>
      <c r="P21" s="12">
        <f>SUM(TDFD!J71:J100)</f>
        <v>407</v>
      </c>
      <c r="Q21" s="12">
        <f>SUM(TDFD!K71:K100)</f>
        <v>26172</v>
      </c>
    </row>
    <row r="22" spans="1:17" ht="15.75" thickBot="1" x14ac:dyDescent="0.3">
      <c r="A22" s="1" t="s">
        <v>44</v>
      </c>
      <c r="B22" s="13">
        <f>TDFD!B101</f>
        <v>17805.298624083374</v>
      </c>
      <c r="C22" s="13">
        <f>TDFD!C101</f>
        <v>1927.7764160161569</v>
      </c>
      <c r="D22" s="13">
        <f>TDFD!D101</f>
        <v>397.2554326959326</v>
      </c>
      <c r="E22" s="13">
        <f>TDFD!E101</f>
        <v>20130.330472795464</v>
      </c>
      <c r="G22" s="1" t="s">
        <v>44</v>
      </c>
      <c r="H22" s="13"/>
      <c r="I22" s="13"/>
      <c r="J22" s="13"/>
      <c r="K22" s="13">
        <v>9010</v>
      </c>
      <c r="M22" s="1" t="s">
        <v>44</v>
      </c>
      <c r="N22" s="13">
        <f>TDFD!H101</f>
        <v>16956</v>
      </c>
      <c r="O22" s="13">
        <f>TDFD!I101</f>
        <v>2427</v>
      </c>
      <c r="P22" s="13">
        <f>TDFD!J101</f>
        <v>935</v>
      </c>
      <c r="Q22" s="13">
        <f>TDFD!K101</f>
        <v>20318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56"/>
  <sheetViews>
    <sheetView tabSelected="1" topLeftCell="F1" zoomScale="85" zoomScaleNormal="85" workbookViewId="0">
      <selection activeCell="AE21" sqref="AE21"/>
    </sheetView>
  </sheetViews>
  <sheetFormatPr defaultRowHeight="15" x14ac:dyDescent="0.25"/>
  <cols>
    <col min="3" max="3" bestFit="true" customWidth="true" width="9.7109375" collapsed="true"/>
    <col min="4" max="4" bestFit="true" customWidth="true" width="12.28515625" collapsed="true"/>
    <col min="15" max="15" customWidth="true" width="10.140625" collapsed="true"/>
    <col min="20" max="21" bestFit="true" customWidth="true" width="9.5703125" collapsed="true"/>
    <col min="26" max="26" customWidth="true" width="9.140625" collapsed="true"/>
  </cols>
  <sheetData>
    <row r="1" spans="1:36" x14ac:dyDescent="0.25">
      <c r="A1" t="s">
        <v>2</v>
      </c>
    </row>
    <row r="2" spans="1:36" x14ac:dyDescent="0.25">
      <c r="A2" t="s">
        <v>236</v>
      </c>
    </row>
    <row r="3" spans="1:36" x14ac:dyDescent="0.25">
      <c r="A3" t="s">
        <v>21</v>
      </c>
    </row>
    <row r="4" spans="1:36" x14ac:dyDescent="0.25">
      <c r="AH4" s="7"/>
      <c r="AI4" s="7"/>
      <c r="AJ4" s="7"/>
    </row>
    <row r="5" spans="1:36" ht="15.75" thickBot="1" x14ac:dyDescent="0.3">
      <c r="A5" s="4" t="s">
        <v>229</v>
      </c>
      <c r="B5" s="1"/>
      <c r="C5" s="1"/>
      <c r="D5" s="1"/>
      <c r="E5" s="1"/>
      <c r="F5" s="1"/>
      <c r="G5" s="1"/>
      <c r="H5" s="1"/>
      <c r="I5" s="1"/>
      <c r="J5" s="1"/>
      <c r="L5" s="4" t="s">
        <v>65</v>
      </c>
      <c r="M5" s="1"/>
      <c r="N5" s="1"/>
      <c r="O5" s="1"/>
      <c r="P5" s="1"/>
      <c r="Q5" s="1"/>
      <c r="R5" s="1"/>
      <c r="S5" s="1"/>
      <c r="T5" s="1"/>
      <c r="U5" s="1"/>
      <c r="W5" s="4" t="s">
        <v>19</v>
      </c>
      <c r="X5" s="1"/>
      <c r="Y5" s="1"/>
      <c r="Z5" s="1"/>
      <c r="AA5" s="1"/>
      <c r="AB5" s="1"/>
      <c r="AC5" s="1"/>
      <c r="AD5" s="1"/>
      <c r="AE5" s="1"/>
      <c r="AF5" s="1"/>
      <c r="AH5" s="31"/>
      <c r="AI5" s="7"/>
      <c r="AJ5" s="7"/>
    </row>
    <row r="6" spans="1:36" x14ac:dyDescent="0.25">
      <c r="A6" s="2" t="s">
        <v>18</v>
      </c>
      <c r="B6" s="2" t="str">
        <f>$A$7</f>
        <v>Williamson</v>
      </c>
      <c r="C6" s="2" t="str">
        <f>$A$8</f>
        <v>Rutherford</v>
      </c>
      <c r="D6" s="2" t="str">
        <f>$A$9</f>
        <v>Sumner</v>
      </c>
      <c r="E6" s="2" t="str">
        <f>$A$10</f>
        <v>Roberston</v>
      </c>
      <c r="F6" s="2" t="str">
        <f>$A$11</f>
        <v>Davidson</v>
      </c>
      <c r="G6" s="2" t="str">
        <f>$A$12</f>
        <v>Maury</v>
      </c>
      <c r="H6" s="2" t="str">
        <f>$A$13</f>
        <v>Wilson</v>
      </c>
      <c r="I6" s="3" t="str">
        <f>$A$14</f>
        <v>Outside</v>
      </c>
      <c r="J6" s="3" t="s">
        <v>4</v>
      </c>
      <c r="L6" s="2" t="s">
        <v>18</v>
      </c>
      <c r="M6" s="2" t="str">
        <f>$A$7</f>
        <v>Williamson</v>
      </c>
      <c r="N6" s="2" t="str">
        <f>$A$8</f>
        <v>Rutherford</v>
      </c>
      <c r="O6" s="2" t="str">
        <f>$A$9</f>
        <v>Sumner</v>
      </c>
      <c r="P6" s="2" t="str">
        <f>$A$10</f>
        <v>Roberston</v>
      </c>
      <c r="Q6" s="2" t="str">
        <f>$A$11</f>
        <v>Davidson</v>
      </c>
      <c r="R6" s="2" t="str">
        <f>$A$12</f>
        <v>Maury</v>
      </c>
      <c r="S6" s="2" t="str">
        <f>$A$13</f>
        <v>Wilson</v>
      </c>
      <c r="T6" s="3" t="str">
        <f>$A$14</f>
        <v>Outside</v>
      </c>
      <c r="U6" s="3" t="s">
        <v>4</v>
      </c>
      <c r="W6" s="2" t="s">
        <v>18</v>
      </c>
      <c r="X6" s="2" t="str">
        <f>$A$7</f>
        <v>Williamson</v>
      </c>
      <c r="Y6" s="2" t="str">
        <f>$A$8</f>
        <v>Rutherford</v>
      </c>
      <c r="Z6" s="2" t="str">
        <f>$A$9</f>
        <v>Sumner</v>
      </c>
      <c r="AA6" s="2" t="str">
        <f>$A$10</f>
        <v>Roberston</v>
      </c>
      <c r="AB6" s="2" t="str">
        <f>$A$11</f>
        <v>Davidson</v>
      </c>
      <c r="AC6" s="2" t="str">
        <f>$A$12</f>
        <v>Maury</v>
      </c>
      <c r="AD6" s="2" t="str">
        <f>$A$13</f>
        <v>Wilson</v>
      </c>
      <c r="AE6" s="3" t="str">
        <f>$A$14</f>
        <v>Outside</v>
      </c>
      <c r="AF6" s="3" t="s">
        <v>4</v>
      </c>
      <c r="AH6" s="23"/>
      <c r="AI6" s="23"/>
      <c r="AJ6" s="7"/>
    </row>
    <row r="7" spans="1:36" x14ac:dyDescent="0.25">
      <c r="A7" s="45" t="s">
        <v>74</v>
      </c>
      <c r="B7" s="18" t="n">
        <v>32973.0849553372</v>
      </c>
      <c r="C7" s="18" t="n">
        <v>2300.823286781792</v>
      </c>
      <c r="D7" s="18" t="n">
        <v>180.9147813545439</v>
      </c>
      <c r="E7" s="18" t="n">
        <v>0.0</v>
      </c>
      <c r="F7" s="18" t="n">
        <v>31546.824245613774</v>
      </c>
      <c r="G7" s="18" t="n">
        <v>580.6575384754882</v>
      </c>
      <c r="H7" s="18" t="n">
        <v>83.1491020166622</v>
      </c>
      <c r="I7" s="18" t="n">
        <v>2642.9375713713093</v>
      </c>
      <c r="J7" s="18">
        <f>SUM(B7:I7)</f>
        <v>70308.39148095077</v>
      </c>
      <c r="K7" s="18"/>
      <c r="L7" t="str">
        <f>$A$7</f>
        <v>Williamson</v>
      </c>
      <c r="T7" s="18"/>
      <c r="U7" s="18">
        <f>SUM(M7:T7)</f>
        <v>0</v>
      </c>
      <c r="V7" s="18"/>
      <c r="W7" t="str">
        <f>$A$7</f>
        <v>Williamson</v>
      </c>
      <c r="X7" t="n">
        <v>42783.0</v>
      </c>
      <c r="Y7" t="n">
        <v>3110.0</v>
      </c>
      <c r="Z7" t="n">
        <v>148.0</v>
      </c>
      <c r="AA7" t="n">
        <v>63.0</v>
      </c>
      <c r="AB7" t="n">
        <v>34957.0</v>
      </c>
      <c r="AC7" t="n">
        <v>2560.0</v>
      </c>
      <c r="AD7" t="n">
        <v>301.0</v>
      </c>
      <c r="AE7" s="18" t="n">
        <v>2320.0</v>
      </c>
      <c r="AF7" s="18">
        <f>SUM(X7:AE7)</f>
        <v>86242</v>
      </c>
      <c r="AH7" s="19"/>
      <c r="AI7" s="19"/>
      <c r="AJ7" s="7"/>
    </row>
    <row r="8" spans="1:36" x14ac:dyDescent="0.25">
      <c r="A8" t="s">
        <v>75</v>
      </c>
      <c r="B8" s="18" t="n">
        <v>6319.1112444875625</v>
      </c>
      <c r="C8" s="18" t="n">
        <v>61442.732031037645</v>
      </c>
      <c r="D8" s="18" t="n">
        <v>56.3220904195861</v>
      </c>
      <c r="E8" s="18" t="n">
        <v>80.6787613869614</v>
      </c>
      <c r="F8" s="18" t="n">
        <v>29969.52166309399</v>
      </c>
      <c r="G8" s="18" t="n">
        <v>0.0</v>
      </c>
      <c r="H8" s="18" t="n">
        <v>1575.669552688847</v>
      </c>
      <c r="I8" s="18" t="n">
        <v>5429.506685728311</v>
      </c>
      <c r="J8" s="18">
        <f>SUM(B8:I8)</f>
        <v>104873.54202884293</v>
      </c>
      <c r="K8" s="18"/>
      <c r="L8" t="str">
        <f>$A$8</f>
        <v>Rutherford</v>
      </c>
      <c r="T8" s="18"/>
      <c r="U8" s="18">
        <f t="shared" ref="U8:U14" si="0">SUM(M8:T8)</f>
        <v>0</v>
      </c>
      <c r="V8" s="18"/>
      <c r="W8" t="str">
        <f>$A$8</f>
        <v>Rutherford</v>
      </c>
      <c r="X8" t="n">
        <v>8751.0</v>
      </c>
      <c r="Y8" t="n">
        <v>78456.0</v>
      </c>
      <c r="Z8" t="n">
        <v>292.0</v>
      </c>
      <c r="AA8" t="n">
        <v>42.0</v>
      </c>
      <c r="AB8" t="n">
        <v>29368.0</v>
      </c>
      <c r="AC8" t="n">
        <v>216.0</v>
      </c>
      <c r="AD8" t="n">
        <v>3999.0</v>
      </c>
      <c r="AE8" s="18" t="n">
        <v>3547.0</v>
      </c>
      <c r="AF8" s="18">
        <f t="shared" ref="AF8:AF14" si="1">SUM(X8:AE8)</f>
        <v>124671</v>
      </c>
      <c r="AH8" s="19"/>
      <c r="AI8" s="19"/>
      <c r="AJ8" s="7"/>
    </row>
    <row r="9" spans="1:36" x14ac:dyDescent="0.25">
      <c r="A9" t="s">
        <v>76</v>
      </c>
      <c r="B9" s="18" t="n">
        <v>1263.3695487722682</v>
      </c>
      <c r="C9" s="18" t="n">
        <v>1463.3012915457575</v>
      </c>
      <c r="D9" s="18" t="n">
        <v>27037.757070248525</v>
      </c>
      <c r="E9" s="18" t="n">
        <v>2769.984185516805</v>
      </c>
      <c r="F9" s="18" t="n">
        <v>26894.497353007366</v>
      </c>
      <c r="G9" s="18" t="n">
        <v>86.1971116034262</v>
      </c>
      <c r="H9" s="18" t="n">
        <v>890.7309739133909</v>
      </c>
      <c r="I9" s="18" t="n">
        <v>1242.0418710512865</v>
      </c>
      <c r="J9" s="18">
        <f t="shared" ref="J9:J11" si="2">SUM(B9:I9)</f>
        <v>61647.879405658823</v>
      </c>
      <c r="K9" s="18"/>
      <c r="L9" t="str">
        <f>$A$9</f>
        <v>Sumner</v>
      </c>
      <c r="T9" s="18"/>
      <c r="U9" s="18">
        <f t="shared" si="0"/>
        <v>0</v>
      </c>
      <c r="V9" s="18"/>
      <c r="W9" t="str">
        <f>$A$9</f>
        <v>Sumner</v>
      </c>
      <c r="X9" t="n">
        <v>953.0</v>
      </c>
      <c r="Y9" t="n">
        <v>420.0</v>
      </c>
      <c r="Z9" t="n">
        <v>29897.0</v>
      </c>
      <c r="AA9" t="n">
        <v>4284.0</v>
      </c>
      <c r="AB9" t="n">
        <v>30839.0</v>
      </c>
      <c r="AC9" t="n">
        <v>3.0</v>
      </c>
      <c r="AD9" t="n">
        <v>3267.0</v>
      </c>
      <c r="AE9" s="18" t="n">
        <v>4077.0</v>
      </c>
      <c r="AF9" s="18">
        <f t="shared" si="1"/>
        <v>73740</v>
      </c>
      <c r="AH9" s="19"/>
      <c r="AI9" s="19"/>
      <c r="AJ9" s="7"/>
    </row>
    <row r="10" spans="1:36" x14ac:dyDescent="0.25">
      <c r="A10" t="s">
        <v>77</v>
      </c>
      <c r="B10" s="18" t="n">
        <v>601.2240735855161</v>
      </c>
      <c r="C10" s="18" t="n">
        <v>48.171877819248</v>
      </c>
      <c r="D10" s="18" t="n">
        <v>1892.4903285685236</v>
      </c>
      <c r="E10" s="18" t="n">
        <v>11034.944567266786</v>
      </c>
      <c r="F10" s="18" t="n">
        <v>10730.151474127904</v>
      </c>
      <c r="G10" s="18" t="n">
        <v>0.0</v>
      </c>
      <c r="H10" s="18" t="n">
        <v>0.0</v>
      </c>
      <c r="I10" s="18" t="n">
        <v>1648.422878636805</v>
      </c>
      <c r="J10" s="18">
        <f t="shared" si="2"/>
        <v>25955.405200004781</v>
      </c>
      <c r="K10" s="18"/>
      <c r="L10" t="str">
        <f>$A$10</f>
        <v>Roberston</v>
      </c>
      <c r="T10" s="18"/>
      <c r="U10" s="18">
        <f t="shared" si="0"/>
        <v>0</v>
      </c>
      <c r="V10" s="18"/>
      <c r="W10" t="str">
        <f>$A$10</f>
        <v>Roberston</v>
      </c>
      <c r="X10" t="n">
        <v>343.0</v>
      </c>
      <c r="Y10" t="n">
        <v>78.0</v>
      </c>
      <c r="Z10" t="n">
        <v>2489.0</v>
      </c>
      <c r="AA10" t="n">
        <v>13120.0</v>
      </c>
      <c r="AB10" t="n">
        <v>11356.0</v>
      </c>
      <c r="AC10" t="n">
        <v>1.0</v>
      </c>
      <c r="AD10" t="n">
        <v>190.0</v>
      </c>
      <c r="AE10" s="18" t="n">
        <v>2403.0</v>
      </c>
      <c r="AF10" s="18">
        <f t="shared" si="1"/>
        <v>29980</v>
      </c>
      <c r="AH10" s="19"/>
      <c r="AI10" s="19"/>
      <c r="AJ10" s="7"/>
    </row>
    <row r="11" spans="1:36" x14ac:dyDescent="0.25">
      <c r="A11" t="s">
        <v>78</v>
      </c>
      <c r="B11" s="18" t="n">
        <v>20096.843631088806</v>
      </c>
      <c r="C11" s="18" t="n">
        <v>6225.974716292979</v>
      </c>
      <c r="D11" s="18" t="n">
        <v>3476.3753903878114</v>
      </c>
      <c r="E11" s="18" t="n">
        <v>104.623007738937</v>
      </c>
      <c r="F11" s="18" t="n">
        <v>220097.539021436</v>
      </c>
      <c r="G11" s="18" t="n">
        <v>1482.7108319182414</v>
      </c>
      <c r="H11" s="18" t="n">
        <v>3597.7369179055427</v>
      </c>
      <c r="I11" s="18" t="n">
        <v>5062.5741949068915</v>
      </c>
      <c r="J11" s="18">
        <f t="shared" si="2"/>
        <v>260144.37771167519</v>
      </c>
      <c r="K11" s="18"/>
      <c r="L11" t="str">
        <f>$A$11</f>
        <v>Davidson</v>
      </c>
      <c r="T11" s="18"/>
      <c r="U11" s="18">
        <f t="shared" si="0"/>
        <v>0</v>
      </c>
      <c r="V11" s="18"/>
      <c r="W11" t="str">
        <f>$A$11</f>
        <v>Davidson</v>
      </c>
      <c r="X11" t="n">
        <v>24721.0</v>
      </c>
      <c r="Y11" t="n">
        <v>8667.0</v>
      </c>
      <c r="Z11" t="n">
        <v>3990.0</v>
      </c>
      <c r="AA11" t="n">
        <v>1470.0</v>
      </c>
      <c r="AB11" t="n">
        <v>251171.0</v>
      </c>
      <c r="AC11" t="n">
        <v>121.0</v>
      </c>
      <c r="AD11" t="n">
        <v>4794.0</v>
      </c>
      <c r="AE11" s="18" t="n">
        <v>6488.0</v>
      </c>
      <c r="AF11" s="18">
        <f t="shared" si="1"/>
        <v>301422</v>
      </c>
      <c r="AH11" s="19"/>
      <c r="AI11" s="19"/>
      <c r="AJ11" s="7"/>
    </row>
    <row r="12" spans="1:36" x14ac:dyDescent="0.25">
      <c r="A12" t="s">
        <v>79</v>
      </c>
      <c r="B12" s="18" t="n">
        <v>8117.577853091719</v>
      </c>
      <c r="C12" s="18" t="n">
        <v>1209.8953920062452</v>
      </c>
      <c r="D12" s="18" t="n">
        <v>0.0</v>
      </c>
      <c r="E12" s="18" t="n">
        <v>0.0</v>
      </c>
      <c r="F12" s="18" t="n">
        <v>4903.255394371182</v>
      </c>
      <c r="G12" s="18" t="n">
        <v>14255.070947339846</v>
      </c>
      <c r="H12" s="18" t="n">
        <v>0.0</v>
      </c>
      <c r="I12" s="18" t="n">
        <v>1937.1435860714676</v>
      </c>
      <c r="J12" s="18">
        <f>SUM(B12:I12)</f>
        <v>30422.943172880459</v>
      </c>
      <c r="K12" s="18"/>
      <c r="L12" t="str">
        <f>$A$12</f>
        <v>Maury</v>
      </c>
      <c r="T12" s="19"/>
      <c r="U12" s="18">
        <f t="shared" si="0"/>
        <v>0</v>
      </c>
      <c r="V12" s="19"/>
      <c r="W12" t="str">
        <f>$A$12</f>
        <v>Maury</v>
      </c>
      <c r="X12" t="n">
        <v>7048.0</v>
      </c>
      <c r="Y12" t="n">
        <v>531.0</v>
      </c>
      <c r="Z12" t="n">
        <v>21.0</v>
      </c>
      <c r="AA12" t="n">
        <v>7.0</v>
      </c>
      <c r="AB12" t="n">
        <v>3447.0</v>
      </c>
      <c r="AC12" t="n">
        <v>24171.0</v>
      </c>
      <c r="AD12" t="n">
        <v>33.0</v>
      </c>
      <c r="AE12" s="19" t="n">
        <v>805.0</v>
      </c>
      <c r="AF12" s="18">
        <f t="shared" si="1"/>
        <v>36063</v>
      </c>
      <c r="AH12" s="19"/>
      <c r="AI12" s="19"/>
      <c r="AJ12" s="7"/>
    </row>
    <row r="13" spans="1:36" x14ac:dyDescent="0.25">
      <c r="A13" t="s">
        <v>80</v>
      </c>
      <c r="B13" s="18" t="n">
        <v>3149.9375016266763</v>
      </c>
      <c r="C13" s="18" t="n">
        <v>2605.416841626808</v>
      </c>
      <c r="D13" s="18" t="n">
        <v>327.8670746124624</v>
      </c>
      <c r="E13" s="18" t="n">
        <v>0.0</v>
      </c>
      <c r="F13" s="18" t="n">
        <v>21746.44304804013</v>
      </c>
      <c r="G13" s="18" t="n">
        <v>76.4178898028964</v>
      </c>
      <c r="H13" s="18" t="n">
        <v>16237.59990889912</v>
      </c>
      <c r="I13" s="18" t="n">
        <v>2167.703685029395</v>
      </c>
      <c r="J13" s="18">
        <f>SUM(B13:I13)</f>
        <v>46311.385949637486</v>
      </c>
      <c r="K13" s="18"/>
      <c r="L13" t="str">
        <f>$A$13</f>
        <v>Wilson</v>
      </c>
      <c r="T13" s="19"/>
      <c r="U13" s="18">
        <f t="shared" si="0"/>
        <v>0</v>
      </c>
      <c r="V13" s="19"/>
      <c r="W13" t="str">
        <f>$A$13</f>
        <v>Wilson</v>
      </c>
      <c r="X13" t="n">
        <v>1083.0</v>
      </c>
      <c r="Y13" t="n">
        <v>3475.0</v>
      </c>
      <c r="Z13" t="n">
        <v>2095.0</v>
      </c>
      <c r="AA13" t="n">
        <v>169.0</v>
      </c>
      <c r="AB13" t="n">
        <v>24214.0</v>
      </c>
      <c r="AC13" t="n">
        <v>10.0</v>
      </c>
      <c r="AD13" t="n">
        <v>22038.0</v>
      </c>
      <c r="AE13" s="19" t="n">
        <v>780.0</v>
      </c>
      <c r="AF13" s="18">
        <f t="shared" si="1"/>
        <v>53864</v>
      </c>
      <c r="AH13" s="19"/>
      <c r="AI13" s="19"/>
      <c r="AJ13" s="7"/>
    </row>
    <row r="14" spans="1:36" x14ac:dyDescent="0.25">
      <c r="A14" s="8" t="s">
        <v>20</v>
      </c>
      <c r="B14" s="20"/>
      <c r="C14" s="20"/>
      <c r="D14" s="20"/>
      <c r="E14" s="20"/>
      <c r="F14" s="20"/>
      <c r="G14" s="20"/>
      <c r="H14" s="20"/>
      <c r="I14" s="20"/>
      <c r="J14" s="20">
        <f>SUM(B14:I14)</f>
        <v>0</v>
      </c>
      <c r="K14" s="18"/>
      <c r="L14" s="21" t="s">
        <v>20</v>
      </c>
      <c r="M14" s="20"/>
      <c r="N14" s="20"/>
      <c r="O14" s="20"/>
      <c r="P14" s="20"/>
      <c r="Q14" s="20"/>
      <c r="R14" s="20"/>
      <c r="S14" s="20"/>
      <c r="T14" s="20"/>
      <c r="U14" s="18">
        <f t="shared" si="0"/>
        <v>0</v>
      </c>
      <c r="V14" s="18"/>
      <c r="W14" s="21" t="s">
        <v>20</v>
      </c>
      <c r="X14" s="20"/>
      <c r="Y14" s="20"/>
      <c r="Z14" s="20"/>
      <c r="AA14" s="20"/>
      <c r="AB14" s="20"/>
      <c r="AC14" s="20"/>
      <c r="AD14" s="20"/>
      <c r="AE14" s="20"/>
      <c r="AF14" s="18">
        <f t="shared" si="1"/>
        <v>0</v>
      </c>
      <c r="AI14" s="19"/>
      <c r="AJ14" s="7"/>
    </row>
    <row r="15" spans="1:36" ht="15.75" thickBot="1" x14ac:dyDescent="0.3">
      <c r="A15" s="1" t="s">
        <v>4</v>
      </c>
      <c r="B15" s="22">
        <f>SUM(B7:B14)</f>
        <v>72521.148807989739</v>
      </c>
      <c r="C15" s="22">
        <f>SUM(C7:C14)</f>
        <v>75296.315437110476</v>
      </c>
      <c r="D15" s="22">
        <f>SUM(D7:D14)</f>
        <v>32971.726735591452</v>
      </c>
      <c r="E15" s="22">
        <f t="shared" ref="E15:H15" si="3">SUM(E7:E14)</f>
        <v>13990.230521909491</v>
      </c>
      <c r="F15" s="22">
        <f t="shared" si="3"/>
        <v>345888.23219969036</v>
      </c>
      <c r="G15" s="22">
        <f t="shared" si="3"/>
        <v>16481.054319139897</v>
      </c>
      <c r="H15" s="22">
        <f t="shared" si="3"/>
        <v>22384.886455423562</v>
      </c>
      <c r="I15" s="22">
        <f>SUM(I7:I14)</f>
        <v>20130.330472795464</v>
      </c>
      <c r="J15" s="22">
        <f>SUM(J7:J14)</f>
        <v>599663.92494965054</v>
      </c>
      <c r="K15" s="18"/>
      <c r="L15" s="22" t="s">
        <v>4</v>
      </c>
      <c r="M15" s="22">
        <f>SUM(M7:M14)</f>
        <v>0</v>
      </c>
      <c r="N15" s="22">
        <f t="shared" ref="N15:U15" si="4">SUM(N7:N14)</f>
        <v>0</v>
      </c>
      <c r="O15" s="22">
        <f t="shared" si="4"/>
        <v>0</v>
      </c>
      <c r="P15" s="22">
        <f t="shared" si="4"/>
        <v>0</v>
      </c>
      <c r="Q15" s="22">
        <f t="shared" si="4"/>
        <v>0</v>
      </c>
      <c r="R15" s="22">
        <f t="shared" si="4"/>
        <v>0</v>
      </c>
      <c r="S15" s="22">
        <f t="shared" si="4"/>
        <v>0</v>
      </c>
      <c r="T15" s="22">
        <f t="shared" si="4"/>
        <v>0</v>
      </c>
      <c r="U15" s="22">
        <f t="shared" si="4"/>
        <v>0</v>
      </c>
      <c r="V15" s="18"/>
      <c r="W15" s="22" t="s">
        <v>4</v>
      </c>
      <c r="X15" s="22">
        <f>SUM(X7:X14)</f>
        <v>85863</v>
      </c>
      <c r="Y15" s="22">
        <f t="shared" ref="Y15:AF15" si="5">SUM(Y7:Y14)</f>
        <v>94985</v>
      </c>
      <c r="Z15" s="22">
        <f t="shared" si="5"/>
        <v>39179</v>
      </c>
      <c r="AA15" s="22">
        <f t="shared" si="5"/>
        <v>19307</v>
      </c>
      <c r="AB15" s="22">
        <f t="shared" si="5"/>
        <v>384165</v>
      </c>
      <c r="AC15" s="22">
        <f t="shared" si="5"/>
        <v>27422</v>
      </c>
      <c r="AD15" s="22">
        <f t="shared" si="5"/>
        <v>34743</v>
      </c>
      <c r="AE15" s="22">
        <f t="shared" si="5"/>
        <v>20318</v>
      </c>
      <c r="AF15" s="22">
        <f t="shared" si="5"/>
        <v>705982</v>
      </c>
      <c r="AH15" s="24"/>
      <c r="AI15" s="19"/>
      <c r="AJ15" s="7"/>
    </row>
    <row r="16" spans="1:36" x14ac:dyDescent="0.25">
      <c r="AH16" s="7"/>
      <c r="AI16" s="7"/>
      <c r="AJ16" s="7"/>
    </row>
    <row r="17" spans="1:36" x14ac:dyDescent="0.25">
      <c r="AH17" s="7"/>
      <c r="AI17" s="7"/>
      <c r="AJ17" s="7"/>
    </row>
    <row r="18" spans="1:36" ht="15.75" thickBot="1" x14ac:dyDescent="0.3">
      <c r="A18" s="4" t="s">
        <v>293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66</v>
      </c>
      <c r="M18" s="1"/>
      <c r="N18" s="1"/>
      <c r="O18" s="1"/>
      <c r="P18" s="1"/>
      <c r="Q18" s="1"/>
      <c r="R18" s="1"/>
      <c r="S18" s="1"/>
      <c r="T18" s="1"/>
      <c r="U18" s="1"/>
    </row>
    <row r="19" spans="1:36" x14ac:dyDescent="0.25">
      <c r="A19" s="2" t="s">
        <v>18</v>
      </c>
      <c r="B19" s="2" t="str">
        <f>$A$7</f>
        <v>Williamson</v>
      </c>
      <c r="C19" s="2" t="str">
        <f>$A$8</f>
        <v>Rutherford</v>
      </c>
      <c r="D19" s="2" t="str">
        <f>$A$9</f>
        <v>Sumner</v>
      </c>
      <c r="E19" s="2" t="str">
        <f>$A$10</f>
        <v>Roberston</v>
      </c>
      <c r="F19" s="2" t="str">
        <f>$A$11</f>
        <v>Davidson</v>
      </c>
      <c r="G19" s="2" t="str">
        <f>$A$12</f>
        <v>Maury</v>
      </c>
      <c r="H19" s="2" t="str">
        <f>$A$13</f>
        <v>Wilson</v>
      </c>
      <c r="I19" s="3" t="str">
        <f>$A$14</f>
        <v>Outside</v>
      </c>
      <c r="J19" s="3" t="s">
        <v>4</v>
      </c>
      <c r="L19" s="2" t="s">
        <v>18</v>
      </c>
      <c r="M19" s="2" t="str">
        <f>$A$7</f>
        <v>Williamson</v>
      </c>
      <c r="N19" s="2" t="str">
        <f>$A$8</f>
        <v>Rutherford</v>
      </c>
      <c r="O19" s="2" t="str">
        <f>$A$9</f>
        <v>Sumner</v>
      </c>
      <c r="P19" s="2" t="str">
        <f>$A$10</f>
        <v>Roberston</v>
      </c>
      <c r="Q19" s="2" t="str">
        <f>$A$11</f>
        <v>Davidson</v>
      </c>
      <c r="R19" s="2" t="str">
        <f>$A$12</f>
        <v>Maury</v>
      </c>
      <c r="S19" s="2" t="str">
        <f>$A$13</f>
        <v>Wilson</v>
      </c>
      <c r="T19" s="3" t="str">
        <f>$A$14</f>
        <v>Outside</v>
      </c>
      <c r="U19" s="3" t="s">
        <v>4</v>
      </c>
    </row>
    <row r="20" spans="1:36" x14ac:dyDescent="0.25">
      <c r="A20" t="str">
        <f>$A$7</f>
        <v>Williamson</v>
      </c>
      <c r="B20" s="18">
        <f>B7*($AF7/$J7)</f>
        <v>40445.595935566926</v>
      </c>
      <c r="C20" s="18">
        <f t="shared" ref="C20:I20" si="6">C7*($AF7/$J7)</f>
        <v>2822.2463594889227</v>
      </c>
      <c r="D20" s="18">
        <f t="shared" si="6"/>
        <v>221.91451468216101</v>
      </c>
      <c r="E20" s="18">
        <f t="shared" si="6"/>
        <v>0</v>
      </c>
      <c r="F20" s="18">
        <f t="shared" si="6"/>
        <v>38696.109515282456</v>
      </c>
      <c r="G20" s="18">
        <f t="shared" si="6"/>
        <v>712.24879958704275</v>
      </c>
      <c r="H20" s="18">
        <f t="shared" si="6"/>
        <v>101.99273095394116</v>
      </c>
      <c r="I20" s="18">
        <f t="shared" si="6"/>
        <v>3241.8921444385483</v>
      </c>
      <c r="J20" s="18">
        <f>J7*($AF7/$J7)</f>
        <v>86242</v>
      </c>
      <c r="L20" t="str">
        <f>$A$7</f>
        <v>Williamson</v>
      </c>
      <c r="M20" s="18" t="e">
        <f t="shared" ref="M20:T26" si="7">M7*($AF7/$U7)</f>
        <v>#DIV/0!</v>
      </c>
      <c r="N20" s="18" t="e">
        <f t="shared" si="7"/>
        <v>#DIV/0!</v>
      </c>
      <c r="O20" s="18" t="e">
        <f t="shared" si="7"/>
        <v>#DIV/0!</v>
      </c>
      <c r="P20" s="18" t="e">
        <f t="shared" si="7"/>
        <v>#DIV/0!</v>
      </c>
      <c r="Q20" s="18" t="e">
        <f t="shared" si="7"/>
        <v>#DIV/0!</v>
      </c>
      <c r="R20" s="18" t="e">
        <f t="shared" si="7"/>
        <v>#DIV/0!</v>
      </c>
      <c r="S20" s="18" t="e">
        <f t="shared" si="7"/>
        <v>#DIV/0!</v>
      </c>
      <c r="T20" s="18" t="e">
        <f t="shared" ref="T20:T25" si="8">T7*($AF7/$U7)</f>
        <v>#DIV/0!</v>
      </c>
      <c r="U20" s="18" t="e">
        <f>SUM(M20:T20)</f>
        <v>#DIV/0!</v>
      </c>
    </row>
    <row r="21" spans="1:36" x14ac:dyDescent="0.25">
      <c r="A21" t="str">
        <f>$A$8</f>
        <v>Rutherford</v>
      </c>
      <c r="B21" s="18">
        <f t="shared" ref="B21:J21" si="9">B8*($AF8/$J8)</f>
        <v>7511.9987627083383</v>
      </c>
      <c r="C21" s="18">
        <f t="shared" si="9"/>
        <v>73041.557449587839</v>
      </c>
      <c r="D21" s="18">
        <f t="shared" si="9"/>
        <v>66.954268911495916</v>
      </c>
      <c r="E21" s="18">
        <f t="shared" si="9"/>
        <v>95.908860006917408</v>
      </c>
      <c r="F21" s="18">
        <f t="shared" si="9"/>
        <v>35627.005276812371</v>
      </c>
      <c r="G21" s="18">
        <f t="shared" si="9"/>
        <v>0</v>
      </c>
      <c r="H21" s="18">
        <f t="shared" si="9"/>
        <v>1873.1158975182236</v>
      </c>
      <c r="I21" s="18">
        <f t="shared" si="9"/>
        <v>6454.4594844548001</v>
      </c>
      <c r="J21" s="18">
        <f t="shared" si="9"/>
        <v>124671.00000000001</v>
      </c>
      <c r="L21" t="str">
        <f>$A$8</f>
        <v>Rutherford</v>
      </c>
      <c r="M21" s="18" t="e">
        <f t="shared" si="7"/>
        <v>#DIV/0!</v>
      </c>
      <c r="N21" s="18" t="e">
        <f t="shared" si="7"/>
        <v>#DIV/0!</v>
      </c>
      <c r="O21" s="18" t="e">
        <f t="shared" si="7"/>
        <v>#DIV/0!</v>
      </c>
      <c r="P21" s="18" t="e">
        <f t="shared" si="7"/>
        <v>#DIV/0!</v>
      </c>
      <c r="Q21" s="18" t="e">
        <f t="shared" si="7"/>
        <v>#DIV/0!</v>
      </c>
      <c r="R21" s="18" t="e">
        <f t="shared" si="7"/>
        <v>#DIV/0!</v>
      </c>
      <c r="S21" s="18" t="e">
        <f t="shared" ref="S21" si="10">S8*($AF8/$U8)</f>
        <v>#DIV/0!</v>
      </c>
      <c r="T21" s="18" t="e">
        <f t="shared" si="8"/>
        <v>#DIV/0!</v>
      </c>
      <c r="U21" s="18" t="e">
        <f>SUM(M21:T21)</f>
        <v>#DIV/0!</v>
      </c>
    </row>
    <row r="22" spans="1:36" x14ac:dyDescent="0.25">
      <c r="A22" t="str">
        <f>$A$9</f>
        <v>Sumner</v>
      </c>
      <c r="B22" s="18">
        <f t="shared" ref="B22:J22" si="11">B9*($AF9/$J9)</f>
        <v>1511.1772120082946</v>
      </c>
      <c r="C22" s="18">
        <f t="shared" si="11"/>
        <v>1750.3252062986514</v>
      </c>
      <c r="D22" s="18">
        <f t="shared" si="11"/>
        <v>32341.164458239473</v>
      </c>
      <c r="E22" s="18">
        <f t="shared" si="11"/>
        <v>3313.3115982130566</v>
      </c>
      <c r="F22" s="18">
        <f t="shared" si="11"/>
        <v>32169.804605293855</v>
      </c>
      <c r="G22" s="18">
        <f t="shared" si="11"/>
        <v>103.10451991075621</v>
      </c>
      <c r="H22" s="18">
        <f t="shared" si="11"/>
        <v>1065.4462513489846</v>
      </c>
      <c r="I22" s="18">
        <f t="shared" si="11"/>
        <v>1485.6661486869368</v>
      </c>
      <c r="J22" s="18">
        <f t="shared" si="11"/>
        <v>73740</v>
      </c>
      <c r="L22" t="str">
        <f>$A$9</f>
        <v>Sumner</v>
      </c>
      <c r="M22" s="18" t="e">
        <f t="shared" si="7"/>
        <v>#DIV/0!</v>
      </c>
      <c r="N22" s="18" t="e">
        <f t="shared" si="7"/>
        <v>#DIV/0!</v>
      </c>
      <c r="O22" s="18" t="e">
        <f t="shared" si="7"/>
        <v>#DIV/0!</v>
      </c>
      <c r="P22" s="18" t="e">
        <f t="shared" si="7"/>
        <v>#DIV/0!</v>
      </c>
      <c r="Q22" s="18" t="e">
        <f t="shared" si="7"/>
        <v>#DIV/0!</v>
      </c>
      <c r="R22" s="18" t="e">
        <f t="shared" si="7"/>
        <v>#DIV/0!</v>
      </c>
      <c r="S22" s="18" t="e">
        <f t="shared" ref="S22" si="12">S9*($AF9/$U9)</f>
        <v>#DIV/0!</v>
      </c>
      <c r="T22" s="18" t="e">
        <f t="shared" si="8"/>
        <v>#DIV/0!</v>
      </c>
      <c r="U22" s="18" t="e">
        <f>SUM(M22:T22)</f>
        <v>#DIV/0!</v>
      </c>
    </row>
    <row r="23" spans="1:36" x14ac:dyDescent="0.25">
      <c r="A23" t="str">
        <f>$A$10</f>
        <v>Roberston</v>
      </c>
      <c r="B23" s="18">
        <f t="shared" ref="B23:J23" si="13">B10*($AF10/$J10)</f>
        <v>694.44871259765398</v>
      </c>
      <c r="C23" s="18">
        <f t="shared" si="13"/>
        <v>55.64131578345728</v>
      </c>
      <c r="D23" s="18">
        <f t="shared" si="13"/>
        <v>2185.9362091744147</v>
      </c>
      <c r="E23" s="18">
        <f t="shared" si="13"/>
        <v>12746.001673924833</v>
      </c>
      <c r="F23" s="18">
        <f t="shared" si="13"/>
        <v>12393.94795479037</v>
      </c>
      <c r="G23" s="18">
        <f t="shared" si="13"/>
        <v>0</v>
      </c>
      <c r="H23" s="18">
        <f t="shared" si="13"/>
        <v>0</v>
      </c>
      <c r="I23" s="18">
        <f t="shared" si="13"/>
        <v>1904.0241337292748</v>
      </c>
      <c r="J23" s="18">
        <f t="shared" si="13"/>
        <v>29980</v>
      </c>
      <c r="L23" t="str">
        <f>$A$10</f>
        <v>Roberston</v>
      </c>
      <c r="M23" s="18" t="e">
        <f t="shared" si="7"/>
        <v>#DIV/0!</v>
      </c>
      <c r="N23" s="18" t="e">
        <f t="shared" si="7"/>
        <v>#DIV/0!</v>
      </c>
      <c r="O23" s="18" t="e">
        <f t="shared" si="7"/>
        <v>#DIV/0!</v>
      </c>
      <c r="P23" s="18" t="e">
        <f t="shared" si="7"/>
        <v>#DIV/0!</v>
      </c>
      <c r="Q23" s="18" t="e">
        <f t="shared" si="7"/>
        <v>#DIV/0!</v>
      </c>
      <c r="R23" s="18" t="e">
        <f t="shared" si="7"/>
        <v>#DIV/0!</v>
      </c>
      <c r="S23" s="18" t="e">
        <f t="shared" ref="S23" si="14">S10*($AF10/$U10)</f>
        <v>#DIV/0!</v>
      </c>
      <c r="T23" s="18" t="e">
        <f t="shared" si="8"/>
        <v>#DIV/0!</v>
      </c>
      <c r="U23" s="18" t="e">
        <f t="shared" ref="U23:U26" si="15">SUM(M23:T23)</f>
        <v>#DIV/0!</v>
      </c>
    </row>
    <row r="24" spans="1:36" x14ac:dyDescent="0.25">
      <c r="A24" t="str">
        <f>$A$11</f>
        <v>Davidson</v>
      </c>
      <c r="B24" s="18">
        <f t="shared" ref="B24:J24" si="16">B11*($AF11/$J11)</f>
        <v>23285.649508381382</v>
      </c>
      <c r="C24" s="18">
        <f t="shared" si="16"/>
        <v>7213.8624230211026</v>
      </c>
      <c r="D24" s="18">
        <f t="shared" si="16"/>
        <v>4027.978740647015</v>
      </c>
      <c r="E24" s="18">
        <f t="shared" si="16"/>
        <v>121.22374704418053</v>
      </c>
      <c r="F24" s="18">
        <f t="shared" si="16"/>
        <v>255020.8503081628</v>
      </c>
      <c r="G24" s="18">
        <f t="shared" si="16"/>
        <v>1717.975488495066</v>
      </c>
      <c r="H24" s="18">
        <f t="shared" si="16"/>
        <v>4168.5969414677656</v>
      </c>
      <c r="I24" s="18">
        <f t="shared" si="16"/>
        <v>5865.8628427807071</v>
      </c>
      <c r="J24" s="18">
        <f t="shared" si="16"/>
        <v>301422</v>
      </c>
      <c r="L24" t="str">
        <f>$A$11</f>
        <v>Davidson</v>
      </c>
      <c r="M24" s="18" t="e">
        <f t="shared" si="7"/>
        <v>#DIV/0!</v>
      </c>
      <c r="N24" s="18" t="e">
        <f t="shared" si="7"/>
        <v>#DIV/0!</v>
      </c>
      <c r="O24" s="18" t="e">
        <f t="shared" si="7"/>
        <v>#DIV/0!</v>
      </c>
      <c r="P24" s="18" t="e">
        <f t="shared" si="7"/>
        <v>#DIV/0!</v>
      </c>
      <c r="Q24" s="18" t="e">
        <f t="shared" si="7"/>
        <v>#DIV/0!</v>
      </c>
      <c r="R24" s="18" t="e">
        <f t="shared" si="7"/>
        <v>#DIV/0!</v>
      </c>
      <c r="S24" s="18" t="e">
        <f t="shared" ref="S24" si="17">S11*($AF11/$U11)</f>
        <v>#DIV/0!</v>
      </c>
      <c r="T24" s="18" t="e">
        <f t="shared" si="8"/>
        <v>#DIV/0!</v>
      </c>
      <c r="U24" s="18" t="e">
        <f t="shared" si="15"/>
        <v>#DIV/0!</v>
      </c>
    </row>
    <row r="25" spans="1:36" x14ac:dyDescent="0.25">
      <c r="A25" t="str">
        <f>$A$12</f>
        <v>Maury</v>
      </c>
      <c r="B25" s="18">
        <f t="shared" ref="B25:J25" si="18">B12*($AF12/$J12)</f>
        <v>9622.4815742680657</v>
      </c>
      <c r="C25" s="18">
        <f t="shared" si="18"/>
        <v>1434.1958065653539</v>
      </c>
      <c r="D25" s="18">
        <f t="shared" si="18"/>
        <v>0</v>
      </c>
      <c r="E25" s="18">
        <f t="shared" si="18"/>
        <v>0</v>
      </c>
      <c r="F25" s="18">
        <f t="shared" si="18"/>
        <v>5812.2614331684317</v>
      </c>
      <c r="G25" s="18">
        <f t="shared" si="18"/>
        <v>16897.793900235702</v>
      </c>
      <c r="H25" s="18">
        <f t="shared" si="18"/>
        <v>0</v>
      </c>
      <c r="I25" s="18">
        <f t="shared" si="18"/>
        <v>2296.2672857624457</v>
      </c>
      <c r="J25" s="18">
        <f t="shared" si="18"/>
        <v>36063</v>
      </c>
      <c r="L25" t="str">
        <f>$A$12</f>
        <v>Maury</v>
      </c>
      <c r="M25" s="18" t="e">
        <f t="shared" si="7"/>
        <v>#DIV/0!</v>
      </c>
      <c r="N25" s="18" t="e">
        <f t="shared" si="7"/>
        <v>#DIV/0!</v>
      </c>
      <c r="O25" s="18" t="e">
        <f t="shared" si="7"/>
        <v>#DIV/0!</v>
      </c>
      <c r="P25" s="18" t="e">
        <f t="shared" si="7"/>
        <v>#DIV/0!</v>
      </c>
      <c r="Q25" s="18" t="e">
        <f t="shared" si="7"/>
        <v>#DIV/0!</v>
      </c>
      <c r="R25" s="18" t="e">
        <f t="shared" si="7"/>
        <v>#DIV/0!</v>
      </c>
      <c r="S25" s="18" t="e">
        <f t="shared" ref="S25" si="19">S12*($AF12/$U12)</f>
        <v>#DIV/0!</v>
      </c>
      <c r="T25" s="18" t="e">
        <f t="shared" si="8"/>
        <v>#DIV/0!</v>
      </c>
      <c r="U25" s="18" t="e">
        <f t="shared" si="15"/>
        <v>#DIV/0!</v>
      </c>
    </row>
    <row r="26" spans="1:36" x14ac:dyDescent="0.25">
      <c r="A26" t="str">
        <f>$A$13</f>
        <v>Wilson</v>
      </c>
      <c r="B26" s="18">
        <f t="shared" ref="B26:J26" si="20">B13*($AF13/$J13)</f>
        <v>3663.639731536633</v>
      </c>
      <c r="C26" s="18">
        <f t="shared" si="20"/>
        <v>3030.3168406577329</v>
      </c>
      <c r="D26" s="18">
        <f t="shared" si="20"/>
        <v>381.33672194848043</v>
      </c>
      <c r="E26" s="18">
        <f t="shared" si="20"/>
        <v>0</v>
      </c>
      <c r="F26" s="18">
        <f t="shared" si="20"/>
        <v>25292.924932401049</v>
      </c>
      <c r="G26" s="18">
        <f t="shared" si="20"/>
        <v>88.880372114526011</v>
      </c>
      <c r="H26" s="18">
        <f t="shared" si="20"/>
        <v>18885.68142711325</v>
      </c>
      <c r="I26" s="18">
        <f t="shared" si="20"/>
        <v>2521.219974228331</v>
      </c>
      <c r="J26" s="18">
        <f t="shared" si="20"/>
        <v>53864</v>
      </c>
      <c r="L26" t="str">
        <f>$A$13</f>
        <v>Wilson</v>
      </c>
      <c r="M26" s="18" t="e">
        <f t="shared" si="7"/>
        <v>#DIV/0!</v>
      </c>
      <c r="N26" s="18" t="e">
        <f t="shared" si="7"/>
        <v>#DIV/0!</v>
      </c>
      <c r="O26" s="18" t="e">
        <f t="shared" si="7"/>
        <v>#DIV/0!</v>
      </c>
      <c r="P26" s="18" t="e">
        <f t="shared" si="7"/>
        <v>#DIV/0!</v>
      </c>
      <c r="Q26" s="18" t="e">
        <f t="shared" si="7"/>
        <v>#DIV/0!</v>
      </c>
      <c r="R26" s="18" t="e">
        <f t="shared" si="7"/>
        <v>#DIV/0!</v>
      </c>
      <c r="S26" s="18" t="e">
        <f t="shared" ref="S26" si="21">S13*($AF13/$U13)</f>
        <v>#DIV/0!</v>
      </c>
      <c r="T26" s="18" t="e">
        <f t="shared" si="7"/>
        <v>#DIV/0!</v>
      </c>
      <c r="U26" s="18" t="e">
        <f t="shared" si="15"/>
        <v>#DIV/0!</v>
      </c>
    </row>
    <row r="27" spans="1:36" x14ac:dyDescent="0.25">
      <c r="A27" s="21" t="s">
        <v>20</v>
      </c>
      <c r="B27" s="18"/>
      <c r="C27" s="20"/>
      <c r="D27" s="20"/>
      <c r="E27" s="20"/>
      <c r="F27" s="20"/>
      <c r="G27" s="20"/>
      <c r="H27" s="18"/>
      <c r="I27" s="20"/>
      <c r="J27" s="20"/>
      <c r="L27" s="21" t="s">
        <v>20</v>
      </c>
      <c r="M27" s="20" t="e">
        <f t="shared" ref="M27:S27" si="22">M14*($AF14/$U14)</f>
        <v>#DIV/0!</v>
      </c>
      <c r="N27" s="20" t="e">
        <f t="shared" si="22"/>
        <v>#DIV/0!</v>
      </c>
      <c r="O27" s="20" t="e">
        <f t="shared" si="22"/>
        <v>#DIV/0!</v>
      </c>
      <c r="P27" s="20" t="e">
        <f t="shared" si="22"/>
        <v>#DIV/0!</v>
      </c>
      <c r="Q27" s="20" t="e">
        <f t="shared" si="22"/>
        <v>#DIV/0!</v>
      </c>
      <c r="R27" s="20" t="e">
        <f t="shared" si="22"/>
        <v>#DIV/0!</v>
      </c>
      <c r="S27" s="18" t="e">
        <f t="shared" si="22"/>
        <v>#DIV/0!</v>
      </c>
      <c r="T27" s="20" t="e">
        <f>T14*($AF14/$U14)</f>
        <v>#DIV/0!</v>
      </c>
      <c r="U27" s="20" t="e">
        <f>SUM(M27:T27)</f>
        <v>#DIV/0!</v>
      </c>
    </row>
    <row r="28" spans="1:36" ht="15.75" thickBot="1" x14ac:dyDescent="0.3">
      <c r="A28" s="22" t="s">
        <v>4</v>
      </c>
      <c r="B28" s="22">
        <f>SUM(B20:B27)</f>
        <v>86734.991437067292</v>
      </c>
      <c r="C28" s="22">
        <f t="shared" ref="C28:H28" si="23">SUM(C20:C27)</f>
        <v>89348.145401403075</v>
      </c>
      <c r="D28" s="22">
        <f t="shared" si="23"/>
        <v>39225.284913603035</v>
      </c>
      <c r="E28" s="22">
        <f t="shared" si="23"/>
        <v>16276.445879188988</v>
      </c>
      <c r="F28" s="22">
        <f t="shared" si="23"/>
        <v>405012.90402591135</v>
      </c>
      <c r="G28" s="22">
        <f t="shared" si="23"/>
        <v>19520.003080343093</v>
      </c>
      <c r="H28" s="22">
        <f t="shared" si="23"/>
        <v>26094.833248402167</v>
      </c>
      <c r="I28" s="22">
        <f>SUM(I20:I27)</f>
        <v>23769.392014081044</v>
      </c>
      <c r="J28" s="22">
        <f>SUM(J20:J27)</f>
        <v>705982</v>
      </c>
      <c r="L28" s="22" t="s">
        <v>4</v>
      </c>
      <c r="M28" s="22" t="e">
        <f>SUM(M20:M27)</f>
        <v>#DIV/0!</v>
      </c>
      <c r="N28" s="22" t="e">
        <f t="shared" ref="N28:S28" si="24">SUM(N20:N27)</f>
        <v>#DIV/0!</v>
      </c>
      <c r="O28" s="22" t="e">
        <f t="shared" si="24"/>
        <v>#DIV/0!</v>
      </c>
      <c r="P28" s="22" t="e">
        <f t="shared" si="24"/>
        <v>#DIV/0!</v>
      </c>
      <c r="Q28" s="22" t="e">
        <f t="shared" si="24"/>
        <v>#DIV/0!</v>
      </c>
      <c r="R28" s="22" t="e">
        <f t="shared" si="24"/>
        <v>#DIV/0!</v>
      </c>
      <c r="S28" s="22" t="e">
        <f t="shared" si="24"/>
        <v>#DIV/0!</v>
      </c>
      <c r="T28" s="22" t="e">
        <f>SUM(T20:T27)</f>
        <v>#DIV/0!</v>
      </c>
      <c r="U28" s="22" t="e">
        <f>SUM(U20:U27)</f>
        <v>#DIV/0!</v>
      </c>
    </row>
    <row r="32" spans="1:36" ht="15.75" thickBot="1" x14ac:dyDescent="0.3">
      <c r="A32" s="4" t="s">
        <v>294</v>
      </c>
      <c r="B32" s="1"/>
      <c r="C32" s="1"/>
      <c r="D32" s="1"/>
      <c r="E32" s="1"/>
      <c r="F32" s="1"/>
      <c r="G32" s="1"/>
      <c r="H32" s="1"/>
      <c r="I32" s="1"/>
      <c r="J32" s="1"/>
      <c r="L32" s="4" t="s">
        <v>66</v>
      </c>
      <c r="M32" s="1"/>
      <c r="N32" s="1"/>
      <c r="O32" s="1"/>
      <c r="P32" s="1"/>
      <c r="Q32" s="1"/>
      <c r="R32" s="1"/>
      <c r="S32" s="1"/>
      <c r="T32" s="1"/>
      <c r="U32" s="1"/>
      <c r="W32" s="4" t="s">
        <v>52</v>
      </c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2" t="s">
        <v>18</v>
      </c>
      <c r="B33" s="2" t="str">
        <f>$A$7</f>
        <v>Williamson</v>
      </c>
      <c r="C33" s="2" t="str">
        <f>$A$8</f>
        <v>Rutherford</v>
      </c>
      <c r="D33" s="2" t="str">
        <f>$A$9</f>
        <v>Sumner</v>
      </c>
      <c r="E33" s="2" t="str">
        <f>$A$10</f>
        <v>Roberston</v>
      </c>
      <c r="F33" s="2" t="str">
        <f>$A$11</f>
        <v>Davidson</v>
      </c>
      <c r="G33" s="2" t="str">
        <f>$A$12</f>
        <v>Maury</v>
      </c>
      <c r="H33" s="2" t="str">
        <f>$A$13</f>
        <v>Wilson</v>
      </c>
      <c r="I33" s="3" t="str">
        <f>$A$14</f>
        <v>Outside</v>
      </c>
      <c r="J33" s="3" t="s">
        <v>4</v>
      </c>
      <c r="L33" s="2" t="s">
        <v>18</v>
      </c>
      <c r="M33" s="2" t="str">
        <f>$A$7</f>
        <v>Williamson</v>
      </c>
      <c r="N33" s="2" t="str">
        <f>$A$8</f>
        <v>Rutherford</v>
      </c>
      <c r="O33" s="2" t="str">
        <f>$A$9</f>
        <v>Sumner</v>
      </c>
      <c r="P33" s="2" t="str">
        <f>$A$10</f>
        <v>Roberston</v>
      </c>
      <c r="Q33" s="2" t="str">
        <f>$A$11</f>
        <v>Davidson</v>
      </c>
      <c r="R33" s="2" t="str">
        <f>$A$12</f>
        <v>Maury</v>
      </c>
      <c r="S33" s="2" t="str">
        <f>$A$13</f>
        <v>Wilson</v>
      </c>
      <c r="T33" s="3" t="str">
        <f>$A$14</f>
        <v>Outside</v>
      </c>
      <c r="U33" s="3" t="s">
        <v>4</v>
      </c>
      <c r="W33" s="2" t="s">
        <v>18</v>
      </c>
      <c r="X33" s="2" t="str">
        <f>$A$7</f>
        <v>Williamson</v>
      </c>
      <c r="Y33" s="2" t="str">
        <f>$A$8</f>
        <v>Rutherford</v>
      </c>
      <c r="Z33" s="2" t="str">
        <f>$A$9</f>
        <v>Sumner</v>
      </c>
      <c r="AA33" s="2" t="str">
        <f>$A$10</f>
        <v>Roberston</v>
      </c>
      <c r="AB33" s="2" t="str">
        <f>$A$11</f>
        <v>Davidson</v>
      </c>
      <c r="AC33" s="2" t="str">
        <f>$A$12</f>
        <v>Maury</v>
      </c>
      <c r="AD33" s="2" t="str">
        <f>$A$13</f>
        <v>Wilson</v>
      </c>
      <c r="AE33" s="3" t="str">
        <f>$A$14</f>
        <v>Outside</v>
      </c>
      <c r="AF33" s="3" t="s">
        <v>4</v>
      </c>
    </row>
    <row r="34" spans="1:32" x14ac:dyDescent="0.25">
      <c r="A34" t="str">
        <f>$A$7</f>
        <v>Williamson</v>
      </c>
      <c r="B34" s="28">
        <f>B7/$J$15</f>
        <v>5.4985940596819653E-2</v>
      </c>
      <c r="C34" s="28">
        <f t="shared" ref="C34:J34" si="25">C7/$J$15</f>
        <v>3.8368545964724749E-3</v>
      </c>
      <c r="D34" s="28">
        <f t="shared" si="25"/>
        <v>3.016936217561095E-4</v>
      </c>
      <c r="E34" s="28">
        <f t="shared" si="25"/>
        <v>0</v>
      </c>
      <c r="F34" s="28">
        <f t="shared" si="25"/>
        <v>5.2607507193737781E-2</v>
      </c>
      <c r="G34" s="28">
        <f t="shared" si="25"/>
        <v>9.6830493600935197E-4</v>
      </c>
      <c r="H34" s="28">
        <f t="shared" si="25"/>
        <v>1.3865950336039245E-4</v>
      </c>
      <c r="I34" s="28">
        <f t="shared" si="25"/>
        <v>4.4073646277674912E-3</v>
      </c>
      <c r="J34" s="28">
        <f t="shared" si="25"/>
        <v>0.11724632507592325</v>
      </c>
      <c r="L34" t="str">
        <f>$A$7</f>
        <v>Williamson</v>
      </c>
      <c r="M34" s="28" t="e">
        <f t="shared" ref="M34:T41" si="26">M20/$U$28</f>
        <v>#DIV/0!</v>
      </c>
      <c r="N34" s="28" t="e">
        <f t="shared" si="26"/>
        <v>#DIV/0!</v>
      </c>
      <c r="O34" s="28" t="e">
        <f t="shared" si="26"/>
        <v>#DIV/0!</v>
      </c>
      <c r="P34" s="28" t="e">
        <f t="shared" si="26"/>
        <v>#DIV/0!</v>
      </c>
      <c r="Q34" s="28" t="e">
        <f t="shared" si="26"/>
        <v>#DIV/0!</v>
      </c>
      <c r="R34" s="28" t="e">
        <f t="shared" si="26"/>
        <v>#DIV/0!</v>
      </c>
      <c r="S34" s="28" t="e">
        <f t="shared" si="26"/>
        <v>#DIV/0!</v>
      </c>
      <c r="T34" s="28" t="e">
        <f t="shared" ref="T34:T39" si="27">T20/$U$28</f>
        <v>#DIV/0!</v>
      </c>
      <c r="U34" s="28" t="e">
        <f>SUM(M34:T34)</f>
        <v>#DIV/0!</v>
      </c>
      <c r="W34" t="str">
        <f>$A$7</f>
        <v>Williamson</v>
      </c>
      <c r="X34" s="28">
        <f t="shared" ref="X34:AD40" si="28">X7/$AF$15</f>
        <v>6.0444883863894544E-2</v>
      </c>
      <c r="Y34" s="28">
        <f t="shared" si="28"/>
        <v>4.3882138638095588E-3</v>
      </c>
      <c r="Z34" s="28">
        <f t="shared" si="28"/>
        <v>2.3371700694918568E-4</v>
      </c>
      <c r="AA34" s="28">
        <f t="shared" si="28"/>
        <v>8.9237402653325436E-5</v>
      </c>
      <c r="AB34" s="28">
        <f t="shared" si="28"/>
        <v>4.9734979078786712E-2</v>
      </c>
      <c r="AC34" s="28">
        <f t="shared" si="28"/>
        <v>3.5666631727154516E-3</v>
      </c>
      <c r="AD34" s="28">
        <f t="shared" si="28"/>
        <v>4.1219181225583655E-4</v>
      </c>
      <c r="AE34" s="28">
        <f t="shared" ref="AE34:AE40" si="29">AE7/$AF$15</f>
        <v>3.2890356977939949E-3</v>
      </c>
      <c r="AF34" s="28">
        <f>SUM(X34:AE34)</f>
        <v>0.1221589218988586</v>
      </c>
    </row>
    <row r="35" spans="1:32" x14ac:dyDescent="0.25">
      <c r="A35" t="str">
        <f>$A$8</f>
        <v>Rutherford</v>
      </c>
      <c r="B35" s="28">
        <f t="shared" ref="B35:J35" si="30">B8/$J$15</f>
        <v>1.053775453478902E-2</v>
      </c>
      <c r="C35" s="28">
        <f t="shared" si="30"/>
        <v>0.10246194489054274</v>
      </c>
      <c r="D35" s="28">
        <f t="shared" si="30"/>
        <v>9.3922759192684562E-5</v>
      </c>
      <c r="E35" s="28">
        <f t="shared" si="30"/>
        <v>1.3453996151883808E-4</v>
      </c>
      <c r="F35" s="28">
        <f t="shared" si="30"/>
        <v>4.9977196253068443E-2</v>
      </c>
      <c r="G35" s="28">
        <f t="shared" si="30"/>
        <v>0</v>
      </c>
      <c r="H35" s="28">
        <f t="shared" si="30"/>
        <v>2.6275876989284366E-3</v>
      </c>
      <c r="I35" s="28">
        <f t="shared" si="30"/>
        <v>9.0542493217083009E-3</v>
      </c>
      <c r="J35" s="28">
        <f t="shared" si="30"/>
        <v>0.17488719541974851</v>
      </c>
      <c r="L35" t="str">
        <f>$A$8</f>
        <v>Rutherford</v>
      </c>
      <c r="M35" s="28" t="e">
        <f t="shared" si="26"/>
        <v>#DIV/0!</v>
      </c>
      <c r="N35" s="28" t="e">
        <f t="shared" si="26"/>
        <v>#DIV/0!</v>
      </c>
      <c r="O35" s="28" t="e">
        <f t="shared" si="26"/>
        <v>#DIV/0!</v>
      </c>
      <c r="P35" s="28" t="e">
        <f t="shared" si="26"/>
        <v>#DIV/0!</v>
      </c>
      <c r="Q35" s="28" t="e">
        <f t="shared" si="26"/>
        <v>#DIV/0!</v>
      </c>
      <c r="R35" s="28" t="e">
        <f t="shared" si="26"/>
        <v>#DIV/0!</v>
      </c>
      <c r="S35" s="28" t="e">
        <f t="shared" ref="S35" si="31">S21/$U$28</f>
        <v>#DIV/0!</v>
      </c>
      <c r="T35" s="28" t="e">
        <f t="shared" si="27"/>
        <v>#DIV/0!</v>
      </c>
      <c r="U35" s="28" t="e">
        <f>SUM(M35:T35)</f>
        <v>#DIV/0!</v>
      </c>
      <c r="W35" t="str">
        <f>$A$8</f>
        <v>Rutherford</v>
      </c>
      <c r="X35" s="28">
        <f t="shared" si="28"/>
        <v>1.2896929383468701E-2</v>
      </c>
      <c r="Y35" s="28">
        <f t="shared" si="28"/>
        <v>0.11204110019802205</v>
      </c>
      <c r="Z35" s="28">
        <f t="shared" si="28"/>
        <v>4.6460108048080548E-4</v>
      </c>
      <c r="AA35" s="28">
        <f t="shared" si="28"/>
        <v>6.374100189523245E-5</v>
      </c>
      <c r="AB35" s="28">
        <f t="shared" si="28"/>
        <v>4.0264482663863954E-2</v>
      </c>
      <c r="AC35" s="28">
        <f t="shared" si="28"/>
        <v>2.9462507542685223E-4</v>
      </c>
      <c r="AD35" s="28">
        <f t="shared" ref="AD35" si="32">AD8/$AF$15</f>
        <v>5.5567988985554869E-3</v>
      </c>
      <c r="AE35" s="28">
        <f t="shared" si="29"/>
        <v>5.010042748965271E-3</v>
      </c>
      <c r="AF35" s="28">
        <f>SUM(X35:AE35)</f>
        <v>0.17659232105067835</v>
      </c>
    </row>
    <row r="36" spans="1:32" x14ac:dyDescent="0.25">
      <c r="A36" t="str">
        <f>$A$9</f>
        <v>Sumner</v>
      </c>
      <c r="B36" s="28">
        <f t="shared" ref="B36:J36" si="33">B9/$J$15</f>
        <v>2.106795983897721E-3</v>
      </c>
      <c r="C36" s="28">
        <f t="shared" si="33"/>
        <v>2.4402023044301363E-3</v>
      </c>
      <c r="D36" s="28">
        <f t="shared" si="33"/>
        <v>4.5088183472965615E-2</v>
      </c>
      <c r="E36" s="28">
        <f t="shared" si="33"/>
        <v>4.6192276544722629E-3</v>
      </c>
      <c r="F36" s="28">
        <f t="shared" si="33"/>
        <v>4.4849283463675928E-2</v>
      </c>
      <c r="G36" s="28">
        <f t="shared" si="33"/>
        <v>1.4374236637740639E-4</v>
      </c>
      <c r="H36" s="28">
        <f t="shared" si="33"/>
        <v>1.4853836238159219E-3</v>
      </c>
      <c r="I36" s="28">
        <f t="shared" si="33"/>
        <v>2.0712299329254664E-3</v>
      </c>
      <c r="J36" s="28">
        <f t="shared" si="33"/>
        <v>0.10280404880256046</v>
      </c>
      <c r="L36" t="str">
        <f>$A$9</f>
        <v>Sumner</v>
      </c>
      <c r="M36" s="28" t="e">
        <f t="shared" si="26"/>
        <v>#DIV/0!</v>
      </c>
      <c r="N36" s="28" t="e">
        <f t="shared" si="26"/>
        <v>#DIV/0!</v>
      </c>
      <c r="O36" s="28" t="e">
        <f t="shared" si="26"/>
        <v>#DIV/0!</v>
      </c>
      <c r="P36" s="28" t="e">
        <f t="shared" si="26"/>
        <v>#DIV/0!</v>
      </c>
      <c r="Q36" s="28" t="e">
        <f t="shared" si="26"/>
        <v>#DIV/0!</v>
      </c>
      <c r="R36" s="28" t="e">
        <f t="shared" si="26"/>
        <v>#DIV/0!</v>
      </c>
      <c r="S36" s="28" t="e">
        <f t="shared" ref="S36" si="34">S22/$U$28</f>
        <v>#DIV/0!</v>
      </c>
      <c r="T36" s="28" t="e">
        <f t="shared" si="27"/>
        <v>#DIV/0!</v>
      </c>
      <c r="U36" s="28" t="e">
        <f>SUM(M36:T36)</f>
        <v>#DIV/0!</v>
      </c>
      <c r="W36" t="str">
        <f>$A$9</f>
        <v>Sumner</v>
      </c>
      <c r="X36" s="28">
        <f t="shared" si="28"/>
        <v>1.3527257068877111E-3</v>
      </c>
      <c r="Y36" s="28">
        <f t="shared" si="28"/>
        <v>6.8840282046851058E-4</v>
      </c>
      <c r="Z36" s="28">
        <f t="shared" si="28"/>
        <v>4.2176712720720926E-2</v>
      </c>
      <c r="AA36" s="28">
        <f t="shared" si="28"/>
        <v>6.0058188452396799E-3</v>
      </c>
      <c r="AB36" s="28">
        <f t="shared" si="28"/>
        <v>4.335946242255468E-2</v>
      </c>
      <c r="AC36" s="28">
        <f t="shared" si="28"/>
        <v>8.4988002526976607E-6</v>
      </c>
      <c r="AD36" s="28">
        <f t="shared" ref="AD36" si="35">AD9/$AF$15</f>
        <v>5.1006966183273798E-3</v>
      </c>
      <c r="AE36" s="28">
        <f t="shared" si="29"/>
        <v>5.7579371712026652E-3</v>
      </c>
      <c r="AF36" s="28">
        <f>SUM(X36:AE36)</f>
        <v>0.10445025510565424</v>
      </c>
    </row>
    <row r="37" spans="1:32" x14ac:dyDescent="0.25">
      <c r="A37" t="str">
        <f>$A$10</f>
        <v>Roberston</v>
      </c>
      <c r="B37" s="28">
        <f t="shared" ref="B37:J37" si="36">B10/$J$15</f>
        <v>1.0026017050066777E-3</v>
      </c>
      <c r="C37" s="28">
        <f t="shared" si="36"/>
        <v>8.0331458697123809E-5</v>
      </c>
      <c r="D37" s="28">
        <f t="shared" si="36"/>
        <v>3.1559182565925113E-3</v>
      </c>
      <c r="E37" s="28">
        <f t="shared" si="36"/>
        <v>1.8401881634272581E-2</v>
      </c>
      <c r="F37" s="28">
        <f t="shared" si="36"/>
        <v>1.7893608449147308E-2</v>
      </c>
      <c r="G37" s="28">
        <f t="shared" si="36"/>
        <v>0</v>
      </c>
      <c r="H37" s="28">
        <f t="shared" si="36"/>
        <v>0</v>
      </c>
      <c r="I37" s="28">
        <f t="shared" si="36"/>
        <v>2.7489111985104179E-3</v>
      </c>
      <c r="J37" s="28">
        <f t="shared" si="36"/>
        <v>4.3283252702226618E-2</v>
      </c>
      <c r="L37" t="str">
        <f>$A$10</f>
        <v>Roberston</v>
      </c>
      <c r="M37" s="28" t="e">
        <f t="shared" si="26"/>
        <v>#DIV/0!</v>
      </c>
      <c r="N37" s="28" t="e">
        <f t="shared" si="26"/>
        <v>#DIV/0!</v>
      </c>
      <c r="O37" s="28" t="e">
        <f t="shared" si="26"/>
        <v>#DIV/0!</v>
      </c>
      <c r="P37" s="28" t="e">
        <f t="shared" si="26"/>
        <v>#DIV/0!</v>
      </c>
      <c r="Q37" s="28" t="e">
        <f t="shared" si="26"/>
        <v>#DIV/0!</v>
      </c>
      <c r="R37" s="28" t="e">
        <f t="shared" si="26"/>
        <v>#DIV/0!</v>
      </c>
      <c r="S37" s="28" t="e">
        <f t="shared" ref="S37" si="37">S23/$U$28</f>
        <v>#DIV/0!</v>
      </c>
      <c r="T37" s="28" t="e">
        <f t="shared" si="27"/>
        <v>#DIV/0!</v>
      </c>
      <c r="U37" s="28" t="e">
        <f t="shared" ref="U37:U40" si="38">SUM(M37:T37)</f>
        <v>#DIV/0!</v>
      </c>
      <c r="W37" t="str">
        <f>$A$10</f>
        <v>Roberston</v>
      </c>
      <c r="X37" s="28">
        <f t="shared" si="28"/>
        <v>4.7593281415106903E-4</v>
      </c>
      <c r="Y37" s="28">
        <f t="shared" si="28"/>
        <v>9.2070336070891322E-5</v>
      </c>
      <c r="Z37" s="28">
        <f t="shared" si="28"/>
        <v>3.6474017751160796E-3</v>
      </c>
      <c r="AA37" s="28">
        <f t="shared" si="28"/>
        <v>1.8771016824791566E-2</v>
      </c>
      <c r="AB37" s="28">
        <f t="shared" si="28"/>
        <v>1.5768107402171726E-2</v>
      </c>
      <c r="AC37" s="28">
        <f t="shared" si="28"/>
        <v>0</v>
      </c>
      <c r="AD37" s="28">
        <f t="shared" ref="AD37" si="39">AD10/$AF$15</f>
        <v>3.3570260998155762E-4</v>
      </c>
      <c r="AE37" s="28">
        <f t="shared" si="29"/>
        <v>3.3754401670297541E-3</v>
      </c>
      <c r="AF37" s="28">
        <f t="shared" ref="AF37:AF40" si="40">SUM(X37:AE37)</f>
        <v>4.2465671929312644E-2</v>
      </c>
    </row>
    <row r="38" spans="1:32" x14ac:dyDescent="0.25">
      <c r="A38" t="str">
        <f>$A$11</f>
        <v>Davidson</v>
      </c>
      <c r="B38" s="28">
        <f t="shared" ref="B38:J38" si="41">B11/$J$15</f>
        <v>3.3513511143389511E-2</v>
      </c>
      <c r="C38" s="28">
        <f t="shared" si="41"/>
        <v>1.0382439992226862E-2</v>
      </c>
      <c r="D38" s="28">
        <f t="shared" si="41"/>
        <v>5.7972061445578831E-3</v>
      </c>
      <c r="E38" s="28">
        <f t="shared" si="41"/>
        <v>1.7446940425459384E-4</v>
      </c>
      <c r="F38" s="28">
        <f t="shared" si="41"/>
        <v>0.36703481711012714</v>
      </c>
      <c r="G38" s="28">
        <f t="shared" si="41"/>
        <v>2.4725696681565995E-3</v>
      </c>
      <c r="H38" s="28">
        <f t="shared" si="41"/>
        <v>5.9995887166426074E-3</v>
      </c>
      <c r="I38" s="28">
        <f t="shared" si="41"/>
        <v>8.442352431542316E-3</v>
      </c>
      <c r="J38" s="28">
        <f t="shared" si="41"/>
        <v>0.43381695461089748</v>
      </c>
      <c r="L38" t="str">
        <f>$A$11</f>
        <v>Davidson</v>
      </c>
      <c r="M38" s="28" t="e">
        <f t="shared" si="26"/>
        <v>#DIV/0!</v>
      </c>
      <c r="N38" s="28" t="e">
        <f t="shared" si="26"/>
        <v>#DIV/0!</v>
      </c>
      <c r="O38" s="28" t="e">
        <f t="shared" si="26"/>
        <v>#DIV/0!</v>
      </c>
      <c r="P38" s="28" t="e">
        <f t="shared" si="26"/>
        <v>#DIV/0!</v>
      </c>
      <c r="Q38" s="28" t="e">
        <f t="shared" si="26"/>
        <v>#DIV/0!</v>
      </c>
      <c r="R38" s="28" t="e">
        <f t="shared" si="26"/>
        <v>#DIV/0!</v>
      </c>
      <c r="S38" s="28" t="e">
        <f t="shared" ref="S38" si="42">S24/$U$28</f>
        <v>#DIV/0!</v>
      </c>
      <c r="T38" s="28" t="e">
        <f t="shared" si="27"/>
        <v>#DIV/0!</v>
      </c>
      <c r="U38" s="28" t="e">
        <f t="shared" si="38"/>
        <v>#DIV/0!</v>
      </c>
      <c r="W38" t="str">
        <f>$A$11</f>
        <v>Davidson</v>
      </c>
      <c r="X38" s="28">
        <f t="shared" si="28"/>
        <v>3.5196364779838576E-2</v>
      </c>
      <c r="Y38" s="28">
        <f t="shared" si="28"/>
        <v>1.1717012615052508E-2</v>
      </c>
      <c r="Z38" s="28">
        <f t="shared" si="28"/>
        <v>5.7381066372797036E-3</v>
      </c>
      <c r="AA38" s="28">
        <f t="shared" si="28"/>
        <v>2.1459470638061592E-3</v>
      </c>
      <c r="AB38" s="28">
        <f t="shared" si="28"/>
        <v>0.35609264825448805</v>
      </c>
      <c r="AC38" s="28">
        <f t="shared" si="28"/>
        <v>1.9263947239448031E-4</v>
      </c>
      <c r="AD38" s="28">
        <f t="shared" ref="AD38" si="43">AD11/$AF$15</f>
        <v>6.767877934564904E-3</v>
      </c>
      <c r="AE38" s="28">
        <f t="shared" si="29"/>
        <v>9.1036315373479778E-3</v>
      </c>
      <c r="AF38" s="28">
        <f t="shared" si="40"/>
        <v>0.42695422829477242</v>
      </c>
    </row>
    <row r="39" spans="1:32" x14ac:dyDescent="0.25">
      <c r="A39" t="str">
        <f>$A$12</f>
        <v>Maury</v>
      </c>
      <c r="B39" s="28">
        <f t="shared" ref="B39:J39" si="44">B12/$J$15</f>
        <v>1.3536878767174952E-2</v>
      </c>
      <c r="C39" s="28">
        <f t="shared" si="44"/>
        <v>2.0176224409494559E-3</v>
      </c>
      <c r="D39" s="28">
        <f t="shared" si="44"/>
        <v>0</v>
      </c>
      <c r="E39" s="28">
        <f t="shared" si="44"/>
        <v>0</v>
      </c>
      <c r="F39" s="28">
        <f t="shared" si="44"/>
        <v>8.1766722832007487E-3</v>
      </c>
      <c r="G39" s="28">
        <f t="shared" si="44"/>
        <v>2.3771766741740787E-2</v>
      </c>
      <c r="H39" s="28">
        <f t="shared" si="44"/>
        <v>0</v>
      </c>
      <c r="I39" s="28">
        <f t="shared" si="44"/>
        <v>3.2303820614757099E-3</v>
      </c>
      <c r="J39" s="28">
        <f t="shared" si="44"/>
        <v>5.0733322294541652E-2</v>
      </c>
      <c r="L39" t="str">
        <f>$A$12</f>
        <v>Maury</v>
      </c>
      <c r="M39" s="28" t="e">
        <f t="shared" si="26"/>
        <v>#DIV/0!</v>
      </c>
      <c r="N39" s="28" t="e">
        <f t="shared" si="26"/>
        <v>#DIV/0!</v>
      </c>
      <c r="O39" s="28" t="e">
        <f t="shared" si="26"/>
        <v>#DIV/0!</v>
      </c>
      <c r="P39" s="28" t="e">
        <f t="shared" si="26"/>
        <v>#DIV/0!</v>
      </c>
      <c r="Q39" s="28" t="e">
        <f t="shared" si="26"/>
        <v>#DIV/0!</v>
      </c>
      <c r="R39" s="28" t="e">
        <f t="shared" si="26"/>
        <v>#DIV/0!</v>
      </c>
      <c r="S39" s="28" t="e">
        <f t="shared" ref="S39" si="45">S25/$U$28</f>
        <v>#DIV/0!</v>
      </c>
      <c r="T39" s="28" t="e">
        <f t="shared" si="27"/>
        <v>#DIV/0!</v>
      </c>
      <c r="U39" s="28" t="e">
        <f t="shared" si="38"/>
        <v>#DIV/0!</v>
      </c>
      <c r="W39" t="str">
        <f>$A$12</f>
        <v>Maury</v>
      </c>
      <c r="X39" s="28">
        <f t="shared" si="28"/>
        <v>9.7679544237671782E-3</v>
      </c>
      <c r="Y39" s="28">
        <f t="shared" si="28"/>
        <v>6.9973455413877407E-4</v>
      </c>
      <c r="Z39" s="28">
        <f t="shared" si="28"/>
        <v>2.5496400758092982E-5</v>
      </c>
      <c r="AA39" s="28">
        <f t="shared" si="28"/>
        <v>8.4988002526976607E-6</v>
      </c>
      <c r="AB39" s="28">
        <f t="shared" si="28"/>
        <v>4.6290132043026594E-3</v>
      </c>
      <c r="AC39" s="28">
        <f t="shared" si="28"/>
        <v>3.4764342433659778E-2</v>
      </c>
      <c r="AD39" s="28">
        <f t="shared" ref="AD39" si="46">AD12/$AF$15</f>
        <v>5.6658668351317736E-5</v>
      </c>
      <c r="AE39" s="28">
        <f t="shared" si="29"/>
        <v>1.1303404336087889E-3</v>
      </c>
      <c r="AF39" s="28">
        <f t="shared" si="40"/>
        <v>5.1082038918839286E-2</v>
      </c>
    </row>
    <row r="40" spans="1:32" x14ac:dyDescent="0.25">
      <c r="A40" t="str">
        <f>$A$13</f>
        <v>Wilson</v>
      </c>
      <c r="B40" s="28">
        <f t="shared" ref="B40:J40" si="47">B13/$J$15</f>
        <v>5.2528380824161695E-3</v>
      </c>
      <c r="C40" s="28">
        <f t="shared" si="47"/>
        <v>4.3447950313929024E-3</v>
      </c>
      <c r="D40" s="28">
        <f t="shared" si="47"/>
        <v>5.4675137351307404E-4</v>
      </c>
      <c r="E40" s="28">
        <f t="shared" si="47"/>
        <v>0</v>
      </c>
      <c r="F40" s="28">
        <f t="shared" si="47"/>
        <v>3.6264384338054061E-2</v>
      </c>
      <c r="G40" s="28">
        <f t="shared" si="47"/>
        <v>1.2743452894771459E-4</v>
      </c>
      <c r="H40" s="28">
        <f t="shared" si="47"/>
        <v>2.7077833488586917E-2</v>
      </c>
      <c r="I40" s="28">
        <f t="shared" si="47"/>
        <v>3.6148642511910339E-3</v>
      </c>
      <c r="J40" s="28">
        <f t="shared" si="47"/>
        <v>7.7228901094101868E-2</v>
      </c>
      <c r="L40" t="str">
        <f>$A$13</f>
        <v>Wilson</v>
      </c>
      <c r="M40" s="28" t="e">
        <f t="shared" si="26"/>
        <v>#DIV/0!</v>
      </c>
      <c r="N40" s="28" t="e">
        <f t="shared" si="26"/>
        <v>#DIV/0!</v>
      </c>
      <c r="O40" s="28" t="e">
        <f t="shared" si="26"/>
        <v>#DIV/0!</v>
      </c>
      <c r="P40" s="28" t="e">
        <f t="shared" si="26"/>
        <v>#DIV/0!</v>
      </c>
      <c r="Q40" s="28" t="e">
        <f t="shared" si="26"/>
        <v>#DIV/0!</v>
      </c>
      <c r="R40" s="28" t="e">
        <f t="shared" si="26"/>
        <v>#DIV/0!</v>
      </c>
      <c r="S40" s="28" t="e">
        <f t="shared" ref="S40" si="48">S26/$U$28</f>
        <v>#DIV/0!</v>
      </c>
      <c r="T40" s="28" t="e">
        <f t="shared" si="26"/>
        <v>#DIV/0!</v>
      </c>
      <c r="U40" s="28" t="e">
        <f t="shared" si="38"/>
        <v>#DIV/0!</v>
      </c>
      <c r="W40" t="str">
        <f>$A$13</f>
        <v>Wilson</v>
      </c>
      <c r="X40" s="28">
        <f t="shared" si="28"/>
        <v>1.4872900442220907E-3</v>
      </c>
      <c r="Y40" s="28">
        <f t="shared" si="28"/>
        <v>4.9165559461855964E-3</v>
      </c>
      <c r="Z40" s="28">
        <f t="shared" si="28"/>
        <v>3.2097135621021499E-3</v>
      </c>
      <c r="AA40" s="28">
        <f t="shared" si="28"/>
        <v>2.6346280783362747E-4</v>
      </c>
      <c r="AB40" s="28">
        <f t="shared" si="28"/>
        <v>3.4308240153431674E-2</v>
      </c>
      <c r="AC40" s="28">
        <f t="shared" si="28"/>
        <v>1.5581133796612379E-5</v>
      </c>
      <c r="AD40" s="28">
        <f t="shared" ref="AD40" si="49">AD13/$AF$15</f>
        <v>3.0982376321209322E-2</v>
      </c>
      <c r="AE40" s="28">
        <f t="shared" si="29"/>
        <v>1.1133428331033936E-3</v>
      </c>
      <c r="AF40" s="28">
        <f t="shared" si="40"/>
        <v>7.6296562801884474E-2</v>
      </c>
    </row>
    <row r="41" spans="1:32" x14ac:dyDescent="0.25">
      <c r="A41" s="8" t="s">
        <v>20</v>
      </c>
      <c r="B41" s="28">
        <f t="shared" ref="B41:J41" si="50">B14/$J$15</f>
        <v>0</v>
      </c>
      <c r="C41" s="28">
        <f t="shared" si="50"/>
        <v>0</v>
      </c>
      <c r="D41" s="28">
        <f t="shared" si="50"/>
        <v>0</v>
      </c>
      <c r="E41" s="28">
        <f t="shared" si="50"/>
        <v>0</v>
      </c>
      <c r="F41" s="28">
        <f t="shared" si="50"/>
        <v>0</v>
      </c>
      <c r="G41" s="28">
        <f t="shared" si="50"/>
        <v>0</v>
      </c>
      <c r="H41" s="28">
        <f t="shared" si="50"/>
        <v>0</v>
      </c>
      <c r="I41" s="28">
        <f t="shared" si="50"/>
        <v>0</v>
      </c>
      <c r="J41" s="28">
        <f t="shared" si="50"/>
        <v>0</v>
      </c>
      <c r="L41" s="47" t="s">
        <v>20</v>
      </c>
      <c r="M41" s="28" t="e">
        <f t="shared" si="26"/>
        <v>#DIV/0!</v>
      </c>
      <c r="N41" s="28" t="e">
        <f t="shared" si="26"/>
        <v>#DIV/0!</v>
      </c>
      <c r="O41" s="28" t="e">
        <f t="shared" si="26"/>
        <v>#DIV/0!</v>
      </c>
      <c r="P41" s="28" t="e">
        <f t="shared" si="26"/>
        <v>#DIV/0!</v>
      </c>
      <c r="Q41" s="28" t="e">
        <f t="shared" si="26"/>
        <v>#DIV/0!</v>
      </c>
      <c r="R41" s="28" t="e">
        <f t="shared" si="26"/>
        <v>#DIV/0!</v>
      </c>
      <c r="S41" s="28" t="e">
        <f t="shared" si="26"/>
        <v>#DIV/0!</v>
      </c>
      <c r="T41" s="28" t="e">
        <f t="shared" si="26"/>
        <v>#DIV/0!</v>
      </c>
      <c r="U41" s="44" t="e">
        <f>SUM(M41:T41)</f>
        <v>#DIV/0!</v>
      </c>
      <c r="W41" s="8" t="s">
        <v>20</v>
      </c>
      <c r="X41" s="29">
        <f t="shared" ref="X41:AD41" si="51">X14/$AF$15</f>
        <v>0</v>
      </c>
      <c r="Y41" s="29">
        <f t="shared" si="51"/>
        <v>0</v>
      </c>
      <c r="Z41" s="29">
        <f t="shared" si="51"/>
        <v>0</v>
      </c>
      <c r="AA41" s="29">
        <f t="shared" si="51"/>
        <v>0</v>
      </c>
      <c r="AB41" s="29">
        <f t="shared" si="51"/>
        <v>0</v>
      </c>
      <c r="AC41" s="29">
        <f t="shared" si="51"/>
        <v>0</v>
      </c>
      <c r="AD41" s="29">
        <f t="shared" si="51"/>
        <v>0</v>
      </c>
      <c r="AE41" s="29">
        <f>AE14/$AF$15</f>
        <v>0</v>
      </c>
      <c r="AF41" s="29">
        <f>SUM(X41:AE41)</f>
        <v>0</v>
      </c>
    </row>
    <row r="42" spans="1:32" ht="15.75" thickBot="1" x14ac:dyDescent="0.3">
      <c r="A42" s="1" t="s">
        <v>4</v>
      </c>
      <c r="B42" s="30">
        <f>SUM(B34:B41)</f>
        <v>0.12093632081349372</v>
      </c>
      <c r="C42" s="30">
        <f>SUM(C34:C41)</f>
        <v>0.1255641907147117</v>
      </c>
      <c r="D42" s="30">
        <f>SUM(D34:D41)</f>
        <v>5.498367562857788E-2</v>
      </c>
      <c r="E42" s="30">
        <f t="shared" ref="E42:H42" si="52">SUM(E34:E41)</f>
        <v>2.3330118654518277E-2</v>
      </c>
      <c r="F42" s="30">
        <f t="shared" si="52"/>
        <v>0.57680346909101132</v>
      </c>
      <c r="G42" s="30">
        <f t="shared" si="52"/>
        <v>2.7483818241231861E-2</v>
      </c>
      <c r="H42" s="30">
        <f t="shared" si="52"/>
        <v>3.7329053031334276E-2</v>
      </c>
      <c r="I42" s="30">
        <f>SUM(I34:I41)</f>
        <v>3.3569353825120739E-2</v>
      </c>
      <c r="J42" s="30">
        <f>SUM(J34:J41)</f>
        <v>0.99999999999999978</v>
      </c>
      <c r="L42" s="48" t="s">
        <v>4</v>
      </c>
      <c r="M42" s="49" t="e">
        <f>SUM(M34:M41)</f>
        <v>#DIV/0!</v>
      </c>
      <c r="N42" s="49" t="e">
        <f t="shared" ref="N42:S42" si="53">SUM(N34:N41)</f>
        <v>#DIV/0!</v>
      </c>
      <c r="O42" s="49" t="e">
        <f t="shared" si="53"/>
        <v>#DIV/0!</v>
      </c>
      <c r="P42" s="49" t="e">
        <f t="shared" si="53"/>
        <v>#DIV/0!</v>
      </c>
      <c r="Q42" s="49" t="e">
        <f t="shared" si="53"/>
        <v>#DIV/0!</v>
      </c>
      <c r="R42" s="49" t="e">
        <f t="shared" si="53"/>
        <v>#DIV/0!</v>
      </c>
      <c r="S42" s="49" t="e">
        <f t="shared" si="53"/>
        <v>#DIV/0!</v>
      </c>
      <c r="T42" s="49" t="e">
        <f>SUM(T34:T41)</f>
        <v>#DIV/0!</v>
      </c>
      <c r="U42" s="49" t="e">
        <f>SUM(U34:U41)</f>
        <v>#DIV/0!</v>
      </c>
      <c r="W42" s="1" t="s">
        <v>4</v>
      </c>
      <c r="X42" s="30">
        <f>SUM(X34:X41)</f>
        <v>0.12162208101622987</v>
      </c>
      <c r="Y42" s="30">
        <f>SUM(Y34:Y41)</f>
        <v>0.13454309033374789</v>
      </c>
      <c r="Z42" s="30">
        <f>SUM(Z34:Z41)</f>
        <v>5.5495749183406939E-2</v>
      </c>
      <c r="AA42" s="30">
        <f t="shared" ref="AA42:AD42" si="54">SUM(AA34:AA41)</f>
        <v>2.7347722746472288E-2</v>
      </c>
      <c r="AB42" s="30">
        <f t="shared" si="54"/>
        <v>0.54415693317959946</v>
      </c>
      <c r="AC42" s="30">
        <f t="shared" si="54"/>
        <v>3.8842350088245874E-2</v>
      </c>
      <c r="AD42" s="30">
        <f t="shared" si="54"/>
        <v>4.9212302863245808E-2</v>
      </c>
      <c r="AE42" s="30">
        <f>SUM(AE34:AE41)</f>
        <v>2.8779770589051845E-2</v>
      </c>
      <c r="AF42" s="30">
        <f>SUM(AF34:AF41)</f>
        <v>1.0000000000000002</v>
      </c>
    </row>
    <row r="46" spans="1:32" ht="15.75" thickBot="1" x14ac:dyDescent="0.3">
      <c r="W46" s="32" t="s">
        <v>67</v>
      </c>
      <c r="X46" s="33"/>
      <c r="Y46" s="33"/>
      <c r="Z46" s="33"/>
      <c r="AA46" s="33"/>
      <c r="AB46" s="33"/>
      <c r="AC46" s="33"/>
      <c r="AD46" s="33"/>
      <c r="AE46" s="33"/>
      <c r="AF46" s="33"/>
    </row>
    <row r="47" spans="1:32" x14ac:dyDescent="0.25">
      <c r="W47" s="34" t="s">
        <v>18</v>
      </c>
      <c r="X47" s="2" t="str">
        <f>$A$7</f>
        <v>Williamson</v>
      </c>
      <c r="Y47" s="2" t="str">
        <f>$A$8</f>
        <v>Rutherford</v>
      </c>
      <c r="Z47" s="2" t="str">
        <f>$A$9</f>
        <v>Sumner</v>
      </c>
      <c r="AA47" s="2" t="str">
        <f>$A$10</f>
        <v>Roberston</v>
      </c>
      <c r="AB47" s="2" t="str">
        <f>$A$11</f>
        <v>Davidson</v>
      </c>
      <c r="AC47" s="2" t="str">
        <f>$A$12</f>
        <v>Maury</v>
      </c>
      <c r="AD47" s="2" t="str">
        <f>$A$13</f>
        <v>Wilson</v>
      </c>
      <c r="AE47" s="3" t="str">
        <f>$A$14</f>
        <v>Outside</v>
      </c>
      <c r="AF47" s="43" t="s">
        <v>4</v>
      </c>
    </row>
    <row r="48" spans="1:32" x14ac:dyDescent="0.25">
      <c r="W48" t="str">
        <f>$A$7</f>
        <v>Williamson</v>
      </c>
      <c r="X48" s="36">
        <f>X34-B34</f>
        <v>5.4589432670748908E-3</v>
      </c>
      <c r="Y48" s="36">
        <f t="shared" ref="Y48:AF48" si="55">Y34-C34</f>
        <v>5.5135926733708386E-4</v>
      </c>
      <c r="Z48" s="36">
        <f t="shared" si="55"/>
        <v>-6.7976614806923824E-5</v>
      </c>
      <c r="AA48" s="36">
        <f t="shared" si="55"/>
        <v>8.9237402653325436E-5</v>
      </c>
      <c r="AB48" s="36">
        <f t="shared" si="55"/>
        <v>-2.8725281149510687E-3</v>
      </c>
      <c r="AC48" s="36">
        <f t="shared" si="55"/>
        <v>2.5983582367060994E-3</v>
      </c>
      <c r="AD48" s="36">
        <f t="shared" si="55"/>
        <v>2.735323088954441E-4</v>
      </c>
      <c r="AE48" s="36">
        <f t="shared" si="55"/>
        <v>-1.1183289299734962E-3</v>
      </c>
      <c r="AF48" s="36">
        <f t="shared" si="55"/>
        <v>4.91259682293535E-3</v>
      </c>
    </row>
    <row r="49" spans="23:32" x14ac:dyDescent="0.25">
      <c r="W49" t="str">
        <f>$A$8</f>
        <v>Rutherford</v>
      </c>
      <c r="X49" s="36">
        <f t="shared" ref="X49:X55" si="56">X35-B35</f>
        <v>2.3591748486796807E-3</v>
      </c>
      <c r="Y49" s="36">
        <f t="shared" ref="Y49:Y55" si="57">Y35-C35</f>
        <v>9.5791553074793118E-3</v>
      </c>
      <c r="Z49" s="36">
        <f t="shared" ref="Z49:Z55" si="58">Z35-D35</f>
        <v>3.7067832128812094E-4</v>
      </c>
      <c r="AA49" s="36">
        <f t="shared" ref="AA49:AA55" si="59">AA35-E35</f>
        <v>-7.0798959623605631E-5</v>
      </c>
      <c r="AB49" s="36">
        <f t="shared" ref="AB49:AB55" si="60">AB35-F35</f>
        <v>-9.7127135892044886E-3</v>
      </c>
      <c r="AC49" s="36">
        <f t="shared" ref="AC49:AC55" si="61">AC35-G35</f>
        <v>2.9462507542685223E-4</v>
      </c>
      <c r="AD49" s="36">
        <f t="shared" ref="AD49:AD55" si="62">AD35-H35</f>
        <v>2.9292111996270503E-3</v>
      </c>
      <c r="AE49" s="36">
        <f t="shared" ref="AE49:AE55" si="63">AE35-I35</f>
        <v>-4.0442065727430299E-3</v>
      </c>
      <c r="AF49" s="36">
        <f t="shared" ref="AF49:AF55" si="64">AF35-J35</f>
        <v>1.7051256309298379E-3</v>
      </c>
    </row>
    <row r="50" spans="23:32" x14ac:dyDescent="0.25">
      <c r="W50" t="str">
        <f>$A$9</f>
        <v>Sumner</v>
      </c>
      <c r="X50" s="36">
        <f t="shared" si="56"/>
        <v>-7.540702770100099E-4</v>
      </c>
      <c r="Y50" s="36">
        <f t="shared" si="57"/>
        <v>-1.7517994839616256E-3</v>
      </c>
      <c r="Z50" s="36">
        <f t="shared" si="58"/>
        <v>-2.9114707522446895E-3</v>
      </c>
      <c r="AA50" s="36">
        <f t="shared" si="59"/>
        <v>1.386591190767417E-3</v>
      </c>
      <c r="AB50" s="36">
        <f t="shared" si="60"/>
        <v>-1.4898210411212476E-3</v>
      </c>
      <c r="AC50" s="36">
        <f t="shared" si="61"/>
        <v>-1.3524356612470872E-4</v>
      </c>
      <c r="AD50" s="36">
        <f t="shared" si="62"/>
        <v>3.6153129945114579E-3</v>
      </c>
      <c r="AE50" s="36">
        <f t="shared" si="63"/>
        <v>3.6867072382771988E-3</v>
      </c>
      <c r="AF50" s="36">
        <f t="shared" si="64"/>
        <v>1.6462063030937835E-3</v>
      </c>
    </row>
    <row r="51" spans="23:32" x14ac:dyDescent="0.25">
      <c r="W51" t="str">
        <f>$A$10</f>
        <v>Roberston</v>
      </c>
      <c r="X51" s="36">
        <f t="shared" si="56"/>
        <v>-5.2666889085560868E-4</v>
      </c>
      <c r="Y51" s="36">
        <f t="shared" si="57"/>
        <v>1.1738877373767512E-5</v>
      </c>
      <c r="Z51" s="36">
        <f t="shared" si="58"/>
        <v>4.9148351852356829E-4</v>
      </c>
      <c r="AA51" s="36">
        <f t="shared" si="59"/>
        <v>3.6913519051898561E-4</v>
      </c>
      <c r="AB51" s="36">
        <f t="shared" si="60"/>
        <v>-2.1255010469755815E-3</v>
      </c>
      <c r="AC51" s="36">
        <f t="shared" si="61"/>
        <v>0</v>
      </c>
      <c r="AD51" s="36">
        <f t="shared" si="62"/>
        <v>3.3570260998155762E-4</v>
      </c>
      <c r="AE51" s="36">
        <f t="shared" si="63"/>
        <v>6.2652896851933624E-4</v>
      </c>
      <c r="AF51" s="36">
        <f t="shared" si="64"/>
        <v>-8.1758077291397419E-4</v>
      </c>
    </row>
    <row r="52" spans="23:32" x14ac:dyDescent="0.25">
      <c r="W52" t="str">
        <f>$A$11</f>
        <v>Davidson</v>
      </c>
      <c r="X52" s="36">
        <f t="shared" si="56"/>
        <v>1.6828536364490651E-3</v>
      </c>
      <c r="Y52" s="36">
        <f t="shared" si="57"/>
        <v>1.3345726228256461E-3</v>
      </c>
      <c r="Z52" s="36">
        <f t="shared" si="58"/>
        <v>-5.9099507278179489E-5</v>
      </c>
      <c r="AA52" s="36">
        <f t="shared" si="59"/>
        <v>1.9714776595515654E-3</v>
      </c>
      <c r="AB52" s="36">
        <f t="shared" si="60"/>
        <v>-1.0942168855639089E-2</v>
      </c>
      <c r="AC52" s="36">
        <f t="shared" si="61"/>
        <v>-2.2799301957621191E-3</v>
      </c>
      <c r="AD52" s="36">
        <f t="shared" si="62"/>
        <v>7.6828921792229665E-4</v>
      </c>
      <c r="AE52" s="36">
        <f t="shared" si="63"/>
        <v>6.6127910580566183E-4</v>
      </c>
      <c r="AF52" s="36">
        <f t="shared" si="64"/>
        <v>-6.8627263161250562E-3</v>
      </c>
    </row>
    <row r="53" spans="23:32" x14ac:dyDescent="0.25">
      <c r="W53" t="str">
        <f>$A$12</f>
        <v>Maury</v>
      </c>
      <c r="X53" s="36">
        <f t="shared" si="56"/>
        <v>-3.7689243434077743E-3</v>
      </c>
      <c r="Y53" s="36">
        <f t="shared" si="57"/>
        <v>-1.317887886810682E-3</v>
      </c>
      <c r="Z53" s="36">
        <f t="shared" si="58"/>
        <v>2.5496400758092982E-5</v>
      </c>
      <c r="AA53" s="36">
        <f t="shared" si="59"/>
        <v>8.4988002526976607E-6</v>
      </c>
      <c r="AB53" s="36">
        <f t="shared" si="60"/>
        <v>-3.5476590788980893E-3</v>
      </c>
      <c r="AC53" s="36">
        <f t="shared" si="61"/>
        <v>1.0992575691918992E-2</v>
      </c>
      <c r="AD53" s="36">
        <f t="shared" si="62"/>
        <v>5.6658668351317736E-5</v>
      </c>
      <c r="AE53" s="36">
        <f t="shared" si="63"/>
        <v>-2.1000416278669212E-3</v>
      </c>
      <c r="AF53" s="36">
        <f t="shared" si="64"/>
        <v>3.4871662429763334E-4</v>
      </c>
    </row>
    <row r="54" spans="23:32" x14ac:dyDescent="0.25">
      <c r="W54" t="str">
        <f>$A$13</f>
        <v>Wilson</v>
      </c>
      <c r="X54" s="36">
        <f t="shared" si="56"/>
        <v>-3.7655480381940786E-3</v>
      </c>
      <c r="Y54" s="36">
        <f t="shared" si="57"/>
        <v>5.71760914792694E-4</v>
      </c>
      <c r="Z54" s="36">
        <f t="shared" si="58"/>
        <v>2.6629621885890758E-3</v>
      </c>
      <c r="AA54" s="36">
        <f t="shared" si="59"/>
        <v>2.6346280783362747E-4</v>
      </c>
      <c r="AB54" s="36">
        <f t="shared" si="60"/>
        <v>-1.9561441846223868E-3</v>
      </c>
      <c r="AC54" s="36">
        <f t="shared" si="61"/>
        <v>-1.1185339515110222E-4</v>
      </c>
      <c r="AD54" s="36">
        <f t="shared" si="62"/>
        <v>3.9045428326224055E-3</v>
      </c>
      <c r="AE54" s="36">
        <f t="shared" si="63"/>
        <v>-2.5015214180876405E-3</v>
      </c>
      <c r="AF54" s="36">
        <f t="shared" si="64"/>
        <v>-9.3233829221739395E-4</v>
      </c>
    </row>
    <row r="55" spans="23:32" x14ac:dyDescent="0.25">
      <c r="W55" s="37" t="s">
        <v>20</v>
      </c>
      <c r="X55" s="36">
        <f t="shared" si="56"/>
        <v>0</v>
      </c>
      <c r="Y55" s="36">
        <f t="shared" si="57"/>
        <v>0</v>
      </c>
      <c r="Z55" s="36">
        <f t="shared" si="58"/>
        <v>0</v>
      </c>
      <c r="AA55" s="36">
        <f t="shared" si="59"/>
        <v>0</v>
      </c>
      <c r="AB55" s="36">
        <f t="shared" si="60"/>
        <v>0</v>
      </c>
      <c r="AC55" s="36">
        <f t="shared" si="61"/>
        <v>0</v>
      </c>
      <c r="AD55" s="36">
        <f t="shared" si="62"/>
        <v>0</v>
      </c>
      <c r="AE55" s="36">
        <f t="shared" si="63"/>
        <v>0</v>
      </c>
      <c r="AF55" s="36">
        <f t="shared" si="64"/>
        <v>0</v>
      </c>
    </row>
    <row r="56" spans="23:32" ht="15.75" thickBot="1" x14ac:dyDescent="0.3">
      <c r="W56" s="33" t="s">
        <v>4</v>
      </c>
      <c r="X56" s="46">
        <f>SUM(X48:X55)</f>
        <v>6.857602027361652E-4</v>
      </c>
      <c r="Y56" s="46">
        <f>SUM(Y48:Y55)</f>
        <v>8.9788996190361958E-3</v>
      </c>
      <c r="Z56" s="46">
        <f>SUM(Z48:Z55)</f>
        <v>5.1207355482906511E-4</v>
      </c>
      <c r="AA56" s="46">
        <f t="shared" ref="AA56:AD56" si="65">SUM(AA48:AA55)</f>
        <v>4.0176040919540123E-3</v>
      </c>
      <c r="AB56" s="46">
        <f t="shared" si="65"/>
        <v>-3.264653591141195E-2</v>
      </c>
      <c r="AC56" s="46">
        <f t="shared" si="65"/>
        <v>1.1358531847014014E-2</v>
      </c>
      <c r="AD56" s="46">
        <f t="shared" si="65"/>
        <v>1.1883249831911529E-2</v>
      </c>
      <c r="AE56" s="46">
        <f>SUM(AE48:AE55)</f>
        <v>-4.7895832360688902E-3</v>
      </c>
      <c r="AF56" s="46">
        <f>SUM(AF48:AF55)</f>
        <v>1.8041124150158794E-16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36"/>
  <sheetViews>
    <sheetView zoomScaleNormal="100" workbookViewId="0">
      <selection activeCell="M32" sqref="M32"/>
    </sheetView>
  </sheetViews>
  <sheetFormatPr defaultRowHeight="15" x14ac:dyDescent="0.25"/>
  <cols>
    <col min="2" max="2" bestFit="true" customWidth="true" width="9.5703125" collapsed="true"/>
    <col min="3" max="4" bestFit="true" customWidth="true" width="9.28515625" collapsed="true"/>
    <col min="5" max="5" bestFit="true" customWidth="true" width="9.5703125" collapsed="true"/>
    <col min="14" max="15" bestFit="true" customWidth="true" width="9.5703125" collapsed="true"/>
  </cols>
  <sheetData>
    <row r="1" spans="1:26" x14ac:dyDescent="0.25">
      <c r="A1" t="s">
        <v>30</v>
      </c>
    </row>
    <row r="2" spans="1:26" x14ac:dyDescent="0.25">
      <c r="A2" t="s">
        <v>237</v>
      </c>
    </row>
    <row r="3" spans="1:26" x14ac:dyDescent="0.25">
      <c r="A3" t="s">
        <v>45</v>
      </c>
    </row>
    <row r="5" spans="1:26" ht="15.75" thickBot="1" x14ac:dyDescent="0.3">
      <c r="A5" s="4" t="s">
        <v>231</v>
      </c>
      <c r="B5" s="1"/>
      <c r="C5" s="1"/>
      <c r="D5" s="1"/>
      <c r="E5" s="1"/>
      <c r="H5" s="4" t="s">
        <v>46</v>
      </c>
      <c r="I5" s="1"/>
      <c r="J5" s="1"/>
      <c r="K5" s="1"/>
      <c r="L5" s="1"/>
      <c r="O5" s="4" t="s">
        <v>68</v>
      </c>
      <c r="P5" s="1"/>
      <c r="Q5" s="1"/>
      <c r="R5" s="1"/>
      <c r="S5" s="1"/>
      <c r="V5" s="4" t="s">
        <v>71</v>
      </c>
      <c r="W5" s="1"/>
      <c r="X5" s="1"/>
      <c r="Y5" s="1"/>
      <c r="Z5" s="1"/>
    </row>
    <row r="6" spans="1:26" x14ac:dyDescent="0.25">
      <c r="A6" s="2"/>
      <c r="B6" s="3" t="s">
        <v>12</v>
      </c>
      <c r="C6" s="3" t="s">
        <v>13</v>
      </c>
      <c r="D6" s="3" t="s">
        <v>14</v>
      </c>
      <c r="E6" s="3" t="s">
        <v>4</v>
      </c>
      <c r="H6" s="2"/>
      <c r="I6" s="3" t="s">
        <v>12</v>
      </c>
      <c r="J6" s="3" t="s">
        <v>13</v>
      </c>
      <c r="K6" s="3" t="s">
        <v>14</v>
      </c>
      <c r="L6" s="3" t="s">
        <v>4</v>
      </c>
      <c r="O6" s="2"/>
      <c r="P6" s="3" t="s">
        <v>12</v>
      </c>
      <c r="Q6" s="3" t="s">
        <v>13</v>
      </c>
      <c r="R6" s="3" t="s">
        <v>14</v>
      </c>
      <c r="S6" s="3" t="s">
        <v>4</v>
      </c>
      <c r="V6" s="2"/>
      <c r="W6" s="3" t="s">
        <v>12</v>
      </c>
      <c r="X6" s="3" t="s">
        <v>13</v>
      </c>
      <c r="Y6" s="3" t="s">
        <v>14</v>
      </c>
      <c r="Z6" s="3" t="s">
        <v>4</v>
      </c>
    </row>
    <row r="7" spans="1:26" x14ac:dyDescent="0.25">
      <c r="A7" s="45" t="s">
        <v>74</v>
      </c>
      <c r="B7" s="18" t="n">
        <v>2196.0987634859275</v>
      </c>
      <c r="C7" s="18" t="n">
        <v>666.2418887414594</v>
      </c>
      <c r="D7" s="18" t="n">
        <v>0.0</v>
      </c>
      <c r="E7" s="18">
        <f>SUM(B7:D7)</f>
        <v>2862.3406522273872</v>
      </c>
      <c r="F7" s="18"/>
      <c r="G7" s="18"/>
      <c r="H7" t="str">
        <f>$A$7</f>
        <v>Williamson</v>
      </c>
      <c r="I7" s="18" t="n">
        <v>1359.0</v>
      </c>
      <c r="J7" s="18" t="n">
        <v>813.0</v>
      </c>
      <c r="K7" s="18" t="n">
        <v>56.0</v>
      </c>
      <c r="L7" s="18">
        <f>SUM(I7:K7)</f>
        <v>2665</v>
      </c>
      <c r="O7" t="str">
        <f>$A$7</f>
        <v>Williamson</v>
      </c>
      <c r="P7" s="18">
        <f>I7-B7</f>
        <v>-546.09876348592752</v>
      </c>
      <c r="Q7" s="18">
        <f t="shared" ref="Q7:Q14" si="0">J7-C7</f>
        <v>259.75811125854057</v>
      </c>
      <c r="R7" s="18">
        <f t="shared" ref="R7:R14" si="1">K7-D7</f>
        <v>89</v>
      </c>
      <c r="S7" s="18">
        <f t="shared" ref="S7:S14" si="2">L7-E7</f>
        <v>-197.34065222738718</v>
      </c>
      <c r="V7" t="str">
        <f>$A$7</f>
        <v>Williamson</v>
      </c>
      <c r="W7" s="18"/>
      <c r="X7" s="18"/>
      <c r="Y7" s="18"/>
      <c r="Z7" s="18"/>
    </row>
    <row r="8" spans="1:26" x14ac:dyDescent="0.25">
      <c r="A8" t="s">
        <v>75</v>
      </c>
      <c r="B8" s="18" t="n">
        <v>1683.8634870068388</v>
      </c>
      <c r="C8" s="18" t="n">
        <v>1036.4869207980162</v>
      </c>
      <c r="D8" s="18" t="n">
        <v>89.9315872691863</v>
      </c>
      <c r="E8" s="18">
        <f t="shared" ref="E8:E11" si="3">SUM(B8:D8)</f>
        <v>2810.2819950740413</v>
      </c>
      <c r="F8" s="18"/>
      <c r="G8" s="18"/>
      <c r="H8" t="str">
        <f>$A$8</f>
        <v>Rutherford</v>
      </c>
      <c r="I8" s="18" t="n">
        <v>2515.0</v>
      </c>
      <c r="J8" s="18" t="n">
        <v>925.0</v>
      </c>
      <c r="K8" s="18" t="n">
        <v>165.0</v>
      </c>
      <c r="L8" s="18">
        <f t="shared" ref="L8:L13" si="4">SUM(I8:K8)</f>
        <v>4401</v>
      </c>
      <c r="O8" t="str">
        <f>$A$8</f>
        <v>Rutherford</v>
      </c>
      <c r="P8" s="18">
        <f t="shared" ref="P8:P14" si="5">I8-B8</f>
        <v>1319.1365129931612</v>
      </c>
      <c r="Q8" s="18">
        <f t="shared" si="0"/>
        <v>138.51307920198383</v>
      </c>
      <c r="R8" s="18">
        <f t="shared" si="1"/>
        <v>133.06841273081369</v>
      </c>
      <c r="S8" s="18">
        <f t="shared" si="2"/>
        <v>1590.7180049259587</v>
      </c>
      <c r="V8" t="str">
        <f>$A$8</f>
        <v>Rutherford</v>
      </c>
      <c r="W8" s="18"/>
      <c r="X8" s="18"/>
      <c r="Y8" s="18"/>
      <c r="Z8" s="18"/>
    </row>
    <row r="9" spans="1:26" x14ac:dyDescent="0.25">
      <c r="A9" t="s">
        <v>76</v>
      </c>
      <c r="B9" s="18" t="n">
        <v>1229.281208697631</v>
      </c>
      <c r="C9" s="18" t="n">
        <v>1302.3153517317696</v>
      </c>
      <c r="D9" s="18" t="n">
        <v>79.8959959309554</v>
      </c>
      <c r="E9" s="18">
        <f t="shared" si="3"/>
        <v>2611.492556360356</v>
      </c>
      <c r="F9" s="18"/>
      <c r="G9" s="18"/>
      <c r="H9" t="str">
        <f>$A$9</f>
        <v>Sumner</v>
      </c>
      <c r="I9" s="18" t="n">
        <v>1505.0</v>
      </c>
      <c r="J9" s="18" t="n">
        <v>639.0</v>
      </c>
      <c r="K9" s="18" t="n">
        <v>59.0</v>
      </c>
      <c r="L9" s="18">
        <f t="shared" si="4"/>
        <v>2663</v>
      </c>
      <c r="O9" t="str">
        <f>$A$9</f>
        <v>Sumner</v>
      </c>
      <c r="P9" s="18">
        <f t="shared" ref="P9:P11" si="6">I9-B9</f>
        <v>571.71879130236903</v>
      </c>
      <c r="Q9" s="18">
        <f t="shared" ref="Q9:Q11" si="7">J9-C9</f>
        <v>-520.31535173176962</v>
      </c>
      <c r="R9" s="18">
        <f t="shared" ref="R9:R11" si="8">K9-D9</f>
        <v>0.10400406904460624</v>
      </c>
      <c r="S9" s="18">
        <f t="shared" ref="S9:S11" si="9">L9-E9</f>
        <v>51.507443639643952</v>
      </c>
      <c r="V9" t="str">
        <f>$A$9</f>
        <v>Sumner</v>
      </c>
      <c r="W9" s="18"/>
      <c r="X9" s="18"/>
      <c r="Y9" s="18"/>
      <c r="Z9" s="18"/>
    </row>
    <row r="10" spans="1:26" x14ac:dyDescent="0.25">
      <c r="A10" t="s">
        <v>77</v>
      </c>
      <c r="B10" s="18" t="n">
        <v>100.6294432601223</v>
      </c>
      <c r="C10" s="18" t="n">
        <v>0.0</v>
      </c>
      <c r="D10" s="18" t="n">
        <v>0.0</v>
      </c>
      <c r="E10" s="18">
        <f t="shared" si="3"/>
        <v>100.6294432601223</v>
      </c>
      <c r="F10" s="18"/>
      <c r="G10" s="18"/>
      <c r="H10" t="str">
        <f>$A$10</f>
        <v>Roberston</v>
      </c>
      <c r="I10" s="18" t="n">
        <v>586.0</v>
      </c>
      <c r="J10" s="18" t="n">
        <v>290.0</v>
      </c>
      <c r="K10" s="18" t="n">
        <v>27.0</v>
      </c>
      <c r="L10" s="18">
        <f t="shared" si="4"/>
        <v>1114</v>
      </c>
      <c r="O10" t="str">
        <f>$A$10</f>
        <v>Roberston</v>
      </c>
      <c r="P10" s="18">
        <f t="shared" si="6"/>
        <v>661.37055673987766</v>
      </c>
      <c r="Q10" s="18">
        <f t="shared" si="7"/>
        <v>317</v>
      </c>
      <c r="R10" s="18">
        <f t="shared" si="8"/>
        <v>35</v>
      </c>
      <c r="S10" s="18">
        <f t="shared" si="9"/>
        <v>1013.3705567398777</v>
      </c>
      <c r="V10" t="str">
        <f>$A$10</f>
        <v>Roberston</v>
      </c>
      <c r="W10" s="18"/>
      <c r="X10" s="18"/>
      <c r="Y10" s="18"/>
      <c r="Z10" s="18"/>
    </row>
    <row r="11" spans="1:26" x14ac:dyDescent="0.25">
      <c r="A11" t="s">
        <v>78</v>
      </c>
      <c r="B11" s="18" t="n">
        <v>4596.8904896273225</v>
      </c>
      <c r="C11" s="18" t="n">
        <v>3244.749286438054</v>
      </c>
      <c r="D11" s="18" t="n">
        <v>721.8925062503121</v>
      </c>
      <c r="E11" s="18">
        <f t="shared" si="3"/>
        <v>8563.5322823156876</v>
      </c>
      <c r="F11" s="18"/>
      <c r="G11" s="18"/>
      <c r="H11" t="str">
        <f>$A$11</f>
        <v>Davidson</v>
      </c>
      <c r="I11" s="18" t="n">
        <v>4616.0</v>
      </c>
      <c r="J11" s="18" t="n">
        <v>1959.0</v>
      </c>
      <c r="K11" s="18" t="n">
        <v>206.0</v>
      </c>
      <c r="L11" s="18">
        <f t="shared" si="4"/>
        <v>8232</v>
      </c>
      <c r="O11" t="str">
        <f>$A$11</f>
        <v>Davidson</v>
      </c>
      <c r="P11" s="18">
        <f t="shared" si="6"/>
        <v>1002.1095103726775</v>
      </c>
      <c r="Q11" s="18">
        <f t="shared" si="7"/>
        <v>-882.74928643805379</v>
      </c>
      <c r="R11" s="18">
        <f t="shared" si="8"/>
        <v>-450.89250625031207</v>
      </c>
      <c r="S11" s="18">
        <f t="shared" si="9"/>
        <v>-331.53228231568755</v>
      </c>
      <c r="V11" t="str">
        <f>$A$11</f>
        <v>Davidson</v>
      </c>
      <c r="W11" s="18"/>
      <c r="X11" s="18"/>
      <c r="Y11" s="18"/>
      <c r="Z11" s="18"/>
    </row>
    <row r="12" spans="1:26" x14ac:dyDescent="0.25">
      <c r="A12" t="s">
        <v>79</v>
      </c>
      <c r="B12" s="19" t="n">
        <v>207.2063917346362</v>
      </c>
      <c r="C12" s="19" t="n">
        <v>296.5709083509241</v>
      </c>
      <c r="D12" s="19" t="n">
        <v>147.397648280605</v>
      </c>
      <c r="E12" s="19">
        <f t="shared" ref="E12:E13" si="10">SUM(B12:D12)</f>
        <v>651.17494836616538</v>
      </c>
      <c r="F12" s="18"/>
      <c r="G12" s="18"/>
      <c r="H12" t="str">
        <f>$A$12</f>
        <v>Maury</v>
      </c>
      <c r="I12" s="19" t="n">
        <v>974.0</v>
      </c>
      <c r="J12" s="19" t="n">
        <v>367.0</v>
      </c>
      <c r="K12" s="19" t="n">
        <v>39.0</v>
      </c>
      <c r="L12" s="19">
        <f t="shared" si="4"/>
        <v>1655</v>
      </c>
      <c r="O12" t="str">
        <f>$A$12</f>
        <v>Maury</v>
      </c>
      <c r="P12" s="19">
        <f t="shared" si="5"/>
        <v>953.79360826536379</v>
      </c>
      <c r="Q12" s="19">
        <f t="shared" si="0"/>
        <v>166.42909164907587</v>
      </c>
      <c r="R12" s="19">
        <f t="shared" si="1"/>
        <v>-116.39764828060501</v>
      </c>
      <c r="S12" s="19">
        <f t="shared" si="2"/>
        <v>1003.8250516338346</v>
      </c>
      <c r="V12" t="str">
        <f>$A$12</f>
        <v>Maury</v>
      </c>
      <c r="W12" s="19"/>
      <c r="X12" s="19"/>
      <c r="Y12" s="19"/>
      <c r="Z12" s="19"/>
    </row>
    <row r="13" spans="1:26" x14ac:dyDescent="0.25">
      <c r="A13" t="s">
        <v>80</v>
      </c>
      <c r="B13" s="20" t="n">
        <v>1154.527495000195</v>
      </c>
      <c r="C13" s="20" t="n">
        <v>717.9479331335483</v>
      </c>
      <c r="D13" s="20" t="n">
        <v>0.0</v>
      </c>
      <c r="E13" s="19">
        <f t="shared" si="10"/>
        <v>1872.4754281337432</v>
      </c>
      <c r="F13" s="18"/>
      <c r="G13" s="18"/>
      <c r="H13" s="18" t="str">
        <f>$A$13</f>
        <v>Wilson</v>
      </c>
      <c r="I13" s="20" t="n">
        <v>1035.0</v>
      </c>
      <c r="J13" s="20" t="n">
        <v>454.0</v>
      </c>
      <c r="K13" s="20" t="n">
        <v>32.0</v>
      </c>
      <c r="L13" s="19">
        <f t="shared" si="4"/>
        <v>1917</v>
      </c>
      <c r="O13" s="18" t="str">
        <f>$A$13</f>
        <v>Wilson</v>
      </c>
      <c r="P13" s="20">
        <f t="shared" si="5"/>
        <v>93.472504999805096</v>
      </c>
      <c r="Q13" s="20">
        <f t="shared" si="0"/>
        <v>-110.9479331335483</v>
      </c>
      <c r="R13" s="20">
        <f t="shared" si="1"/>
        <v>62</v>
      </c>
      <c r="S13" s="19">
        <f t="shared" si="2"/>
        <v>44.524571866256792</v>
      </c>
      <c r="V13" s="18" t="str">
        <f>$A$13</f>
        <v>Wilson</v>
      </c>
      <c r="W13" s="20"/>
      <c r="X13" s="20"/>
      <c r="Y13" s="20"/>
      <c r="Z13" s="20"/>
    </row>
    <row r="14" spans="1:26" ht="15.75" thickBot="1" x14ac:dyDescent="0.3">
      <c r="A14" s="22" t="s">
        <v>4</v>
      </c>
      <c r="B14" s="22">
        <f>SUM(B7:B13)</f>
        <v>11168.497278812674</v>
      </c>
      <c r="C14" s="22">
        <f t="shared" ref="C14:E14" si="11">SUM(C7:C13)</f>
        <v>7264.312289193771</v>
      </c>
      <c r="D14" s="22">
        <f t="shared" si="11"/>
        <v>1039.1177377310587</v>
      </c>
      <c r="E14" s="22">
        <f t="shared" si="11"/>
        <v>19471.927305737507</v>
      </c>
      <c r="F14" s="18"/>
      <c r="G14" s="18"/>
      <c r="H14" s="22" t="s">
        <v>4</v>
      </c>
      <c r="I14" s="22">
        <f>SUM(I7:I13)</f>
        <v>15224</v>
      </c>
      <c r="J14" s="22">
        <f t="shared" ref="J14:L14" si="12">SUM(J7:J13)</f>
        <v>6632</v>
      </c>
      <c r="K14" s="22">
        <f t="shared" si="12"/>
        <v>791</v>
      </c>
      <c r="L14" s="22">
        <f t="shared" si="12"/>
        <v>22647</v>
      </c>
      <c r="O14" s="22" t="s">
        <v>4</v>
      </c>
      <c r="P14" s="22">
        <f t="shared" si="5"/>
        <v>4055.5027211873257</v>
      </c>
      <c r="Q14" s="22">
        <f t="shared" si="0"/>
        <v>-632.31228919377099</v>
      </c>
      <c r="R14" s="22">
        <f t="shared" si="1"/>
        <v>-248.1177377310587</v>
      </c>
      <c r="S14" s="22">
        <f t="shared" si="2"/>
        <v>3175.0726942624933</v>
      </c>
      <c r="V14" s="22" t="s">
        <v>4</v>
      </c>
      <c r="W14" s="22">
        <f>SUM(W7:W13)</f>
        <v>0</v>
      </c>
      <c r="X14" s="22">
        <f t="shared" ref="X14:Z14" si="13">SUM(X7:X13)</f>
        <v>0</v>
      </c>
      <c r="Y14" s="22">
        <f t="shared" si="13"/>
        <v>0</v>
      </c>
      <c r="Z14" s="22">
        <f t="shared" si="13"/>
        <v>0</v>
      </c>
    </row>
    <row r="15" spans="1:26" x14ac:dyDescent="0.25"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O15" s="18"/>
      <c r="P15" s="18"/>
      <c r="Q15" s="18"/>
      <c r="R15" s="18"/>
      <c r="S15" s="18"/>
      <c r="W15" s="18"/>
      <c r="X15" s="18"/>
      <c r="Y15" s="18"/>
      <c r="Z15" s="18"/>
    </row>
    <row r="16" spans="1:26" ht="15.75" thickBot="1" x14ac:dyDescent="0.3">
      <c r="A16" s="4" t="s">
        <v>232</v>
      </c>
      <c r="B16" s="22"/>
      <c r="C16" s="22"/>
      <c r="D16" s="22"/>
      <c r="E16" s="22"/>
      <c r="F16" s="18"/>
      <c r="G16" s="18"/>
      <c r="H16" s="25" t="s">
        <v>47</v>
      </c>
      <c r="I16" s="22"/>
      <c r="J16" s="22"/>
      <c r="K16" s="22"/>
      <c r="L16" s="22"/>
      <c r="O16" s="25" t="s">
        <v>69</v>
      </c>
      <c r="P16" s="22"/>
      <c r="Q16" s="22"/>
      <c r="R16" s="22"/>
      <c r="S16" s="22"/>
      <c r="V16" s="4" t="s">
        <v>72</v>
      </c>
      <c r="W16" s="22"/>
      <c r="X16" s="22"/>
      <c r="Y16" s="22"/>
      <c r="Z16" s="22"/>
    </row>
    <row r="17" spans="1:26" x14ac:dyDescent="0.25">
      <c r="A17" s="2"/>
      <c r="B17" s="26" t="s">
        <v>12</v>
      </c>
      <c r="C17" s="26" t="s">
        <v>13</v>
      </c>
      <c r="D17" s="26" t="s">
        <v>14</v>
      </c>
      <c r="E17" s="26" t="s">
        <v>4</v>
      </c>
      <c r="F17" s="18" t="s">
        <v>292</v>
      </c>
      <c r="G17" s="18"/>
      <c r="H17" s="27"/>
      <c r="I17" s="26" t="s">
        <v>12</v>
      </c>
      <c r="J17" s="26" t="s">
        <v>13</v>
      </c>
      <c r="K17" s="26" t="s">
        <v>14</v>
      </c>
      <c r="L17" s="26" t="s">
        <v>4</v>
      </c>
      <c r="O17" s="27"/>
      <c r="P17" s="26" t="s">
        <v>12</v>
      </c>
      <c r="Q17" s="26" t="s">
        <v>13</v>
      </c>
      <c r="R17" s="26" t="s">
        <v>14</v>
      </c>
      <c r="S17" s="26" t="s">
        <v>4</v>
      </c>
      <c r="V17" s="2"/>
      <c r="W17" s="26" t="s">
        <v>12</v>
      </c>
      <c r="X17" s="26" t="s">
        <v>13</v>
      </c>
      <c r="Y17" s="26" t="s">
        <v>14</v>
      </c>
      <c r="Z17" s="26" t="s">
        <v>4</v>
      </c>
    </row>
    <row r="18" spans="1:26" x14ac:dyDescent="0.25">
      <c r="A18" t="str">
        <f>$A$7</f>
        <v>Williamson</v>
      </c>
      <c r="B18" s="18" t="n">
        <v>58172.15985101729</v>
      </c>
      <c r="C18" s="18" t="n">
        <v>9845.161360422724</v>
      </c>
      <c r="D18" s="18" t="n">
        <v>2291.0702695107593</v>
      </c>
      <c r="E18" s="18">
        <f>SUM(B18:D18)</f>
        <v>70308.391480950784</v>
      </c>
      <c r="F18" s="18" t="n">
        <v>16382.532312711803</v>
      </c>
      <c r="G18" s="18"/>
      <c r="H18" t="str">
        <f>$A$7</f>
        <v>Williamson</v>
      </c>
      <c r="I18" s="18" t="n">
        <v>70560.0</v>
      </c>
      <c r="J18" s="18" t="n">
        <v>12007.0</v>
      </c>
      <c r="K18" s="18" t="n">
        <v>3675.0</v>
      </c>
      <c r="L18" s="18">
        <f>SUM(I18:K18)</f>
        <v>86242</v>
      </c>
      <c r="O18" t="str">
        <f>$A$7</f>
        <v>Williamson</v>
      </c>
      <c r="P18" s="18">
        <f t="shared" ref="P18:P25" si="14">I18-B18</f>
        <v>12387.840148982708</v>
      </c>
      <c r="Q18" s="18">
        <f t="shared" ref="Q18:Q25" si="15">J18-C18</f>
        <v>2161.8386395772759</v>
      </c>
      <c r="R18" s="18">
        <f t="shared" ref="R18:R25" si="16">K18-D18</f>
        <v>1383.9297304892407</v>
      </c>
      <c r="S18" s="18">
        <f t="shared" ref="S18:S25" si="17">L18-E18</f>
        <v>15933.608519049216</v>
      </c>
      <c r="V18" t="str">
        <f>$A$7</f>
        <v>Williamson</v>
      </c>
      <c r="W18" s="18"/>
      <c r="X18" s="18"/>
      <c r="Y18" s="18"/>
      <c r="Z18" s="18"/>
    </row>
    <row r="19" spans="1:26" x14ac:dyDescent="0.25">
      <c r="A19" t="str">
        <f>$A$8</f>
        <v>Rutherford</v>
      </c>
      <c r="B19" s="18" t="n">
        <v>88098.062400707</v>
      </c>
      <c r="C19" s="18" t="n">
        <v>10403.305064177242</v>
      </c>
      <c r="D19" s="18" t="n">
        <v>6372.174563958667</v>
      </c>
      <c r="E19" s="18">
        <f t="shared" ref="E19:E24" si="18">SUM(B19:D19)</f>
        <v>104873.54202884292</v>
      </c>
      <c r="F19" s="18" t="n">
        <v>18936.70864710325</v>
      </c>
      <c r="G19" s="18"/>
      <c r="H19" t="str">
        <f>$A$8</f>
        <v>Rutherford</v>
      </c>
      <c r="I19" s="18" t="n">
        <v>102003.0</v>
      </c>
      <c r="J19" s="18" t="n">
        <v>13351.0</v>
      </c>
      <c r="K19" s="18" t="n">
        <v>9317.0</v>
      </c>
      <c r="L19" s="18">
        <f>SUM(I19:K19)</f>
        <v>124671</v>
      </c>
      <c r="O19" t="str">
        <f>$A$8</f>
        <v>Rutherford</v>
      </c>
      <c r="P19" s="18">
        <f t="shared" si="14"/>
        <v>13904.937599293</v>
      </c>
      <c r="Q19" s="18">
        <f t="shared" si="15"/>
        <v>2947.6949358227575</v>
      </c>
      <c r="R19" s="18">
        <f t="shared" si="16"/>
        <v>2944.825436041333</v>
      </c>
      <c r="S19" s="18">
        <f t="shared" si="17"/>
        <v>19797.457971157084</v>
      </c>
      <c r="V19" t="str">
        <f>$A$8</f>
        <v>Rutherford</v>
      </c>
      <c r="W19" s="18"/>
      <c r="X19" s="18"/>
      <c r="Y19" s="18"/>
      <c r="Z19" s="18"/>
    </row>
    <row r="20" spans="1:26" x14ac:dyDescent="0.25">
      <c r="A20" t="str">
        <f>$A$9</f>
        <v>Sumner</v>
      </c>
      <c r="B20" s="18" t="n">
        <v>51981.9468073477</v>
      </c>
      <c r="C20" s="18" t="n">
        <v>7404.793726890573</v>
      </c>
      <c r="D20" s="18" t="n">
        <v>2261.1388714205514</v>
      </c>
      <c r="E20" s="18">
        <f t="shared" si="18"/>
        <v>61647.879405658823</v>
      </c>
      <c r="F20" s="18" t="n">
        <v>11949.196824844454</v>
      </c>
      <c r="G20" s="18"/>
      <c r="H20" t="str">
        <f>$A$9</f>
        <v>Sumner</v>
      </c>
      <c r="I20" s="18" t="n">
        <v>62923.0</v>
      </c>
      <c r="J20" s="18" t="n">
        <v>8202.0</v>
      </c>
      <c r="K20" s="18" t="n">
        <v>2615.0</v>
      </c>
      <c r="L20" s="18">
        <f t="shared" ref="L20:L22" si="19">SUM(I20:K20)</f>
        <v>73740</v>
      </c>
      <c r="O20" t="str">
        <f>$A$9</f>
        <v>Sumner</v>
      </c>
      <c r="P20" s="18">
        <f t="shared" ref="P20:P22" si="20">I20-B20</f>
        <v>10941.053192652304</v>
      </c>
      <c r="Q20" s="18">
        <f t="shared" ref="Q20:Q22" si="21">J20-C20</f>
        <v>797.20627310942655</v>
      </c>
      <c r="R20" s="18">
        <f t="shared" ref="R20:R22" si="22">K20-D20</f>
        <v>353.86112857944863</v>
      </c>
      <c r="S20" s="18">
        <f t="shared" ref="S20:S22" si="23">L20-E20</f>
        <v>12092.120594341177</v>
      </c>
      <c r="V20" t="str">
        <f>$A$9</f>
        <v>Sumner</v>
      </c>
      <c r="W20" s="18"/>
      <c r="X20" s="18"/>
      <c r="Y20" s="18"/>
      <c r="Z20" s="18"/>
    </row>
    <row r="21" spans="1:26" x14ac:dyDescent="0.25">
      <c r="A21" t="str">
        <f>$A$10</f>
        <v>Roberston</v>
      </c>
      <c r="B21" s="18" t="n">
        <v>23159.412178530718</v>
      </c>
      <c r="C21" s="18" t="n">
        <v>2520.5395795189283</v>
      </c>
      <c r="D21" s="18" t="n">
        <v>275.4534419551372</v>
      </c>
      <c r="E21" s="18">
        <f t="shared" si="18"/>
        <v>25955.405200004785</v>
      </c>
      <c r="F21" s="18" t="n">
        <v>3408.325893521468</v>
      </c>
      <c r="G21" s="18"/>
      <c r="H21" t="str">
        <f>$A$10</f>
        <v>Roberston</v>
      </c>
      <c r="I21" s="18" t="n">
        <v>25495.0</v>
      </c>
      <c r="J21" s="18" t="n">
        <v>3398.0</v>
      </c>
      <c r="K21" s="18" t="n">
        <v>1087.0</v>
      </c>
      <c r="L21" s="18">
        <f t="shared" si="19"/>
        <v>29980</v>
      </c>
      <c r="O21" t="str">
        <f>$A$10</f>
        <v>Roberston</v>
      </c>
      <c r="P21" s="18">
        <f t="shared" si="20"/>
        <v>2335.5878214692821</v>
      </c>
      <c r="Q21" s="18">
        <f t="shared" si="21"/>
        <v>877.46042048107165</v>
      </c>
      <c r="R21" s="18">
        <f t="shared" si="22"/>
        <v>811.54655804486288</v>
      </c>
      <c r="S21" s="18">
        <f t="shared" si="23"/>
        <v>4024.594799995215</v>
      </c>
      <c r="V21" t="str">
        <f>$A$10</f>
        <v>Roberston</v>
      </c>
      <c r="W21" s="18"/>
      <c r="X21" s="18"/>
      <c r="Y21" s="18"/>
      <c r="Z21" s="18"/>
    </row>
    <row r="22" spans="1:26" x14ac:dyDescent="0.25">
      <c r="A22" t="str">
        <f>$A$11</f>
        <v>Davidson</v>
      </c>
      <c r="B22" s="18" t="n">
        <v>218684.4538132961</v>
      </c>
      <c r="C22" s="18" t="n">
        <v>25482.677438387927</v>
      </c>
      <c r="D22" s="18" t="n">
        <v>15977.246459991195</v>
      </c>
      <c r="E22" s="18">
        <f t="shared" si="18"/>
        <v>260144.37771167525</v>
      </c>
      <c r="F22" s="18" t="n">
        <v>42240.943797373024</v>
      </c>
      <c r="G22" s="18"/>
      <c r="H22" t="str">
        <f>$A$11</f>
        <v>Davidson</v>
      </c>
      <c r="I22" s="18" t="n">
        <v>251781.0</v>
      </c>
      <c r="J22" s="18" t="n">
        <v>33987.0</v>
      </c>
      <c r="K22" s="18" t="n">
        <v>15654.0</v>
      </c>
      <c r="L22" s="18">
        <f t="shared" si="19"/>
        <v>301422</v>
      </c>
      <c r="O22" t="str">
        <f>$A$11</f>
        <v>Davidson</v>
      </c>
      <c r="P22" s="18">
        <f t="shared" si="20"/>
        <v>33096.546186703898</v>
      </c>
      <c r="Q22" s="18">
        <f t="shared" si="21"/>
        <v>8504.3225616120726</v>
      </c>
      <c r="R22" s="18">
        <f t="shared" si="22"/>
        <v>-323.24645999119457</v>
      </c>
      <c r="S22" s="18">
        <f t="shared" si="23"/>
        <v>41277.622288324754</v>
      </c>
      <c r="V22" t="str">
        <f>$A$11</f>
        <v>Davidson</v>
      </c>
      <c r="W22" s="18"/>
      <c r="X22" s="18"/>
      <c r="Y22" s="18"/>
      <c r="Z22" s="18"/>
    </row>
    <row r="23" spans="1:26" x14ac:dyDescent="0.25">
      <c r="A23" t="str">
        <f>$A$12</f>
        <v>Maury</v>
      </c>
      <c r="B23" s="19" t="n">
        <v>26447.648270104542</v>
      </c>
      <c r="C23" s="19" t="n">
        <v>2993.9339346861907</v>
      </c>
      <c r="D23" s="19" t="n">
        <v>981.3609680897282</v>
      </c>
      <c r="E23" s="19">
        <f t="shared" si="18"/>
        <v>30422.943172880463</v>
      </c>
      <c r="F23" s="18" t="n">
        <v>5430.417795209269</v>
      </c>
      <c r="G23" s="18"/>
      <c r="H23" t="str">
        <f>$A$12</f>
        <v>Maury</v>
      </c>
      <c r="I23" s="19" t="n">
        <v>30578.0</v>
      </c>
      <c r="J23" s="19" t="n">
        <v>4294.0</v>
      </c>
      <c r="K23" s="19" t="n">
        <v>1191.0</v>
      </c>
      <c r="L23" s="19">
        <f>SUM(I23:K23)</f>
        <v>36063</v>
      </c>
      <c r="O23" t="str">
        <f>$A$12</f>
        <v>Maury</v>
      </c>
      <c r="P23" s="19">
        <f t="shared" si="14"/>
        <v>4130.3517298954575</v>
      </c>
      <c r="Q23" s="19">
        <f t="shared" si="15"/>
        <v>1300.0660653138093</v>
      </c>
      <c r="R23" s="19">
        <f t="shared" si="16"/>
        <v>209.6390319102718</v>
      </c>
      <c r="S23" s="19">
        <f t="shared" si="17"/>
        <v>5640.056827119537</v>
      </c>
      <c r="V23" t="str">
        <f>$A$12</f>
        <v>Maury</v>
      </c>
      <c r="W23" s="19"/>
      <c r="X23" s="19"/>
      <c r="Y23" s="19"/>
      <c r="Z23" s="19"/>
    </row>
    <row r="24" spans="1:26" x14ac:dyDescent="0.25">
      <c r="A24" s="18" t="str">
        <f>$A$13</f>
        <v>Wilson</v>
      </c>
      <c r="B24" s="20" t="n">
        <v>38318.94357528748</v>
      </c>
      <c r="C24" s="20" t="n">
        <v>5627.051105046438</v>
      </c>
      <c r="D24" s="20" t="n">
        <v>2365.391269303571</v>
      </c>
      <c r="E24" s="19">
        <f t="shared" si="18"/>
        <v>46311.385949637493</v>
      </c>
      <c r="F24" s="18" t="n">
        <v>7884.204564929962</v>
      </c>
      <c r="G24" s="18"/>
      <c r="H24" s="18" t="str">
        <f>$A$13</f>
        <v>Wilson</v>
      </c>
      <c r="I24" s="20" t="n">
        <v>45409.0</v>
      </c>
      <c r="J24" s="20" t="n">
        <v>6379.0</v>
      </c>
      <c r="K24" s="20" t="n">
        <v>2076.0</v>
      </c>
      <c r="L24" s="19">
        <f>SUM(I24:K24)</f>
        <v>53864</v>
      </c>
      <c r="O24" s="18" t="str">
        <f>$A$13</f>
        <v>Wilson</v>
      </c>
      <c r="P24" s="20">
        <f t="shared" si="14"/>
        <v>7090.0564247125221</v>
      </c>
      <c r="Q24" s="20">
        <f t="shared" si="15"/>
        <v>751.94889495356165</v>
      </c>
      <c r="R24" s="20">
        <f t="shared" si="16"/>
        <v>-289.39126930357088</v>
      </c>
      <c r="S24" s="20">
        <f t="shared" si="17"/>
        <v>7552.6140503625065</v>
      </c>
      <c r="V24" s="18" t="str">
        <f>$A$13</f>
        <v>Wilson</v>
      </c>
      <c r="W24" s="20"/>
      <c r="X24" s="20"/>
      <c r="Y24" s="20"/>
      <c r="Z24" s="20"/>
    </row>
    <row r="25" spans="1:26" ht="15.75" thickBot="1" x14ac:dyDescent="0.3">
      <c r="A25" s="22" t="s">
        <v>4</v>
      </c>
      <c r="B25" s="22">
        <f>SUM(B18:B24)</f>
        <v>504862.62689629081</v>
      </c>
      <c r="C25" s="22">
        <f t="shared" ref="C25:F25" si="24">SUM(C18:C24)</f>
        <v>64277.462209130026</v>
      </c>
      <c r="D25" s="22">
        <f t="shared" si="24"/>
        <v>30523.835844229608</v>
      </c>
      <c r="E25" s="22">
        <f t="shared" si="24"/>
        <v>599663.92494965054</v>
      </c>
      <c r="F25" s="22">
        <f t="shared" si="24"/>
        <v>106232.32983569324</v>
      </c>
      <c r="G25" s="18"/>
      <c r="H25" s="22" t="s">
        <v>4</v>
      </c>
      <c r="I25" s="22">
        <f>SUM(I18:I24)</f>
        <v>588749</v>
      </c>
      <c r="J25" s="22">
        <f t="shared" ref="J25:L25" si="25">SUM(J18:J24)</f>
        <v>81618</v>
      </c>
      <c r="K25" s="22">
        <f t="shared" si="25"/>
        <v>35615</v>
      </c>
      <c r="L25" s="22">
        <f t="shared" si="25"/>
        <v>705982</v>
      </c>
      <c r="O25" s="22" t="s">
        <v>4</v>
      </c>
      <c r="P25" s="22">
        <f t="shared" si="14"/>
        <v>83886.373103709193</v>
      </c>
      <c r="Q25" s="22">
        <f t="shared" si="15"/>
        <v>17340.537790869974</v>
      </c>
      <c r="R25" s="22">
        <f t="shared" si="16"/>
        <v>5091.1641557703915</v>
      </c>
      <c r="S25" s="22">
        <f t="shared" si="17"/>
        <v>106318.07505034946</v>
      </c>
      <c r="V25" s="22" t="s">
        <v>4</v>
      </c>
      <c r="W25" s="22">
        <f>SUM(W18:W24)</f>
        <v>0</v>
      </c>
      <c r="X25" s="22">
        <f t="shared" ref="X25:Z25" si="26">SUM(X18:X24)</f>
        <v>0</v>
      </c>
      <c r="Y25" s="22">
        <f t="shared" si="26"/>
        <v>0</v>
      </c>
      <c r="Z25" s="22">
        <f t="shared" si="26"/>
        <v>0</v>
      </c>
    </row>
    <row r="27" spans="1:26" ht="15.75" thickBot="1" x14ac:dyDescent="0.3">
      <c r="A27" s="4" t="s">
        <v>233</v>
      </c>
      <c r="B27" s="1"/>
      <c r="C27" s="1"/>
      <c r="D27" s="1"/>
      <c r="E27" s="1"/>
      <c r="H27" s="4" t="s">
        <v>48</v>
      </c>
      <c r="I27" s="1"/>
      <c r="J27" s="1"/>
      <c r="K27" s="1"/>
      <c r="L27" s="1"/>
      <c r="O27" s="4" t="s">
        <v>70</v>
      </c>
      <c r="P27" s="1"/>
      <c r="Q27" s="1"/>
      <c r="R27" s="1"/>
      <c r="S27" s="1"/>
      <c r="V27" s="4" t="s">
        <v>73</v>
      </c>
      <c r="W27" s="1"/>
      <c r="X27" s="1"/>
      <c r="Y27" s="1"/>
      <c r="Z27" s="1"/>
    </row>
    <row r="28" spans="1:26" x14ac:dyDescent="0.25">
      <c r="A28" s="2"/>
      <c r="B28" s="3" t="s">
        <v>12</v>
      </c>
      <c r="C28" s="3" t="s">
        <v>13</v>
      </c>
      <c r="D28" s="3" t="s">
        <v>14</v>
      </c>
      <c r="E28" s="3" t="s">
        <v>4</v>
      </c>
      <c r="H28" s="2"/>
      <c r="I28" s="3" t="s">
        <v>12</v>
      </c>
      <c r="J28" s="3" t="s">
        <v>13</v>
      </c>
      <c r="K28" s="3" t="s">
        <v>14</v>
      </c>
      <c r="L28" s="3" t="s">
        <v>4</v>
      </c>
      <c r="O28" s="2"/>
      <c r="P28" s="3" t="s">
        <v>12</v>
      </c>
      <c r="Q28" s="3" t="s">
        <v>13</v>
      </c>
      <c r="R28" s="3" t="s">
        <v>14</v>
      </c>
      <c r="S28" s="3" t="s">
        <v>4</v>
      </c>
      <c r="V28" s="2"/>
      <c r="W28" s="3" t="s">
        <v>12</v>
      </c>
      <c r="X28" s="3" t="s">
        <v>13</v>
      </c>
      <c r="Y28" s="3" t="s">
        <v>14</v>
      </c>
      <c r="Z28" s="3" t="s">
        <v>4</v>
      </c>
    </row>
    <row r="29" spans="1:26" x14ac:dyDescent="0.25">
      <c r="A29" t="str">
        <f>$A$7</f>
        <v>Williamson</v>
      </c>
      <c r="B29" s="28">
        <f t="shared" ref="B29:E36" si="27">B7/B18</f>
        <v>3.7751714378669803E-2</v>
      </c>
      <c r="C29" s="28">
        <f t="shared" si="27"/>
        <v>6.76720131190265E-2</v>
      </c>
      <c r="D29" s="28">
        <f t="shared" si="27"/>
        <v>0</v>
      </c>
      <c r="E29" s="28">
        <f t="shared" si="27"/>
        <v>4.0711223680930095E-2</v>
      </c>
      <c r="F29" s="28"/>
      <c r="G29" s="28"/>
      <c r="H29" t="str">
        <f>$A$7</f>
        <v>Williamson</v>
      </c>
      <c r="I29" s="28">
        <f t="shared" ref="I29:L36" si="28">I7/I18</f>
        <v>2.33843537414966E-2</v>
      </c>
      <c r="J29" s="28">
        <f t="shared" si="28"/>
        <v>7.7121679020571335E-2</v>
      </c>
      <c r="K29" s="28">
        <f t="shared" si="28"/>
        <v>2.4217687074829932E-2</v>
      </c>
      <c r="L29" s="28">
        <f t="shared" si="28"/>
        <v>3.0901416943020801E-2</v>
      </c>
      <c r="O29" t="str">
        <f>$A$7</f>
        <v>Williamson</v>
      </c>
      <c r="P29" s="28">
        <f t="shared" ref="P29:P36" si="29">I29-B29</f>
        <v>-1.4367360637173202E-2</v>
      </c>
      <c r="Q29" s="28">
        <f t="shared" ref="Q29:Q36" si="30">J29-C29</f>
        <v>9.4496659015448348E-3</v>
      </c>
      <c r="R29" s="28">
        <f t="shared" ref="R29:R36" si="31">K29-D29</f>
        <v>2.4217687074829932E-2</v>
      </c>
      <c r="S29" s="28">
        <f t="shared" ref="S29:S36" si="32">L29-E29</f>
        <v>-9.8098067379092935E-3</v>
      </c>
      <c r="V29" t="str">
        <f>$A$7</f>
        <v>Williamson</v>
      </c>
      <c r="W29" s="28" t="e">
        <f t="shared" ref="W29:Z35" si="33">W7/W18</f>
        <v>#DIV/0!</v>
      </c>
      <c r="X29" s="28" t="e">
        <f t="shared" si="33"/>
        <v>#DIV/0!</v>
      </c>
      <c r="Y29" s="28" t="e">
        <f t="shared" si="33"/>
        <v>#DIV/0!</v>
      </c>
      <c r="Z29" s="28" t="e">
        <f t="shared" si="33"/>
        <v>#DIV/0!</v>
      </c>
    </row>
    <row r="30" spans="1:26" x14ac:dyDescent="0.25">
      <c r="A30" t="str">
        <f>$A$8</f>
        <v>Rutherford</v>
      </c>
      <c r="B30" s="28">
        <f t="shared" si="27"/>
        <v>1.9113513295535609E-2</v>
      </c>
      <c r="C30" s="28">
        <f t="shared" si="27"/>
        <v>9.9630541871453607E-2</v>
      </c>
      <c r="D30" s="28">
        <f t="shared" si="27"/>
        <v>1.4113170687106373E-2</v>
      </c>
      <c r="E30" s="28">
        <f t="shared" si="27"/>
        <v>2.6796863543534572E-2</v>
      </c>
      <c r="F30" s="28"/>
      <c r="G30" s="28"/>
      <c r="H30" t="str">
        <f>$A$8</f>
        <v>Rutherford</v>
      </c>
      <c r="I30" s="28">
        <f t="shared" si="28"/>
        <v>2.9440310579100615E-2</v>
      </c>
      <c r="J30" s="28">
        <f t="shared" si="28"/>
        <v>8.8008388884727742E-2</v>
      </c>
      <c r="K30" s="28">
        <f t="shared" si="28"/>
        <v>2.3934742943007407E-2</v>
      </c>
      <c r="L30" s="28">
        <f t="shared" si="28"/>
        <v>3.5300912000385015E-2</v>
      </c>
      <c r="O30" t="str">
        <f>$A$8</f>
        <v>Rutherford</v>
      </c>
      <c r="P30" s="28">
        <f t="shared" si="29"/>
        <v>1.0326797283565007E-2</v>
      </c>
      <c r="Q30" s="28">
        <f t="shared" si="30"/>
        <v>-1.1622152986725864E-2</v>
      </c>
      <c r="R30" s="28">
        <f t="shared" si="31"/>
        <v>9.8215722559010336E-3</v>
      </c>
      <c r="S30" s="28">
        <f t="shared" si="32"/>
        <v>8.5040484568504431E-3</v>
      </c>
      <c r="V30" t="str">
        <f>$A$8</f>
        <v>Rutherford</v>
      </c>
      <c r="W30" s="28" t="e">
        <f t="shared" si="33"/>
        <v>#DIV/0!</v>
      </c>
      <c r="X30" s="28" t="e">
        <f t="shared" si="33"/>
        <v>#DIV/0!</v>
      </c>
      <c r="Y30" s="28" t="e">
        <f t="shared" si="33"/>
        <v>#DIV/0!</v>
      </c>
      <c r="Z30" s="28" t="e">
        <f t="shared" si="33"/>
        <v>#DIV/0!</v>
      </c>
    </row>
    <row r="31" spans="1:26" x14ac:dyDescent="0.25">
      <c r="A31" t="str">
        <f>$A$9</f>
        <v>Sumner</v>
      </c>
      <c r="B31" s="28">
        <f t="shared" si="27"/>
        <v>2.3648233361738404E-2</v>
      </c>
      <c r="C31" s="28">
        <f t="shared" si="27"/>
        <v>0.17587462929620848</v>
      </c>
      <c r="D31" s="28">
        <f t="shared" si="27"/>
        <v>3.533440468464507E-2</v>
      </c>
      <c r="E31" s="28">
        <f t="shared" si="27"/>
        <v>4.2361433702789136E-2</v>
      </c>
      <c r="F31" s="28"/>
      <c r="G31" s="28"/>
      <c r="H31" t="str">
        <f>$A$9</f>
        <v>Sumner</v>
      </c>
      <c r="I31" s="28">
        <f t="shared" si="28"/>
        <v>2.8622284379320757E-2</v>
      </c>
      <c r="J31" s="28">
        <f t="shared" si="28"/>
        <v>9.5342599366008293E-2</v>
      </c>
      <c r="K31" s="28">
        <f t="shared" si="28"/>
        <v>3.0592734225621414E-2</v>
      </c>
      <c r="L31" s="28">
        <f t="shared" si="28"/>
        <v>3.6113371304583669E-2</v>
      </c>
      <c r="O31" t="str">
        <f>$A$9</f>
        <v>Sumner</v>
      </c>
      <c r="P31" s="28">
        <f t="shared" ref="P31:P33" si="34">I31-B31</f>
        <v>4.9740510175823524E-3</v>
      </c>
      <c r="Q31" s="28">
        <f t="shared" ref="Q31:Q33" si="35">J31-C31</f>
        <v>-8.0532029930200186E-2</v>
      </c>
      <c r="R31" s="28">
        <f t="shared" ref="R31:R33" si="36">K31-D31</f>
        <v>-4.7416704590236558E-3</v>
      </c>
      <c r="S31" s="28">
        <f t="shared" ref="S31:S33" si="37">L31-E31</f>
        <v>-6.2480623982054673E-3</v>
      </c>
      <c r="V31" t="str">
        <f>$A$9</f>
        <v>Sumner</v>
      </c>
      <c r="W31" s="28" t="e">
        <f t="shared" si="33"/>
        <v>#DIV/0!</v>
      </c>
      <c r="X31" s="28" t="e">
        <f t="shared" si="33"/>
        <v>#DIV/0!</v>
      </c>
      <c r="Y31" s="28" t="e">
        <f t="shared" si="33"/>
        <v>#DIV/0!</v>
      </c>
      <c r="Z31" s="28" t="e">
        <f t="shared" si="33"/>
        <v>#DIV/0!</v>
      </c>
    </row>
    <row r="32" spans="1:26" x14ac:dyDescent="0.25">
      <c r="A32" t="str">
        <f>$A$10</f>
        <v>Roberston</v>
      </c>
      <c r="B32" s="28">
        <f t="shared" si="27"/>
        <v>4.3450776075140626E-3</v>
      </c>
      <c r="C32" s="28">
        <f t="shared" si="27"/>
        <v>0</v>
      </c>
      <c r="D32" s="28">
        <f t="shared" si="27"/>
        <v>0</v>
      </c>
      <c r="E32" s="28">
        <f t="shared" si="27"/>
        <v>3.8770129953549616E-3</v>
      </c>
      <c r="F32" s="28"/>
      <c r="G32" s="28"/>
      <c r="H32" t="str">
        <f>$A$10</f>
        <v>Roberston</v>
      </c>
      <c r="I32" s="28">
        <f t="shared" si="28"/>
        <v>2.9888213375171602E-2</v>
      </c>
      <c r="J32" s="28">
        <f t="shared" si="28"/>
        <v>9.3290170688640373E-2</v>
      </c>
      <c r="K32" s="28">
        <f t="shared" si="28"/>
        <v>3.219871205151794E-2</v>
      </c>
      <c r="L32" s="28">
        <f t="shared" si="28"/>
        <v>3.7158105403602398E-2</v>
      </c>
      <c r="O32" t="str">
        <f>$A$10</f>
        <v>Roberston</v>
      </c>
      <c r="P32" s="28">
        <f t="shared" si="34"/>
        <v>2.554313576765754E-2</v>
      </c>
      <c r="Q32" s="28">
        <f t="shared" si="35"/>
        <v>9.3290170688640373E-2</v>
      </c>
      <c r="R32" s="28">
        <f t="shared" si="36"/>
        <v>3.219871205151794E-2</v>
      </c>
      <c r="S32" s="28">
        <f t="shared" si="37"/>
        <v>3.3281092408247434E-2</v>
      </c>
      <c r="V32" t="str">
        <f>$A$10</f>
        <v>Roberston</v>
      </c>
      <c r="W32" s="28" t="e">
        <f t="shared" si="33"/>
        <v>#DIV/0!</v>
      </c>
      <c r="X32" s="28" t="e">
        <f t="shared" si="33"/>
        <v>#DIV/0!</v>
      </c>
      <c r="Y32" s="28" t="e">
        <f t="shared" si="33"/>
        <v>#DIV/0!</v>
      </c>
      <c r="Z32" s="28" t="e">
        <f t="shared" si="33"/>
        <v>#DIV/0!</v>
      </c>
    </row>
    <row r="33" spans="1:26" x14ac:dyDescent="0.25">
      <c r="A33" t="str">
        <f>$A$11</f>
        <v>Davidson</v>
      </c>
      <c r="B33" s="28">
        <f t="shared" si="27"/>
        <v>2.1020655147036472E-2</v>
      </c>
      <c r="C33" s="28">
        <f t="shared" si="27"/>
        <v>0.12733156844618135</v>
      </c>
      <c r="D33" s="28">
        <f t="shared" si="27"/>
        <v>4.5182535555047698E-2</v>
      </c>
      <c r="E33" s="28">
        <f t="shared" si="27"/>
        <v>3.2918383082669853E-2</v>
      </c>
      <c r="F33" s="28"/>
      <c r="G33" s="28"/>
      <c r="H33" t="str">
        <f>$A$11</f>
        <v>Davidson</v>
      </c>
      <c r="I33" s="28">
        <f t="shared" si="28"/>
        <v>2.2237579483757711E-2</v>
      </c>
      <c r="J33" s="28">
        <f t="shared" si="28"/>
        <v>6.9497160679083181E-2</v>
      </c>
      <c r="K33" s="28">
        <f t="shared" si="28"/>
        <v>1.731186917081896E-2</v>
      </c>
      <c r="L33" s="28">
        <f t="shared" si="28"/>
        <v>2.73105480024683E-2</v>
      </c>
      <c r="O33" t="str">
        <f>$A$11</f>
        <v>Davidson</v>
      </c>
      <c r="P33" s="28">
        <f t="shared" si="34"/>
        <v>1.2169243367212389E-3</v>
      </c>
      <c r="Q33" s="28">
        <f t="shared" si="35"/>
        <v>-5.7834407767098167E-2</v>
      </c>
      <c r="R33" s="28">
        <f t="shared" si="36"/>
        <v>-2.7870666384228738E-2</v>
      </c>
      <c r="S33" s="28">
        <f t="shared" si="37"/>
        <v>-5.6078350802015522E-3</v>
      </c>
      <c r="V33" t="str">
        <f>$A$11</f>
        <v>Davidson</v>
      </c>
      <c r="W33" s="28" t="e">
        <f t="shared" si="33"/>
        <v>#DIV/0!</v>
      </c>
      <c r="X33" s="28" t="e">
        <f t="shared" si="33"/>
        <v>#DIV/0!</v>
      </c>
      <c r="Y33" s="28" t="e">
        <f t="shared" si="33"/>
        <v>#DIV/0!</v>
      </c>
      <c r="Z33" s="28" t="e">
        <f t="shared" si="33"/>
        <v>#DIV/0!</v>
      </c>
    </row>
    <row r="34" spans="1:26" x14ac:dyDescent="0.25">
      <c r="A34" t="str">
        <f>$A$12</f>
        <v>Maury</v>
      </c>
      <c r="B34" s="44">
        <f t="shared" si="27"/>
        <v>7.8345866376654284E-3</v>
      </c>
      <c r="C34" s="44">
        <f t="shared" si="27"/>
        <v>9.9057265397544322E-2</v>
      </c>
      <c r="D34" s="44">
        <f t="shared" si="27"/>
        <v>0.15019717827938731</v>
      </c>
      <c r="E34" s="44">
        <f t="shared" si="27"/>
        <v>2.1404074703286233E-2</v>
      </c>
      <c r="F34" s="28"/>
      <c r="G34" s="28"/>
      <c r="H34" t="str">
        <f>$A$12</f>
        <v>Maury</v>
      </c>
      <c r="I34" s="44">
        <f t="shared" si="28"/>
        <v>3.7968474066322193E-2</v>
      </c>
      <c r="J34" s="44">
        <f t="shared" si="28"/>
        <v>0.10782487191429903</v>
      </c>
      <c r="K34" s="44">
        <f t="shared" si="28"/>
        <v>2.6028547439126783E-2</v>
      </c>
      <c r="L34" s="44">
        <f t="shared" si="28"/>
        <v>4.5891911377311925E-2</v>
      </c>
      <c r="O34" t="str">
        <f>$A$12</f>
        <v>Maury</v>
      </c>
      <c r="P34" s="44">
        <f t="shared" si="29"/>
        <v>3.0133887428656764E-2</v>
      </c>
      <c r="Q34" s="44">
        <f t="shared" si="30"/>
        <v>8.7676065167547057E-3</v>
      </c>
      <c r="R34" s="44">
        <f t="shared" si="31"/>
        <v>-0.12416863084026053</v>
      </c>
      <c r="S34" s="44">
        <f t="shared" si="32"/>
        <v>2.4487836674025692E-2</v>
      </c>
      <c r="V34" t="str">
        <f>$A$12</f>
        <v>Maury</v>
      </c>
      <c r="W34" s="44" t="e">
        <f t="shared" si="33"/>
        <v>#DIV/0!</v>
      </c>
      <c r="X34" s="44" t="e">
        <f t="shared" si="33"/>
        <v>#DIV/0!</v>
      </c>
      <c r="Y34" s="44" t="e">
        <f t="shared" si="33"/>
        <v>#DIV/0!</v>
      </c>
      <c r="Z34" s="44" t="e">
        <f t="shared" si="33"/>
        <v>#DIV/0!</v>
      </c>
    </row>
    <row r="35" spans="1:26" x14ac:dyDescent="0.25">
      <c r="A35" s="18" t="str">
        <f>$A$13</f>
        <v>Wilson</v>
      </c>
      <c r="B35" s="44">
        <f t="shared" si="27"/>
        <v>3.0129418696834033E-2</v>
      </c>
      <c r="C35" s="44">
        <f t="shared" si="27"/>
        <v>0.12758866406769967</v>
      </c>
      <c r="D35" s="44">
        <f t="shared" si="27"/>
        <v>0</v>
      </c>
      <c r="E35" s="44">
        <f t="shared" si="27"/>
        <v>4.0432290887817843E-2</v>
      </c>
      <c r="F35" s="28"/>
      <c r="G35" s="28"/>
      <c r="H35" s="18" t="str">
        <f>$A$13</f>
        <v>Wilson</v>
      </c>
      <c r="I35" s="44">
        <f t="shared" si="28"/>
        <v>2.7483538505582595E-2</v>
      </c>
      <c r="J35" s="44">
        <f t="shared" si="28"/>
        <v>9.5155980561216491E-2</v>
      </c>
      <c r="K35" s="44">
        <f t="shared" si="28"/>
        <v>2.9865125240847785E-2</v>
      </c>
      <c r="L35" s="44">
        <f t="shared" si="28"/>
        <v>3.5589633150155946E-2</v>
      </c>
      <c r="O35" s="18" t="str">
        <f>$A$13</f>
        <v>Wilson</v>
      </c>
      <c r="P35" s="44">
        <f t="shared" si="29"/>
        <v>-2.6458801912514381E-3</v>
      </c>
      <c r="Q35" s="44">
        <f t="shared" si="30"/>
        <v>-3.2432683506483179E-2</v>
      </c>
      <c r="R35" s="44">
        <f t="shared" si="31"/>
        <v>2.9865125240847785E-2</v>
      </c>
      <c r="S35" s="44">
        <f t="shared" si="32"/>
        <v>-4.8426577376618971E-3</v>
      </c>
      <c r="V35" s="18" t="str">
        <f>$A$13</f>
        <v>Wilson</v>
      </c>
      <c r="W35" s="20" t="e">
        <f t="shared" si="33"/>
        <v>#DIV/0!</v>
      </c>
      <c r="X35" s="20" t="e">
        <f t="shared" si="33"/>
        <v>#DIV/0!</v>
      </c>
      <c r="Y35" s="20" t="e">
        <f t="shared" si="33"/>
        <v>#DIV/0!</v>
      </c>
      <c r="Z35" s="20" t="e">
        <f t="shared" si="33"/>
        <v>#DIV/0!</v>
      </c>
    </row>
    <row r="36" spans="1:26" ht="15.75" thickBot="1" x14ac:dyDescent="0.3">
      <c r="A36" s="22" t="s">
        <v>4</v>
      </c>
      <c r="B36" s="30">
        <f t="shared" si="27"/>
        <v>2.212185391394977E-2</v>
      </c>
      <c r="C36" s="30">
        <f t="shared" si="27"/>
        <v>0.11301492061959381</v>
      </c>
      <c r="D36" s="30">
        <f t="shared" si="27"/>
        <v>3.4042829447580691E-2</v>
      </c>
      <c r="E36" s="30">
        <f t="shared" si="27"/>
        <v>3.2471400222003392E-2</v>
      </c>
      <c r="F36" s="7"/>
      <c r="H36" s="22" t="s">
        <v>4</v>
      </c>
      <c r="I36" s="30">
        <f t="shared" si="28"/>
        <v>2.58582180182047E-2</v>
      </c>
      <c r="J36" s="30">
        <f t="shared" si="28"/>
        <v>8.1256585557107505E-2</v>
      </c>
      <c r="K36" s="30">
        <f t="shared" si="28"/>
        <v>2.2209743085778465E-2</v>
      </c>
      <c r="L36" s="30">
        <f t="shared" si="28"/>
        <v>3.2078721553807324E-2</v>
      </c>
      <c r="O36" s="22" t="s">
        <v>4</v>
      </c>
      <c r="P36" s="30">
        <f t="shared" si="29"/>
        <v>3.73636410425493E-3</v>
      </c>
      <c r="Q36" s="30">
        <f t="shared" si="30"/>
        <v>-3.1758335062486306E-2</v>
      </c>
      <c r="R36" s="30">
        <f t="shared" si="31"/>
        <v>-1.1833086361802227E-2</v>
      </c>
      <c r="S36" s="30">
        <f t="shared" si="32"/>
        <v>-3.9267866819606839E-4</v>
      </c>
      <c r="V36" s="22" t="s">
        <v>4</v>
      </c>
      <c r="W36" s="22" t="e">
        <f>W14/W25</f>
        <v>#DIV/0!</v>
      </c>
      <c r="X36" s="22" t="e">
        <f t="shared" ref="X36:Z36" si="38">X14/X25</f>
        <v>#DIV/0!</v>
      </c>
      <c r="Y36" s="22" t="e">
        <f t="shared" si="38"/>
        <v>#DIV/0!</v>
      </c>
      <c r="Z36" s="22" t="e">
        <f t="shared" si="38"/>
        <v>#DIV/0!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33"/>
  <sheetViews>
    <sheetView workbookViewId="0"/>
  </sheetViews>
  <sheetFormatPr defaultRowHeight="15" x14ac:dyDescent="0.25"/>
  <sheetData>
    <row r="1" spans="1:2" x14ac:dyDescent="0.25">
      <c r="A1" s="11" t="s">
        <v>238</v>
      </c>
    </row>
    <row r="2" spans="1:2" x14ac:dyDescent="0.25">
      <c r="A2">
        <v>1</v>
      </c>
      <c r="B2" t="s">
        <v>239</v>
      </c>
    </row>
    <row r="4" spans="1:2" x14ac:dyDescent="0.25">
      <c r="A4">
        <v>2</v>
      </c>
      <c r="B4" t="s">
        <v>25</v>
      </c>
    </row>
    <row r="6" spans="1:2" x14ac:dyDescent="0.25">
      <c r="A6">
        <v>3</v>
      </c>
      <c r="B6" t="s">
        <v>24</v>
      </c>
    </row>
    <row r="8" spans="1:2" x14ac:dyDescent="0.25">
      <c r="A8">
        <v>4</v>
      </c>
      <c r="B8" t="s">
        <v>22</v>
      </c>
    </row>
    <row r="11" spans="1:2" x14ac:dyDescent="0.25">
      <c r="A11" s="11" t="s">
        <v>23</v>
      </c>
    </row>
    <row r="12" spans="1:2" x14ac:dyDescent="0.25">
      <c r="A12">
        <v>1</v>
      </c>
      <c r="B12" t="s">
        <v>53</v>
      </c>
    </row>
    <row r="14" spans="1:2" x14ac:dyDescent="0.25">
      <c r="A14">
        <v>2</v>
      </c>
      <c r="B14" t="s">
        <v>240</v>
      </c>
    </row>
    <row r="15" spans="1:2" x14ac:dyDescent="0.25">
      <c r="B15" t="s">
        <v>54</v>
      </c>
    </row>
    <row r="17" spans="1:4" x14ac:dyDescent="0.25">
      <c r="A17">
        <v>3</v>
      </c>
      <c r="B17" t="s">
        <v>55</v>
      </c>
    </row>
    <row r="18" spans="1:4" x14ac:dyDescent="0.25">
      <c r="B18" t="s">
        <v>241</v>
      </c>
    </row>
    <row r="19" spans="1:4" x14ac:dyDescent="0.25">
      <c r="B19" t="s">
        <v>12</v>
      </c>
      <c r="C19" t="s">
        <v>61</v>
      </c>
      <c r="D19" t="s">
        <v>26</v>
      </c>
    </row>
    <row r="20" spans="1:4" x14ac:dyDescent="0.25">
      <c r="B20" t="s">
        <v>13</v>
      </c>
      <c r="C20" t="s">
        <v>62</v>
      </c>
      <c r="D20" t="s">
        <v>27</v>
      </c>
    </row>
    <row r="21" spans="1:4" x14ac:dyDescent="0.25">
      <c r="B21" t="s">
        <v>14</v>
      </c>
      <c r="C21" t="s">
        <v>63</v>
      </c>
      <c r="D21" t="s">
        <v>28</v>
      </c>
    </row>
    <row r="23" spans="1:4" x14ac:dyDescent="0.25">
      <c r="A23" s="11" t="s">
        <v>56</v>
      </c>
    </row>
    <row r="24" spans="1:4" x14ac:dyDescent="0.25">
      <c r="A24">
        <v>1</v>
      </c>
      <c r="B24" t="s">
        <v>57</v>
      </c>
    </row>
    <row r="26" spans="1:4" x14ac:dyDescent="0.25">
      <c r="A26">
        <v>2</v>
      </c>
      <c r="B26" t="s">
        <v>58</v>
      </c>
    </row>
    <row r="28" spans="1:4" x14ac:dyDescent="0.25">
      <c r="A28" s="11" t="s">
        <v>59</v>
      </c>
    </row>
    <row r="29" spans="1:4" x14ac:dyDescent="0.25">
      <c r="A29">
        <v>1</v>
      </c>
      <c r="B29" t="s">
        <v>60</v>
      </c>
    </row>
    <row r="31" spans="1:4" x14ac:dyDescent="0.25">
      <c r="A31" s="11">
        <v>2</v>
      </c>
      <c r="B31" t="s">
        <v>242</v>
      </c>
    </row>
    <row r="33" spans="1:2" x14ac:dyDescent="0.25">
      <c r="A33">
        <v>3</v>
      </c>
      <c r="B33" t="s">
        <v>64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4"/>
  <sheetViews>
    <sheetView workbookViewId="0">
      <selection activeCell="E22" sqref="E22"/>
    </sheetView>
  </sheetViews>
  <sheetFormatPr defaultRowHeight="15" x14ac:dyDescent="0.25"/>
  <cols>
    <col min="4" max="4" bestFit="true" customWidth="true" width="12.7109375" collapsed="true"/>
    <col min="5" max="5" bestFit="true" customWidth="true" style="51" width="94.7109375" collapsed="true"/>
  </cols>
  <sheetData>
    <row r="1" spans="1:5" x14ac:dyDescent="0.25">
      <c r="A1" t="s">
        <v>156</v>
      </c>
      <c r="B1" t="s">
        <v>157</v>
      </c>
      <c r="E1" s="51" t="s">
        <v>158</v>
      </c>
    </row>
    <row r="2" spans="1:5" x14ac:dyDescent="0.25">
      <c r="A2">
        <v>1</v>
      </c>
      <c r="B2" t="s">
        <v>81</v>
      </c>
      <c r="C2" t="s">
        <v>82</v>
      </c>
      <c r="D2">
        <v>1</v>
      </c>
      <c r="E2" s="51" t="s">
        <v>164</v>
      </c>
    </row>
    <row r="3" spans="1:5" x14ac:dyDescent="0.25">
      <c r="A3">
        <v>2</v>
      </c>
      <c r="B3" t="s">
        <v>83</v>
      </c>
      <c r="C3" t="s">
        <v>82</v>
      </c>
      <c r="D3">
        <v>0.7</v>
      </c>
      <c r="E3" s="51" t="s">
        <v>160</v>
      </c>
    </row>
    <row r="4" spans="1:5" x14ac:dyDescent="0.25">
      <c r="A4">
        <v>3</v>
      </c>
      <c r="B4" t="s">
        <v>84</v>
      </c>
      <c r="C4" t="s">
        <v>82</v>
      </c>
      <c r="D4">
        <v>1</v>
      </c>
      <c r="E4" s="51" t="s">
        <v>159</v>
      </c>
    </row>
    <row r="5" spans="1:5" x14ac:dyDescent="0.25">
      <c r="A5">
        <v>4</v>
      </c>
      <c r="B5" t="s">
        <v>85</v>
      </c>
      <c r="C5" t="s">
        <v>82</v>
      </c>
      <c r="D5">
        <v>0.5</v>
      </c>
      <c r="E5" s="51" t="s">
        <v>165</v>
      </c>
    </row>
    <row r="6" spans="1:5" x14ac:dyDescent="0.25">
      <c r="A6">
        <v>5</v>
      </c>
      <c r="B6" t="s">
        <v>86</v>
      </c>
      <c r="C6" t="s">
        <v>82</v>
      </c>
      <c r="D6">
        <v>0</v>
      </c>
      <c r="E6" s="51" t="s">
        <v>161</v>
      </c>
    </row>
    <row r="7" spans="1:5" x14ac:dyDescent="0.25">
      <c r="A7">
        <v>6</v>
      </c>
      <c r="B7" t="s">
        <v>87</v>
      </c>
      <c r="C7" t="s">
        <v>82</v>
      </c>
      <c r="D7">
        <v>-4.1530549264700003</v>
      </c>
      <c r="E7" s="51" t="s">
        <v>166</v>
      </c>
    </row>
    <row r="8" spans="1:5" x14ac:dyDescent="0.25">
      <c r="A8">
        <v>7</v>
      </c>
      <c r="B8" t="s">
        <v>88</v>
      </c>
      <c r="C8" t="s">
        <v>82</v>
      </c>
      <c r="D8">
        <v>-0.64354735537100005</v>
      </c>
      <c r="E8" s="51" t="s">
        <v>167</v>
      </c>
    </row>
    <row r="9" spans="1:5" x14ac:dyDescent="0.25">
      <c r="A9">
        <v>8</v>
      </c>
      <c r="B9" t="s">
        <v>89</v>
      </c>
      <c r="C9" t="s">
        <v>82</v>
      </c>
      <c r="D9">
        <v>-0.732358148145</v>
      </c>
      <c r="E9" s="51" t="s">
        <v>168</v>
      </c>
    </row>
    <row r="10" spans="1:5" x14ac:dyDescent="0.25">
      <c r="A10">
        <v>9</v>
      </c>
      <c r="B10" t="s">
        <v>90</v>
      </c>
      <c r="C10" t="s">
        <v>82</v>
      </c>
      <c r="D10">
        <v>-2.6263992007099999</v>
      </c>
      <c r="E10" s="51" t="s">
        <v>169</v>
      </c>
    </row>
    <row r="11" spans="1:5" x14ac:dyDescent="0.25">
      <c r="A11">
        <v>10</v>
      </c>
      <c r="B11" t="s">
        <v>91</v>
      </c>
      <c r="C11" t="s">
        <v>82</v>
      </c>
      <c r="D11">
        <v>-3.4653118418800002</v>
      </c>
      <c r="E11" s="51" t="s">
        <v>170</v>
      </c>
    </row>
    <row r="12" spans="1:5" x14ac:dyDescent="0.25">
      <c r="A12">
        <v>11</v>
      </c>
      <c r="B12" t="s">
        <v>92</v>
      </c>
      <c r="C12" t="s">
        <v>82</v>
      </c>
      <c r="D12">
        <v>0.125312575308</v>
      </c>
      <c r="E12" s="51" t="s">
        <v>171</v>
      </c>
    </row>
    <row r="13" spans="1:5" x14ac:dyDescent="0.25">
      <c r="A13">
        <v>12</v>
      </c>
      <c r="B13" t="s">
        <v>93</v>
      </c>
      <c r="C13" t="s">
        <v>82</v>
      </c>
      <c r="D13">
        <v>0.24676672684299999</v>
      </c>
      <c r="E13" s="51" t="s">
        <v>172</v>
      </c>
    </row>
    <row r="14" spans="1:5" x14ac:dyDescent="0.25">
      <c r="A14">
        <v>13</v>
      </c>
      <c r="B14" t="s">
        <v>94</v>
      </c>
      <c r="C14" t="s">
        <v>82</v>
      </c>
      <c r="D14">
        <v>0.40796503771199999</v>
      </c>
      <c r="E14" s="51" t="s">
        <v>173</v>
      </c>
    </row>
    <row r="15" spans="1:5" x14ac:dyDescent="0.25">
      <c r="A15">
        <v>14</v>
      </c>
      <c r="B15" t="s">
        <v>95</v>
      </c>
      <c r="C15" t="s">
        <v>82</v>
      </c>
      <c r="D15">
        <v>-0.50293651045300003</v>
      </c>
      <c r="E15" s="51" t="s">
        <v>174</v>
      </c>
    </row>
    <row r="16" spans="1:5" x14ac:dyDescent="0.25">
      <c r="A16">
        <v>15</v>
      </c>
      <c r="B16" t="s">
        <v>96</v>
      </c>
      <c r="C16" t="s">
        <v>82</v>
      </c>
      <c r="D16">
        <v>-1.61322160644</v>
      </c>
      <c r="E16" s="51" t="s">
        <v>175</v>
      </c>
    </row>
    <row r="17" spans="1:5" x14ac:dyDescent="0.25">
      <c r="A17">
        <v>16</v>
      </c>
      <c r="B17" t="s">
        <v>97</v>
      </c>
      <c r="C17" t="s">
        <v>82</v>
      </c>
      <c r="D17">
        <v>0.130749629122</v>
      </c>
      <c r="E17" s="51" t="s">
        <v>176</v>
      </c>
    </row>
    <row r="18" spans="1:5" x14ac:dyDescent="0.25">
      <c r="A18">
        <v>17</v>
      </c>
      <c r="B18" t="s">
        <v>98</v>
      </c>
      <c r="C18" t="s">
        <v>82</v>
      </c>
      <c r="D18" s="50">
        <v>8.4077289836199998E-2</v>
      </c>
      <c r="E18" s="51" t="s">
        <v>177</v>
      </c>
    </row>
    <row r="19" spans="1:5" x14ac:dyDescent="0.25">
      <c r="A19">
        <v>18</v>
      </c>
      <c r="B19" t="s">
        <v>99</v>
      </c>
      <c r="C19" t="s">
        <v>82</v>
      </c>
      <c r="D19">
        <v>0</v>
      </c>
      <c r="E19" s="51" t="s">
        <v>178</v>
      </c>
    </row>
    <row r="20" spans="1:5" x14ac:dyDescent="0.25">
      <c r="A20">
        <v>19</v>
      </c>
      <c r="B20" t="s">
        <v>100</v>
      </c>
      <c r="C20" t="s">
        <v>82</v>
      </c>
      <c r="D20">
        <v>0.106386053639</v>
      </c>
      <c r="E20" s="51" t="s">
        <v>162</v>
      </c>
    </row>
    <row r="21" spans="1:5" x14ac:dyDescent="0.25">
      <c r="A21">
        <v>20</v>
      </c>
      <c r="B21" t="s">
        <v>101</v>
      </c>
      <c r="C21" t="s">
        <v>82</v>
      </c>
      <c r="D21">
        <v>0.88087687792799996</v>
      </c>
      <c r="E21" s="51" t="s">
        <v>163</v>
      </c>
    </row>
    <row r="22" spans="1:5" x14ac:dyDescent="0.25">
      <c r="A22">
        <v>21</v>
      </c>
      <c r="B22" t="s">
        <v>102</v>
      </c>
      <c r="C22" t="s">
        <v>82</v>
      </c>
      <c r="D22">
        <v>-0.16458061134300001</v>
      </c>
      <c r="E22" s="51" t="s">
        <v>215</v>
      </c>
    </row>
    <row r="23" spans="1:5" x14ac:dyDescent="0.25">
      <c r="A23">
        <v>22</v>
      </c>
      <c r="B23" t="s">
        <v>103</v>
      </c>
      <c r="C23" t="s">
        <v>82</v>
      </c>
      <c r="D23">
        <v>0.154182014038</v>
      </c>
      <c r="E23" s="51" t="s">
        <v>216</v>
      </c>
    </row>
    <row r="24" spans="1:5" x14ac:dyDescent="0.25">
      <c r="A24">
        <v>23</v>
      </c>
      <c r="B24" t="s">
        <v>104</v>
      </c>
      <c r="C24" t="s">
        <v>82</v>
      </c>
      <c r="D24" s="50">
        <v>4.79448884421E-2</v>
      </c>
      <c r="E24" s="51" t="s">
        <v>217</v>
      </c>
    </row>
    <row r="25" spans="1:5" x14ac:dyDescent="0.25">
      <c r="A25">
        <v>24</v>
      </c>
      <c r="B25" t="s">
        <v>105</v>
      </c>
      <c r="C25" t="s">
        <v>82</v>
      </c>
      <c r="D25" s="50">
        <v>6.4843520043099998E-2</v>
      </c>
      <c r="E25" s="51" t="s">
        <v>218</v>
      </c>
    </row>
    <row r="26" spans="1:5" x14ac:dyDescent="0.25">
      <c r="A26">
        <v>25</v>
      </c>
      <c r="B26" t="s">
        <v>106</v>
      </c>
      <c r="C26" t="s">
        <v>82</v>
      </c>
      <c r="D26">
        <v>0.15272053169499999</v>
      </c>
      <c r="E26" s="51" t="s">
        <v>219</v>
      </c>
    </row>
    <row r="27" spans="1:5" x14ac:dyDescent="0.25">
      <c r="A27">
        <v>26</v>
      </c>
      <c r="B27" t="s">
        <v>107</v>
      </c>
      <c r="C27" t="s">
        <v>82</v>
      </c>
      <c r="D27" s="50">
        <v>7.2028590735099998E-2</v>
      </c>
      <c r="E27" s="51" t="s">
        <v>220</v>
      </c>
    </row>
    <row r="28" spans="1:5" x14ac:dyDescent="0.25">
      <c r="A28">
        <v>27</v>
      </c>
      <c r="B28" t="s">
        <v>108</v>
      </c>
      <c r="C28" t="s">
        <v>82</v>
      </c>
      <c r="D28">
        <v>-0.27934224041799999</v>
      </c>
      <c r="E28" s="51" t="s">
        <v>224</v>
      </c>
    </row>
    <row r="29" spans="1:5" x14ac:dyDescent="0.25">
      <c r="A29">
        <v>28</v>
      </c>
      <c r="B29" t="s">
        <v>109</v>
      </c>
      <c r="C29" t="s">
        <v>82</v>
      </c>
      <c r="D29" s="50">
        <v>4.3626229225700003E-2</v>
      </c>
      <c r="E29" s="51" t="s">
        <v>179</v>
      </c>
    </row>
    <row r="30" spans="1:5" x14ac:dyDescent="0.25">
      <c r="A30">
        <v>29</v>
      </c>
      <c r="B30" t="s">
        <v>110</v>
      </c>
      <c r="C30" t="s">
        <v>82</v>
      </c>
      <c r="D30" s="50">
        <v>-8.7886819411100006E-2</v>
      </c>
      <c r="E30" s="51" t="s">
        <v>199</v>
      </c>
    </row>
    <row r="31" spans="1:5" x14ac:dyDescent="0.25">
      <c r="A31">
        <v>30</v>
      </c>
      <c r="B31" t="s">
        <v>111</v>
      </c>
      <c r="C31" t="s">
        <v>82</v>
      </c>
      <c r="D31" s="50">
        <v>-4.2894941477000001E-2</v>
      </c>
      <c r="E31" s="51" t="s">
        <v>200</v>
      </c>
    </row>
    <row r="32" spans="1:5" x14ac:dyDescent="0.25">
      <c r="A32">
        <v>31</v>
      </c>
      <c r="B32" t="s">
        <v>112</v>
      </c>
      <c r="C32" t="s">
        <v>82</v>
      </c>
      <c r="D32">
        <v>-0.13045579928000001</v>
      </c>
      <c r="E32" s="51" t="s">
        <v>201</v>
      </c>
    </row>
    <row r="33" spans="1:5" x14ac:dyDescent="0.25">
      <c r="A33">
        <v>32</v>
      </c>
      <c r="B33" t="s">
        <v>113</v>
      </c>
      <c r="C33" t="s">
        <v>82</v>
      </c>
      <c r="D33">
        <v>0.18945088644899999</v>
      </c>
      <c r="E33" s="51" t="s">
        <v>202</v>
      </c>
    </row>
    <row r="34" spans="1:5" x14ac:dyDescent="0.25">
      <c r="A34">
        <v>33</v>
      </c>
      <c r="B34" t="s">
        <v>114</v>
      </c>
      <c r="C34" t="s">
        <v>82</v>
      </c>
      <c r="D34">
        <v>-0.179523169776</v>
      </c>
      <c r="E34" s="51" t="s">
        <v>203</v>
      </c>
    </row>
    <row r="35" spans="1:5" x14ac:dyDescent="0.25">
      <c r="A35">
        <v>34</v>
      </c>
      <c r="B35" t="s">
        <v>115</v>
      </c>
      <c r="C35" t="s">
        <v>82</v>
      </c>
      <c r="D35">
        <v>0.17233347539499999</v>
      </c>
      <c r="E35" s="51" t="s">
        <v>204</v>
      </c>
    </row>
    <row r="36" spans="1:5" x14ac:dyDescent="0.25">
      <c r="A36">
        <v>35</v>
      </c>
      <c r="B36" t="s">
        <v>116</v>
      </c>
      <c r="C36" t="s">
        <v>82</v>
      </c>
      <c r="D36">
        <v>-0.194698386872</v>
      </c>
      <c r="E36" s="51" t="s">
        <v>205</v>
      </c>
    </row>
    <row r="37" spans="1:5" x14ac:dyDescent="0.25">
      <c r="A37">
        <v>36</v>
      </c>
      <c r="B37" t="s">
        <v>117</v>
      </c>
      <c r="C37" t="s">
        <v>82</v>
      </c>
      <c r="D37">
        <v>0.38785322122799998</v>
      </c>
      <c r="E37" s="51" t="s">
        <v>206</v>
      </c>
    </row>
    <row r="38" spans="1:5" x14ac:dyDescent="0.25">
      <c r="A38">
        <v>41</v>
      </c>
      <c r="B38" t="s">
        <v>118</v>
      </c>
      <c r="C38" t="s">
        <v>119</v>
      </c>
      <c r="D38">
        <v>-2.9745332256100001</v>
      </c>
      <c r="E38" s="51" t="s">
        <v>243</v>
      </c>
    </row>
    <row r="39" spans="1:5" x14ac:dyDescent="0.25">
      <c r="A39">
        <v>42</v>
      </c>
      <c r="B39" t="s">
        <v>120</v>
      </c>
      <c r="C39" t="s">
        <v>119</v>
      </c>
      <c r="D39">
        <v>5.0782043482699999</v>
      </c>
      <c r="E39" s="51" t="s">
        <v>225</v>
      </c>
    </row>
    <row r="40" spans="1:5" x14ac:dyDescent="0.25">
      <c r="A40">
        <v>43</v>
      </c>
      <c r="B40" t="s">
        <v>121</v>
      </c>
      <c r="C40" t="s">
        <v>119</v>
      </c>
      <c r="D40">
        <v>-3.0391245094800001</v>
      </c>
      <c r="E40" s="51" t="s">
        <v>226</v>
      </c>
    </row>
    <row r="41" spans="1:5" x14ac:dyDescent="0.25">
      <c r="A41">
        <v>44</v>
      </c>
      <c r="B41" t="s">
        <v>122</v>
      </c>
      <c r="C41" t="s">
        <v>119</v>
      </c>
      <c r="D41">
        <v>-2.3320263859599999</v>
      </c>
      <c r="E41" s="51" t="s">
        <v>227</v>
      </c>
    </row>
    <row r="42" spans="1:5" x14ac:dyDescent="0.25">
      <c r="A42">
        <v>50</v>
      </c>
      <c r="B42" t="s">
        <v>123</v>
      </c>
      <c r="C42" t="s">
        <v>82</v>
      </c>
      <c r="D42">
        <v>0.33566647407</v>
      </c>
    </row>
    <row r="43" spans="1:5" x14ac:dyDescent="0.25">
      <c r="A43">
        <v>51</v>
      </c>
      <c r="B43" t="s">
        <v>124</v>
      </c>
      <c r="C43" t="s">
        <v>82</v>
      </c>
      <c r="D43">
        <v>-0.78911507665199998</v>
      </c>
      <c r="E43" s="51" t="s">
        <v>180</v>
      </c>
    </row>
    <row r="44" spans="1:5" x14ac:dyDescent="0.25">
      <c r="A44">
        <v>52</v>
      </c>
      <c r="B44" t="s">
        <v>125</v>
      </c>
      <c r="C44" t="s">
        <v>82</v>
      </c>
      <c r="D44">
        <v>0.56564055394500001</v>
      </c>
      <c r="E44" s="51" t="s">
        <v>181</v>
      </c>
    </row>
    <row r="45" spans="1:5" x14ac:dyDescent="0.25">
      <c r="A45">
        <v>53</v>
      </c>
      <c r="B45" t="s">
        <v>126</v>
      </c>
      <c r="C45" t="s">
        <v>82</v>
      </c>
      <c r="D45">
        <v>-1.85416848242</v>
      </c>
      <c r="E45" s="51" t="s">
        <v>182</v>
      </c>
    </row>
    <row r="46" spans="1:5" x14ac:dyDescent="0.25">
      <c r="A46">
        <v>54</v>
      </c>
      <c r="B46" t="s">
        <v>127</v>
      </c>
      <c r="C46" t="s">
        <v>82</v>
      </c>
      <c r="D46">
        <v>0</v>
      </c>
      <c r="E46" s="51" t="s">
        <v>183</v>
      </c>
    </row>
    <row r="47" spans="1:5" x14ac:dyDescent="0.25">
      <c r="A47">
        <v>55</v>
      </c>
      <c r="B47" t="s">
        <v>128</v>
      </c>
      <c r="C47" t="s">
        <v>82</v>
      </c>
      <c r="D47">
        <v>-1.1156286956100001</v>
      </c>
      <c r="E47" s="51" t="s">
        <v>184</v>
      </c>
    </row>
    <row r="48" spans="1:5" x14ac:dyDescent="0.25">
      <c r="A48">
        <v>56</v>
      </c>
      <c r="B48" t="s">
        <v>129</v>
      </c>
      <c r="C48" t="s">
        <v>82</v>
      </c>
      <c r="D48">
        <v>-0.81792869186600003</v>
      </c>
      <c r="E48" s="51" t="s">
        <v>185</v>
      </c>
    </row>
    <row r="49" spans="1:5" x14ac:dyDescent="0.25">
      <c r="A49">
        <v>57</v>
      </c>
      <c r="B49" t="s">
        <v>130</v>
      </c>
      <c r="C49" t="s">
        <v>82</v>
      </c>
      <c r="D49">
        <v>-1.04729487823</v>
      </c>
      <c r="E49" s="51" t="s">
        <v>186</v>
      </c>
    </row>
    <row r="50" spans="1:5" x14ac:dyDescent="0.25">
      <c r="A50">
        <v>58</v>
      </c>
      <c r="B50" t="s">
        <v>131</v>
      </c>
      <c r="C50" t="s">
        <v>82</v>
      </c>
      <c r="D50">
        <v>-2.0228517391</v>
      </c>
      <c r="E50" s="51" t="s">
        <v>187</v>
      </c>
    </row>
    <row r="51" spans="1:5" x14ac:dyDescent="0.25">
      <c r="A51">
        <v>59</v>
      </c>
      <c r="B51" t="s">
        <v>132</v>
      </c>
      <c r="C51" t="s">
        <v>82</v>
      </c>
      <c r="D51">
        <v>-1.2945321250099999</v>
      </c>
      <c r="E51" s="51" t="s">
        <v>188</v>
      </c>
    </row>
    <row r="52" spans="1:5" x14ac:dyDescent="0.25">
      <c r="A52">
        <v>60</v>
      </c>
      <c r="B52" t="s">
        <v>133</v>
      </c>
      <c r="C52" t="s">
        <v>82</v>
      </c>
      <c r="D52">
        <v>-0.66178028021599999</v>
      </c>
      <c r="E52" s="51" t="s">
        <v>207</v>
      </c>
    </row>
    <row r="53" spans="1:5" x14ac:dyDescent="0.25">
      <c r="A53">
        <v>61</v>
      </c>
      <c r="B53" t="s">
        <v>134</v>
      </c>
      <c r="C53" t="s">
        <v>82</v>
      </c>
      <c r="D53">
        <v>-0.55504741134900004</v>
      </c>
      <c r="E53" s="51" t="s">
        <v>208</v>
      </c>
    </row>
    <row r="54" spans="1:5" x14ac:dyDescent="0.25">
      <c r="A54">
        <v>62</v>
      </c>
      <c r="B54" t="s">
        <v>135</v>
      </c>
      <c r="C54" t="s">
        <v>82</v>
      </c>
      <c r="D54">
        <v>-1.7449233454799999</v>
      </c>
      <c r="E54" s="51" t="s">
        <v>209</v>
      </c>
    </row>
    <row r="55" spans="1:5" x14ac:dyDescent="0.25">
      <c r="A55">
        <v>63</v>
      </c>
      <c r="B55" t="s">
        <v>136</v>
      </c>
      <c r="C55" t="s">
        <v>82</v>
      </c>
      <c r="D55">
        <v>1.1995398853399999</v>
      </c>
      <c r="E55" s="51" t="s">
        <v>210</v>
      </c>
    </row>
    <row r="56" spans="1:5" x14ac:dyDescent="0.25">
      <c r="A56">
        <v>64</v>
      </c>
      <c r="B56" t="s">
        <v>137</v>
      </c>
      <c r="C56" t="s">
        <v>82</v>
      </c>
      <c r="D56">
        <v>0.19542046398099999</v>
      </c>
      <c r="E56" s="51" t="s">
        <v>211</v>
      </c>
    </row>
    <row r="57" spans="1:5" x14ac:dyDescent="0.25">
      <c r="A57">
        <v>65</v>
      </c>
      <c r="B57" t="s">
        <v>138</v>
      </c>
      <c r="C57" t="s">
        <v>82</v>
      </c>
      <c r="D57">
        <v>-0.90594458676599998</v>
      </c>
      <c r="E57" s="51" t="s">
        <v>212</v>
      </c>
    </row>
    <row r="58" spans="1:5" x14ac:dyDescent="0.25">
      <c r="A58">
        <v>66</v>
      </c>
      <c r="B58" t="s">
        <v>139</v>
      </c>
      <c r="C58" t="s">
        <v>82</v>
      </c>
      <c r="D58">
        <v>-2.05104130438</v>
      </c>
      <c r="E58" s="51" t="s">
        <v>189</v>
      </c>
    </row>
    <row r="59" spans="1:5" x14ac:dyDescent="0.25">
      <c r="A59">
        <v>67</v>
      </c>
      <c r="B59" t="s">
        <v>140</v>
      </c>
      <c r="C59" t="s">
        <v>82</v>
      </c>
      <c r="D59">
        <v>-2.2381608455899999</v>
      </c>
      <c r="E59" s="51" t="s">
        <v>190</v>
      </c>
    </row>
    <row r="60" spans="1:5" x14ac:dyDescent="0.25">
      <c r="A60">
        <v>68</v>
      </c>
      <c r="B60" t="s">
        <v>141</v>
      </c>
      <c r="C60" t="s">
        <v>82</v>
      </c>
      <c r="D60">
        <v>-0.40946320528300001</v>
      </c>
      <c r="E60" s="51" t="s">
        <v>191</v>
      </c>
    </row>
    <row r="61" spans="1:5" x14ac:dyDescent="0.25">
      <c r="A61">
        <v>69</v>
      </c>
      <c r="B61" t="s">
        <v>142</v>
      </c>
      <c r="C61" t="s">
        <v>82</v>
      </c>
      <c r="D61">
        <v>-1.1700902309500001</v>
      </c>
      <c r="E61" s="51" t="s">
        <v>192</v>
      </c>
    </row>
    <row r="62" spans="1:5" x14ac:dyDescent="0.25">
      <c r="A62">
        <v>70</v>
      </c>
      <c r="B62" t="s">
        <v>143</v>
      </c>
      <c r="C62" t="s">
        <v>82</v>
      </c>
      <c r="D62">
        <v>1.8412445021999999</v>
      </c>
      <c r="E62" s="51" t="s">
        <v>193</v>
      </c>
    </row>
    <row r="63" spans="1:5" x14ac:dyDescent="0.25">
      <c r="A63">
        <v>71</v>
      </c>
      <c r="B63" t="s">
        <v>144</v>
      </c>
      <c r="C63" t="s">
        <v>82</v>
      </c>
      <c r="D63">
        <v>0.71619685052500004</v>
      </c>
      <c r="E63" s="51" t="s">
        <v>194</v>
      </c>
    </row>
    <row r="64" spans="1:5" x14ac:dyDescent="0.25">
      <c r="A64">
        <v>72</v>
      </c>
      <c r="B64" t="s">
        <v>145</v>
      </c>
      <c r="C64" t="s">
        <v>82</v>
      </c>
      <c r="D64">
        <v>-0.101060642888</v>
      </c>
      <c r="E64" s="51" t="s">
        <v>195</v>
      </c>
    </row>
    <row r="65" spans="1:5" x14ac:dyDescent="0.25">
      <c r="A65">
        <v>73</v>
      </c>
      <c r="B65" t="s">
        <v>146</v>
      </c>
      <c r="C65" t="s">
        <v>82</v>
      </c>
      <c r="D65">
        <v>-0.34132571646100002</v>
      </c>
      <c r="E65" s="51" t="s">
        <v>196</v>
      </c>
    </row>
    <row r="66" spans="1:5" x14ac:dyDescent="0.25">
      <c r="A66">
        <v>74</v>
      </c>
      <c r="B66" t="s">
        <v>147</v>
      </c>
      <c r="C66" t="s">
        <v>82</v>
      </c>
      <c r="D66">
        <v>1.0486549950899999</v>
      </c>
      <c r="E66" s="51" t="s">
        <v>213</v>
      </c>
    </row>
    <row r="67" spans="1:5" x14ac:dyDescent="0.25">
      <c r="A67">
        <v>75</v>
      </c>
      <c r="B67" t="s">
        <v>148</v>
      </c>
      <c r="C67" t="s">
        <v>82</v>
      </c>
      <c r="D67">
        <v>-30</v>
      </c>
      <c r="E67" s="51" t="s">
        <v>221</v>
      </c>
    </row>
    <row r="68" spans="1:5" x14ac:dyDescent="0.25">
      <c r="A68">
        <v>76</v>
      </c>
      <c r="B68" t="s">
        <v>149</v>
      </c>
      <c r="C68" t="s">
        <v>82</v>
      </c>
      <c r="D68">
        <v>0.91468797064200003</v>
      </c>
      <c r="E68" s="51" t="s">
        <v>222</v>
      </c>
    </row>
    <row r="69" spans="1:5" x14ac:dyDescent="0.25">
      <c r="A69">
        <v>77</v>
      </c>
      <c r="B69" t="s">
        <v>150</v>
      </c>
      <c r="C69" t="s">
        <v>82</v>
      </c>
      <c r="D69">
        <v>-1.1830909132</v>
      </c>
      <c r="E69" s="51" t="s">
        <v>214</v>
      </c>
    </row>
    <row r="70" spans="1:5" x14ac:dyDescent="0.25">
      <c r="A70">
        <v>78</v>
      </c>
      <c r="B70" t="s">
        <v>151</v>
      </c>
      <c r="C70" t="s">
        <v>82</v>
      </c>
      <c r="D70">
        <v>1.4576625009499999</v>
      </c>
      <c r="E70" s="51" t="s">
        <v>223</v>
      </c>
    </row>
    <row r="71" spans="1:5" x14ac:dyDescent="0.25">
      <c r="A71">
        <v>79</v>
      </c>
      <c r="B71" t="s">
        <v>152</v>
      </c>
      <c r="C71" t="s">
        <v>82</v>
      </c>
      <c r="D71">
        <v>-1.62636517084</v>
      </c>
      <c r="E71" s="51" t="s">
        <v>197</v>
      </c>
    </row>
    <row r="72" spans="1:5" x14ac:dyDescent="0.25">
      <c r="A72">
        <v>80</v>
      </c>
      <c r="B72" t="s">
        <v>153</v>
      </c>
      <c r="C72" t="s">
        <v>82</v>
      </c>
      <c r="D72">
        <v>0</v>
      </c>
      <c r="E72" s="51" t="s">
        <v>198</v>
      </c>
    </row>
    <row r="73" spans="1:5" x14ac:dyDescent="0.25">
      <c r="A73">
        <v>90</v>
      </c>
      <c r="B73" t="s">
        <v>154</v>
      </c>
      <c r="C73" t="s">
        <v>82</v>
      </c>
      <c r="D73">
        <v>0</v>
      </c>
      <c r="E73" s="51">
        <v>100</v>
      </c>
    </row>
    <row r="74" spans="1:5" x14ac:dyDescent="0.25">
      <c r="A74">
        <v>98</v>
      </c>
      <c r="B74" t="s">
        <v>155</v>
      </c>
      <c r="C74" t="s">
        <v>119</v>
      </c>
      <c r="D74">
        <v>0.196146395147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349"/>
  <sheetViews>
    <sheetView workbookViewId="0">
      <selection activeCell="L25" sqref="L25"/>
    </sheetView>
  </sheetViews>
  <sheetFormatPr defaultRowHeight="15" x14ac:dyDescent="0.25"/>
  <sheetData>
    <row r="1" spans="1:10" x14ac:dyDescent="0.25">
      <c r="A1" s="53" t="s">
        <v>266</v>
      </c>
      <c r="H1" t="s">
        <v>273</v>
      </c>
    </row>
    <row r="2" spans="1:10" x14ac:dyDescent="0.25">
      <c r="A2">
        <v>1</v>
      </c>
      <c r="B2" t="s">
        <v>267</v>
      </c>
    </row>
    <row r="3" spans="1:10" x14ac:dyDescent="0.25">
      <c r="A3">
        <v>2</v>
      </c>
      <c r="B3" t="s">
        <v>268</v>
      </c>
    </row>
    <row r="4" spans="1:10" x14ac:dyDescent="0.25">
      <c r="A4">
        <v>3</v>
      </c>
      <c r="B4" t="s">
        <v>270</v>
      </c>
    </row>
    <row r="5" spans="1:10" x14ac:dyDescent="0.25">
      <c r="A5">
        <v>4</v>
      </c>
      <c r="B5" t="s">
        <v>269</v>
      </c>
    </row>
    <row r="8" spans="1:10" x14ac:dyDescent="0.25">
      <c r="A8" t="s">
        <v>258</v>
      </c>
      <c r="B8" t="s">
        <v>259</v>
      </c>
      <c r="C8" t="s">
        <v>278</v>
      </c>
      <c r="D8" t="s">
        <v>279</v>
      </c>
      <c r="E8" t="s">
        <v>280</v>
      </c>
      <c r="F8" t="s">
        <v>281</v>
      </c>
      <c r="G8" t="s">
        <v>282</v>
      </c>
      <c r="H8" t="s">
        <v>283</v>
      </c>
    </row>
    <row r="9" spans="1:10" x14ac:dyDescent="0.25">
      <c r="A9" t="s">
        <v>260</v>
      </c>
      <c r="B9" t="s">
        <v>261</v>
      </c>
      <c r="C9" t="s">
        <v>262</v>
      </c>
      <c r="D9" t="s">
        <v>263</v>
      </c>
      <c r="E9">
        <v>4</v>
      </c>
      <c r="F9" s="56">
        <v>0.67841435185185184</v>
      </c>
      <c r="G9" t="s">
        <v>264</v>
      </c>
      <c r="H9">
        <v>5</v>
      </c>
      <c r="I9" t="s">
        <v>284</v>
      </c>
      <c r="J9">
        <v>12</v>
      </c>
    </row>
    <row r="10" spans="1:10" x14ac:dyDescent="0.25">
      <c r="A10" t="s">
        <v>265</v>
      </c>
    </row>
    <row r="11" spans="1:10" x14ac:dyDescent="0.25">
      <c r="B11">
        <v>1</v>
      </c>
      <c r="C11" t="s">
        <v>81</v>
      </c>
      <c r="D11" t="s">
        <v>82</v>
      </c>
      <c r="E11">
        <v>1</v>
      </c>
      <c r="F11">
        <v>0</v>
      </c>
    </row>
    <row r="12" spans="1:10" x14ac:dyDescent="0.25">
      <c r="B12">
        <v>2</v>
      </c>
      <c r="C12" t="s">
        <v>83</v>
      </c>
      <c r="D12" t="s">
        <v>82</v>
      </c>
      <c r="E12">
        <v>0.7</v>
      </c>
      <c r="F12">
        <v>0</v>
      </c>
    </row>
    <row r="13" spans="1:10" x14ac:dyDescent="0.25">
      <c r="B13">
        <v>3</v>
      </c>
      <c r="C13" t="s">
        <v>84</v>
      </c>
      <c r="D13" t="s">
        <v>82</v>
      </c>
      <c r="E13">
        <v>1</v>
      </c>
      <c r="F13">
        <v>0</v>
      </c>
    </row>
    <row r="14" spans="1:10" x14ac:dyDescent="0.25">
      <c r="B14">
        <v>4</v>
      </c>
      <c r="C14" t="s">
        <v>85</v>
      </c>
      <c r="D14" t="s">
        <v>82</v>
      </c>
      <c r="E14">
        <v>0.5</v>
      </c>
      <c r="F14">
        <v>0</v>
      </c>
    </row>
    <row r="15" spans="1:10" x14ac:dyDescent="0.25">
      <c r="B15">
        <v>5</v>
      </c>
      <c r="C15" t="s">
        <v>86</v>
      </c>
      <c r="D15" t="s">
        <v>82</v>
      </c>
      <c r="E15">
        <v>0</v>
      </c>
      <c r="F15">
        <v>0</v>
      </c>
    </row>
    <row r="16" spans="1:10" x14ac:dyDescent="0.25">
      <c r="B16">
        <v>6</v>
      </c>
      <c r="C16" t="s">
        <v>87</v>
      </c>
      <c r="D16" t="s">
        <v>82</v>
      </c>
      <c r="E16">
        <v>-4.1530549264700003</v>
      </c>
      <c r="F16">
        <v>0</v>
      </c>
    </row>
    <row r="17" spans="2:6" x14ac:dyDescent="0.25">
      <c r="B17">
        <v>7</v>
      </c>
      <c r="C17" t="s">
        <v>88</v>
      </c>
      <c r="D17" t="s">
        <v>82</v>
      </c>
      <c r="E17">
        <v>-1.68452606998</v>
      </c>
      <c r="F17">
        <v>0</v>
      </c>
    </row>
    <row r="18" spans="2:6" x14ac:dyDescent="0.25">
      <c r="B18">
        <v>8</v>
      </c>
      <c r="C18" t="s">
        <v>89</v>
      </c>
      <c r="D18" t="s">
        <v>82</v>
      </c>
      <c r="E18">
        <v>0.13162300973999999</v>
      </c>
      <c r="F18">
        <v>0</v>
      </c>
    </row>
    <row r="19" spans="2:6" x14ac:dyDescent="0.25">
      <c r="B19">
        <v>9</v>
      </c>
      <c r="C19" t="s">
        <v>90</v>
      </c>
      <c r="D19" t="s">
        <v>82</v>
      </c>
      <c r="E19">
        <v>-3.1050660724200001</v>
      </c>
      <c r="F19">
        <v>0</v>
      </c>
    </row>
    <row r="20" spans="2:6" x14ac:dyDescent="0.25">
      <c r="B20">
        <v>10</v>
      </c>
      <c r="C20" t="s">
        <v>91</v>
      </c>
      <c r="D20" t="s">
        <v>82</v>
      </c>
      <c r="E20">
        <v>-3.4653118418800002</v>
      </c>
      <c r="F20">
        <v>0</v>
      </c>
    </row>
    <row r="21" spans="2:6" x14ac:dyDescent="0.25">
      <c r="B21">
        <v>11</v>
      </c>
      <c r="C21" t="s">
        <v>92</v>
      </c>
      <c r="D21" t="s">
        <v>82</v>
      </c>
      <c r="E21">
        <v>-0.22974879339000001</v>
      </c>
      <c r="F21">
        <v>0</v>
      </c>
    </row>
    <row r="22" spans="2:6" x14ac:dyDescent="0.25">
      <c r="B22">
        <v>12</v>
      </c>
      <c r="C22" t="s">
        <v>93</v>
      </c>
      <c r="D22" t="s">
        <v>82</v>
      </c>
      <c r="E22">
        <v>-0.93478838755000004</v>
      </c>
      <c r="F22">
        <v>0</v>
      </c>
    </row>
    <row r="23" spans="2:6" x14ac:dyDescent="0.25">
      <c r="B23">
        <v>13</v>
      </c>
      <c r="C23" t="s">
        <v>94</v>
      </c>
      <c r="D23" t="s">
        <v>82</v>
      </c>
      <c r="E23">
        <v>0.40796503771199999</v>
      </c>
      <c r="F23">
        <v>0</v>
      </c>
    </row>
    <row r="24" spans="2:6" x14ac:dyDescent="0.25">
      <c r="B24">
        <v>14</v>
      </c>
      <c r="C24" t="s">
        <v>95</v>
      </c>
      <c r="D24" t="s">
        <v>82</v>
      </c>
      <c r="E24">
        <v>-0.50293651045300003</v>
      </c>
      <c r="F24">
        <v>0</v>
      </c>
    </row>
    <row r="25" spans="2:6" x14ac:dyDescent="0.25">
      <c r="B25">
        <v>15</v>
      </c>
      <c r="C25" t="s">
        <v>96</v>
      </c>
      <c r="D25" t="s">
        <v>82</v>
      </c>
      <c r="E25">
        <v>-1.61322160644</v>
      </c>
      <c r="F25">
        <v>0</v>
      </c>
    </row>
    <row r="26" spans="2:6" x14ac:dyDescent="0.25">
      <c r="B26">
        <v>16</v>
      </c>
      <c r="C26" t="s">
        <v>97</v>
      </c>
      <c r="D26" t="s">
        <v>82</v>
      </c>
      <c r="E26">
        <v>0.130749629122</v>
      </c>
      <c r="F26">
        <v>0</v>
      </c>
    </row>
    <row r="27" spans="2:6" x14ac:dyDescent="0.25">
      <c r="B27">
        <v>17</v>
      </c>
      <c r="C27" t="s">
        <v>98</v>
      </c>
      <c r="D27" t="s">
        <v>82</v>
      </c>
      <c r="E27" s="50">
        <v>8.4077289836199998E-2</v>
      </c>
      <c r="F27">
        <v>0</v>
      </c>
    </row>
    <row r="28" spans="2:6" x14ac:dyDescent="0.25">
      <c r="B28">
        <v>18</v>
      </c>
      <c r="C28" t="s">
        <v>99</v>
      </c>
      <c r="D28" t="s">
        <v>82</v>
      </c>
      <c r="E28">
        <v>0</v>
      </c>
      <c r="F28">
        <v>0</v>
      </c>
    </row>
    <row r="29" spans="2:6" x14ac:dyDescent="0.25">
      <c r="B29">
        <v>19</v>
      </c>
      <c r="C29" t="s">
        <v>100</v>
      </c>
      <c r="D29" t="s">
        <v>82</v>
      </c>
      <c r="E29">
        <v>0.106386053639</v>
      </c>
      <c r="F29">
        <v>0</v>
      </c>
    </row>
    <row r="30" spans="2:6" x14ac:dyDescent="0.25">
      <c r="B30">
        <v>20</v>
      </c>
      <c r="C30" t="s">
        <v>101</v>
      </c>
      <c r="D30" t="s">
        <v>82</v>
      </c>
      <c r="E30">
        <v>0.88087687792799996</v>
      </c>
      <c r="F30">
        <v>0</v>
      </c>
    </row>
    <row r="31" spans="2:6" x14ac:dyDescent="0.25">
      <c r="B31">
        <v>21</v>
      </c>
      <c r="C31" t="s">
        <v>102</v>
      </c>
      <c r="D31" t="s">
        <v>82</v>
      </c>
      <c r="E31">
        <v>-0.16458061134300001</v>
      </c>
      <c r="F31">
        <v>0</v>
      </c>
    </row>
    <row r="32" spans="2:6" x14ac:dyDescent="0.25">
      <c r="B32">
        <v>22</v>
      </c>
      <c r="C32" t="s">
        <v>103</v>
      </c>
      <c r="D32" t="s">
        <v>82</v>
      </c>
      <c r="E32">
        <v>0.154182014038</v>
      </c>
      <c r="F32">
        <v>0</v>
      </c>
    </row>
    <row r="33" spans="2:6" x14ac:dyDescent="0.25">
      <c r="B33">
        <v>23</v>
      </c>
      <c r="C33" t="s">
        <v>104</v>
      </c>
      <c r="D33" t="s">
        <v>82</v>
      </c>
      <c r="E33" s="50">
        <v>4.79448884421E-2</v>
      </c>
      <c r="F33">
        <v>0</v>
      </c>
    </row>
    <row r="34" spans="2:6" x14ac:dyDescent="0.25">
      <c r="B34">
        <v>24</v>
      </c>
      <c r="C34" t="s">
        <v>105</v>
      </c>
      <c r="D34" t="s">
        <v>82</v>
      </c>
      <c r="E34" s="50">
        <v>6.4843520043099998E-2</v>
      </c>
      <c r="F34">
        <v>0</v>
      </c>
    </row>
    <row r="35" spans="2:6" x14ac:dyDescent="0.25">
      <c r="B35">
        <v>25</v>
      </c>
      <c r="C35" t="s">
        <v>106</v>
      </c>
      <c r="D35" t="s">
        <v>82</v>
      </c>
      <c r="E35">
        <v>0.15272053169499999</v>
      </c>
      <c r="F35">
        <v>0</v>
      </c>
    </row>
    <row r="36" spans="2:6" x14ac:dyDescent="0.25">
      <c r="B36">
        <v>26</v>
      </c>
      <c r="C36" t="s">
        <v>107</v>
      </c>
      <c r="D36" t="s">
        <v>82</v>
      </c>
      <c r="E36" s="50">
        <v>7.2028590735099998E-2</v>
      </c>
      <c r="F36">
        <v>0</v>
      </c>
    </row>
    <row r="37" spans="2:6" x14ac:dyDescent="0.25">
      <c r="B37">
        <v>27</v>
      </c>
      <c r="C37" t="s">
        <v>108</v>
      </c>
      <c r="D37" t="s">
        <v>82</v>
      </c>
      <c r="E37">
        <v>-0.27934224041799999</v>
      </c>
      <c r="F37">
        <v>0</v>
      </c>
    </row>
    <row r="38" spans="2:6" x14ac:dyDescent="0.25">
      <c r="B38">
        <v>28</v>
      </c>
      <c r="C38" t="s">
        <v>109</v>
      </c>
      <c r="D38" t="s">
        <v>82</v>
      </c>
      <c r="E38" s="50">
        <v>4.3626229225700003E-2</v>
      </c>
      <c r="F38">
        <v>0</v>
      </c>
    </row>
    <row r="39" spans="2:6" x14ac:dyDescent="0.25">
      <c r="B39">
        <v>29</v>
      </c>
      <c r="C39" t="s">
        <v>110</v>
      </c>
      <c r="D39" t="s">
        <v>82</v>
      </c>
      <c r="E39" s="50">
        <v>-8.7886819411100006E-2</v>
      </c>
      <c r="F39">
        <v>0</v>
      </c>
    </row>
    <row r="40" spans="2:6" x14ac:dyDescent="0.25">
      <c r="B40">
        <v>30</v>
      </c>
      <c r="C40" t="s">
        <v>111</v>
      </c>
      <c r="D40" t="s">
        <v>82</v>
      </c>
      <c r="E40" s="50">
        <v>-4.2894941477000001E-2</v>
      </c>
      <c r="F40">
        <v>0</v>
      </c>
    </row>
    <row r="41" spans="2:6" x14ac:dyDescent="0.25">
      <c r="B41">
        <v>31</v>
      </c>
      <c r="C41" t="s">
        <v>112</v>
      </c>
      <c r="D41" t="s">
        <v>82</v>
      </c>
      <c r="E41">
        <v>-0.13045579928000001</v>
      </c>
      <c r="F41">
        <v>0</v>
      </c>
    </row>
    <row r="42" spans="2:6" x14ac:dyDescent="0.25">
      <c r="B42">
        <v>32</v>
      </c>
      <c r="C42" t="s">
        <v>113</v>
      </c>
      <c r="D42" t="s">
        <v>82</v>
      </c>
      <c r="E42">
        <v>0.18945088644899999</v>
      </c>
      <c r="F42">
        <v>0</v>
      </c>
    </row>
    <row r="43" spans="2:6" x14ac:dyDescent="0.25">
      <c r="B43">
        <v>33</v>
      </c>
      <c r="C43" t="s">
        <v>114</v>
      </c>
      <c r="D43" t="s">
        <v>82</v>
      </c>
      <c r="E43">
        <v>-0.179523169776</v>
      </c>
      <c r="F43">
        <v>0</v>
      </c>
    </row>
    <row r="44" spans="2:6" x14ac:dyDescent="0.25">
      <c r="B44">
        <v>34</v>
      </c>
      <c r="C44" t="s">
        <v>115</v>
      </c>
      <c r="D44" t="s">
        <v>82</v>
      </c>
      <c r="E44">
        <v>0.17233347539499999</v>
      </c>
      <c r="F44">
        <v>0</v>
      </c>
    </row>
    <row r="45" spans="2:6" x14ac:dyDescent="0.25">
      <c r="B45">
        <v>35</v>
      </c>
      <c r="C45" t="s">
        <v>116</v>
      </c>
      <c r="D45" t="s">
        <v>82</v>
      </c>
      <c r="E45">
        <v>-0.194698386872</v>
      </c>
      <c r="F45">
        <v>0</v>
      </c>
    </row>
    <row r="46" spans="2:6" x14ac:dyDescent="0.25">
      <c r="B46">
        <v>36</v>
      </c>
      <c r="C46" t="s">
        <v>117</v>
      </c>
      <c r="D46" t="s">
        <v>82</v>
      </c>
      <c r="E46">
        <v>0.38785322122799998</v>
      </c>
      <c r="F46">
        <v>0</v>
      </c>
    </row>
    <row r="47" spans="2:6" x14ac:dyDescent="0.25">
      <c r="B47">
        <v>41</v>
      </c>
      <c r="C47" t="s">
        <v>118</v>
      </c>
      <c r="D47" t="s">
        <v>119</v>
      </c>
      <c r="E47">
        <v>-3.8051604915000001</v>
      </c>
      <c r="F47">
        <v>0</v>
      </c>
    </row>
    <row r="48" spans="2:6" x14ac:dyDescent="0.25">
      <c r="B48">
        <v>42</v>
      </c>
      <c r="C48" t="s">
        <v>120</v>
      </c>
      <c r="D48" t="s">
        <v>119</v>
      </c>
      <c r="E48">
        <v>5.07828619993</v>
      </c>
      <c r="F48">
        <v>1.6177792075899999</v>
      </c>
    </row>
    <row r="49" spans="2:6" x14ac:dyDescent="0.25">
      <c r="B49">
        <v>43</v>
      </c>
      <c r="C49" t="s">
        <v>121</v>
      </c>
      <c r="D49" t="s">
        <v>119</v>
      </c>
      <c r="E49">
        <v>-3.0390882271000002</v>
      </c>
      <c r="F49">
        <v>1.4512014550300001</v>
      </c>
    </row>
    <row r="50" spans="2:6" x14ac:dyDescent="0.25">
      <c r="B50">
        <v>44</v>
      </c>
      <c r="C50" t="s">
        <v>122</v>
      </c>
      <c r="D50" t="s">
        <v>119</v>
      </c>
      <c r="E50">
        <v>-2.3320026601800001</v>
      </c>
      <c r="F50">
        <v>0.81624078360300001</v>
      </c>
    </row>
    <row r="51" spans="2:6" x14ac:dyDescent="0.25">
      <c r="B51">
        <v>50</v>
      </c>
      <c r="C51" t="s">
        <v>123</v>
      </c>
      <c r="D51" t="s">
        <v>82</v>
      </c>
      <c r="E51">
        <v>0.33566647407</v>
      </c>
      <c r="F51">
        <v>0</v>
      </c>
    </row>
    <row r="52" spans="2:6" x14ac:dyDescent="0.25">
      <c r="B52">
        <v>51</v>
      </c>
      <c r="C52" t="s">
        <v>124</v>
      </c>
      <c r="D52" t="s">
        <v>82</v>
      </c>
      <c r="E52">
        <v>-0.78911507665199998</v>
      </c>
      <c r="F52">
        <v>0</v>
      </c>
    </row>
    <row r="53" spans="2:6" x14ac:dyDescent="0.25">
      <c r="B53">
        <v>52</v>
      </c>
      <c r="C53" t="s">
        <v>125</v>
      </c>
      <c r="D53" t="s">
        <v>82</v>
      </c>
      <c r="E53">
        <v>0.56564055394500001</v>
      </c>
      <c r="F53">
        <v>0</v>
      </c>
    </row>
    <row r="54" spans="2:6" x14ac:dyDescent="0.25">
      <c r="B54">
        <v>53</v>
      </c>
      <c r="C54" t="s">
        <v>126</v>
      </c>
      <c r="D54" t="s">
        <v>82</v>
      </c>
      <c r="E54">
        <v>-1.85416848242</v>
      </c>
      <c r="F54">
        <v>0</v>
      </c>
    </row>
    <row r="55" spans="2:6" x14ac:dyDescent="0.25">
      <c r="B55">
        <v>54</v>
      </c>
      <c r="C55" t="s">
        <v>127</v>
      </c>
      <c r="D55" t="s">
        <v>82</v>
      </c>
      <c r="E55">
        <v>0</v>
      </c>
      <c r="F55">
        <v>0</v>
      </c>
    </row>
    <row r="56" spans="2:6" x14ac:dyDescent="0.25">
      <c r="B56">
        <v>55</v>
      </c>
      <c r="C56" t="s">
        <v>128</v>
      </c>
      <c r="D56" t="s">
        <v>82</v>
      </c>
      <c r="E56">
        <v>-1.1156286956100001</v>
      </c>
      <c r="F56">
        <v>0</v>
      </c>
    </row>
    <row r="57" spans="2:6" x14ac:dyDescent="0.25">
      <c r="B57">
        <v>56</v>
      </c>
      <c r="C57" t="s">
        <v>129</v>
      </c>
      <c r="D57" t="s">
        <v>82</v>
      </c>
      <c r="E57">
        <v>-0.81792869186600003</v>
      </c>
      <c r="F57">
        <v>0</v>
      </c>
    </row>
    <row r="58" spans="2:6" x14ac:dyDescent="0.25">
      <c r="B58">
        <v>57</v>
      </c>
      <c r="C58" t="s">
        <v>130</v>
      </c>
      <c r="D58" t="s">
        <v>82</v>
      </c>
      <c r="E58">
        <v>-1.04729487823</v>
      </c>
      <c r="F58">
        <v>0</v>
      </c>
    </row>
    <row r="59" spans="2:6" x14ac:dyDescent="0.25">
      <c r="B59">
        <v>58</v>
      </c>
      <c r="C59" t="s">
        <v>131</v>
      </c>
      <c r="D59" t="s">
        <v>82</v>
      </c>
      <c r="E59">
        <v>-2.0228517391</v>
      </c>
      <c r="F59">
        <v>0</v>
      </c>
    </row>
    <row r="60" spans="2:6" x14ac:dyDescent="0.25">
      <c r="B60">
        <v>59</v>
      </c>
      <c r="C60" t="s">
        <v>132</v>
      </c>
      <c r="D60" t="s">
        <v>82</v>
      </c>
      <c r="E60">
        <v>-1.2945321250099999</v>
      </c>
      <c r="F60">
        <v>0</v>
      </c>
    </row>
    <row r="61" spans="2:6" x14ac:dyDescent="0.25">
      <c r="B61">
        <v>60</v>
      </c>
      <c r="C61" t="s">
        <v>133</v>
      </c>
      <c r="D61" t="s">
        <v>82</v>
      </c>
      <c r="E61">
        <v>-0.66178028021599999</v>
      </c>
      <c r="F61">
        <v>0</v>
      </c>
    </row>
    <row r="62" spans="2:6" x14ac:dyDescent="0.25">
      <c r="B62">
        <v>61</v>
      </c>
      <c r="C62" t="s">
        <v>134</v>
      </c>
      <c r="D62" t="s">
        <v>82</v>
      </c>
      <c r="E62">
        <v>-0.55504741134900004</v>
      </c>
      <c r="F62">
        <v>0</v>
      </c>
    </row>
    <row r="63" spans="2:6" x14ac:dyDescent="0.25">
      <c r="B63">
        <v>62</v>
      </c>
      <c r="C63" t="s">
        <v>135</v>
      </c>
      <c r="D63" t="s">
        <v>82</v>
      </c>
      <c r="E63">
        <v>-1.7449233454799999</v>
      </c>
      <c r="F63">
        <v>0</v>
      </c>
    </row>
    <row r="64" spans="2:6" x14ac:dyDescent="0.25">
      <c r="B64">
        <v>63</v>
      </c>
      <c r="C64" t="s">
        <v>136</v>
      </c>
      <c r="D64" t="s">
        <v>82</v>
      </c>
      <c r="E64">
        <v>1.1995398853399999</v>
      </c>
      <c r="F64">
        <v>0</v>
      </c>
    </row>
    <row r="65" spans="2:6" x14ac:dyDescent="0.25">
      <c r="B65">
        <v>64</v>
      </c>
      <c r="C65" t="s">
        <v>137</v>
      </c>
      <c r="D65" t="s">
        <v>82</v>
      </c>
      <c r="E65">
        <v>0.19542046398099999</v>
      </c>
      <c r="F65">
        <v>0</v>
      </c>
    </row>
    <row r="66" spans="2:6" x14ac:dyDescent="0.25">
      <c r="B66">
        <v>65</v>
      </c>
      <c r="C66" t="s">
        <v>138</v>
      </c>
      <c r="D66" t="s">
        <v>82</v>
      </c>
      <c r="E66">
        <v>-0.90594458676599998</v>
      </c>
      <c r="F66">
        <v>0</v>
      </c>
    </row>
    <row r="67" spans="2:6" x14ac:dyDescent="0.25">
      <c r="B67">
        <v>66</v>
      </c>
      <c r="C67" t="s">
        <v>139</v>
      </c>
      <c r="D67" t="s">
        <v>82</v>
      </c>
      <c r="E67">
        <v>-2.05104130438</v>
      </c>
      <c r="F67">
        <v>0</v>
      </c>
    </row>
    <row r="68" spans="2:6" x14ac:dyDescent="0.25">
      <c r="B68">
        <v>67</v>
      </c>
      <c r="C68" t="s">
        <v>140</v>
      </c>
      <c r="D68" t="s">
        <v>82</v>
      </c>
      <c r="E68">
        <v>-2.2381608455899999</v>
      </c>
      <c r="F68">
        <v>0</v>
      </c>
    </row>
    <row r="69" spans="2:6" x14ac:dyDescent="0.25">
      <c r="B69">
        <v>68</v>
      </c>
      <c r="C69" t="s">
        <v>141</v>
      </c>
      <c r="D69" t="s">
        <v>82</v>
      </c>
      <c r="E69">
        <v>-0.40946320528300001</v>
      </c>
      <c r="F69">
        <v>0</v>
      </c>
    </row>
    <row r="70" spans="2:6" x14ac:dyDescent="0.25">
      <c r="B70">
        <v>69</v>
      </c>
      <c r="C70" t="s">
        <v>142</v>
      </c>
      <c r="D70" t="s">
        <v>82</v>
      </c>
      <c r="E70">
        <v>-1.1700902309500001</v>
      </c>
      <c r="F70">
        <v>0</v>
      </c>
    </row>
    <row r="71" spans="2:6" x14ac:dyDescent="0.25">
      <c r="B71">
        <v>70</v>
      </c>
      <c r="C71" t="s">
        <v>143</v>
      </c>
      <c r="D71" t="s">
        <v>82</v>
      </c>
      <c r="E71">
        <v>1.8412445021999999</v>
      </c>
      <c r="F71">
        <v>0</v>
      </c>
    </row>
    <row r="72" spans="2:6" x14ac:dyDescent="0.25">
      <c r="B72">
        <v>71</v>
      </c>
      <c r="C72" t="s">
        <v>144</v>
      </c>
      <c r="D72" t="s">
        <v>82</v>
      </c>
      <c r="E72">
        <v>0.71619685052500004</v>
      </c>
      <c r="F72">
        <v>0</v>
      </c>
    </row>
    <row r="73" spans="2:6" x14ac:dyDescent="0.25">
      <c r="B73">
        <v>72</v>
      </c>
      <c r="C73" t="s">
        <v>145</v>
      </c>
      <c r="D73" t="s">
        <v>82</v>
      </c>
      <c r="E73">
        <v>-0.101060642888</v>
      </c>
      <c r="F73">
        <v>0</v>
      </c>
    </row>
    <row r="74" spans="2:6" x14ac:dyDescent="0.25">
      <c r="B74">
        <v>73</v>
      </c>
      <c r="C74" t="s">
        <v>146</v>
      </c>
      <c r="D74" t="s">
        <v>82</v>
      </c>
      <c r="E74">
        <v>-0.34132571646100002</v>
      </c>
      <c r="F74">
        <v>0</v>
      </c>
    </row>
    <row r="75" spans="2:6" x14ac:dyDescent="0.25">
      <c r="B75">
        <v>74</v>
      </c>
      <c r="C75" t="s">
        <v>147</v>
      </c>
      <c r="D75" t="s">
        <v>82</v>
      </c>
      <c r="E75">
        <v>1.0486549950899999</v>
      </c>
      <c r="F75">
        <v>0</v>
      </c>
    </row>
    <row r="76" spans="2:6" x14ac:dyDescent="0.25">
      <c r="B76">
        <v>75</v>
      </c>
      <c r="C76" t="s">
        <v>148</v>
      </c>
      <c r="D76" t="s">
        <v>82</v>
      </c>
      <c r="E76">
        <v>-30</v>
      </c>
      <c r="F76">
        <v>0</v>
      </c>
    </row>
    <row r="77" spans="2:6" x14ac:dyDescent="0.25">
      <c r="B77">
        <v>76</v>
      </c>
      <c r="C77" t="s">
        <v>149</v>
      </c>
      <c r="D77" t="s">
        <v>82</v>
      </c>
      <c r="E77">
        <v>0.91468797064200003</v>
      </c>
      <c r="F77">
        <v>0</v>
      </c>
    </row>
    <row r="78" spans="2:6" x14ac:dyDescent="0.25">
      <c r="B78">
        <v>77</v>
      </c>
      <c r="C78" t="s">
        <v>150</v>
      </c>
      <c r="D78" t="s">
        <v>82</v>
      </c>
      <c r="E78">
        <v>-1.1830909132</v>
      </c>
      <c r="F78">
        <v>0</v>
      </c>
    </row>
    <row r="79" spans="2:6" x14ac:dyDescent="0.25">
      <c r="B79">
        <v>78</v>
      </c>
      <c r="C79" t="s">
        <v>151</v>
      </c>
      <c r="D79" t="s">
        <v>82</v>
      </c>
      <c r="E79">
        <v>1.4576625009499999</v>
      </c>
      <c r="F79">
        <v>0</v>
      </c>
    </row>
    <row r="80" spans="2:6" x14ac:dyDescent="0.25">
      <c r="B80">
        <v>79</v>
      </c>
      <c r="C80" t="s">
        <v>152</v>
      </c>
      <c r="D80" t="s">
        <v>82</v>
      </c>
      <c r="E80">
        <v>-1.62636517084</v>
      </c>
      <c r="F80">
        <v>0</v>
      </c>
    </row>
    <row r="81" spans="2:11" x14ac:dyDescent="0.25">
      <c r="B81">
        <v>80</v>
      </c>
      <c r="C81" t="s">
        <v>153</v>
      </c>
      <c r="D81" t="s">
        <v>82</v>
      </c>
      <c r="E81">
        <v>0</v>
      </c>
      <c r="F81">
        <v>0</v>
      </c>
    </row>
    <row r="82" spans="2:11" x14ac:dyDescent="0.25">
      <c r="B82">
        <v>98</v>
      </c>
      <c r="C82" t="s">
        <v>155</v>
      </c>
      <c r="D82" t="s">
        <v>119</v>
      </c>
      <c r="E82">
        <v>0.196143079927</v>
      </c>
      <c r="F82" s="50">
        <v>5.2787786365599998E-2</v>
      </c>
    </row>
    <row r="83" spans="2:11" x14ac:dyDescent="0.25">
      <c r="B83">
        <v>-1</v>
      </c>
      <c r="F83" s="50"/>
    </row>
    <row r="84" spans="2:11" x14ac:dyDescent="0.25">
      <c r="B84">
        <v>4094</v>
      </c>
      <c r="C84" s="50">
        <v>-7858.2822859199996</v>
      </c>
      <c r="D84" s="50">
        <v>-18684.837435699999</v>
      </c>
      <c r="E84" s="50">
        <v>-15176.5511826</v>
      </c>
    </row>
    <row r="85" spans="2:11" x14ac:dyDescent="0.25">
      <c r="B85">
        <v>4</v>
      </c>
      <c r="C85" s="50" t="s">
        <v>285</v>
      </c>
      <c r="D85" s="50" t="s">
        <v>264</v>
      </c>
      <c r="E85" s="50">
        <v>5</v>
      </c>
      <c r="F85" t="s">
        <v>284</v>
      </c>
      <c r="G85">
        <v>12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-93357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21016</v>
      </c>
    </row>
    <row r="160" spans="2:11" x14ac:dyDescent="0.25">
      <c r="B160">
        <v>-15064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61408</v>
      </c>
      <c r="J163">
        <v>-67476</v>
      </c>
      <c r="K163">
        <v>11445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2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2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2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2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2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2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25"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2:11" x14ac:dyDescent="0.25"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2:11" x14ac:dyDescent="0.25"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2:11" x14ac:dyDescent="0.25"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2:11" x14ac:dyDescent="0.25"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</row>
    <row r="309" spans="2:11" x14ac:dyDescent="0.25"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</row>
    <row r="310" spans="2:11" x14ac:dyDescent="0.25"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</row>
    <row r="311" spans="2:11" x14ac:dyDescent="0.25"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</row>
    <row r="312" spans="2:11" x14ac:dyDescent="0.25"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2:11" x14ac:dyDescent="0.25"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2:11" x14ac:dyDescent="0.2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2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25"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2:11" x14ac:dyDescent="0.25"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2:11" x14ac:dyDescent="0.2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2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2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2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2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2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2:11" x14ac:dyDescent="0.25"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</row>
    <row r="328" spans="2:11" x14ac:dyDescent="0.25"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2:11" x14ac:dyDescent="0.25"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2:11" x14ac:dyDescent="0.25"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2:11" x14ac:dyDescent="0.25"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2:11" x14ac:dyDescent="0.25"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2:11" x14ac:dyDescent="0.25"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2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2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2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2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2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2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2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2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2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2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2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25">
      <c r="B345">
        <v>0</v>
      </c>
      <c r="C345">
        <v>0</v>
      </c>
      <c r="D345">
        <v>99207</v>
      </c>
      <c r="E345">
        <v>-91957</v>
      </c>
      <c r="F345">
        <v>23803</v>
      </c>
      <c r="G345">
        <v>66371</v>
      </c>
      <c r="H345">
        <v>0</v>
      </c>
      <c r="I345">
        <v>0</v>
      </c>
      <c r="J345">
        <v>0</v>
      </c>
      <c r="K345">
        <v>0</v>
      </c>
    </row>
    <row r="346" spans="2:11" x14ac:dyDescent="0.2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2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</row>
    <row r="348" spans="2:11" x14ac:dyDescent="0.25"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2:11" x14ac:dyDescent="0.25"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W75"/>
  <sheetViews>
    <sheetView workbookViewId="0">
      <selection activeCell="T11" sqref="T11"/>
    </sheetView>
  </sheetViews>
  <sheetFormatPr defaultRowHeight="15" x14ac:dyDescent="0.25"/>
  <cols>
    <col min="1" max="1" bestFit="true" customWidth="true" width="12.7109375" collapsed="true"/>
    <col min="2" max="2" bestFit="true" customWidth="true" width="9.5703125" collapsed="true"/>
    <col min="7" max="7" bestFit="true" customWidth="true" width="12.7109375" collapsed="true"/>
    <col min="13" max="13" bestFit="true" customWidth="true" width="10.85546875" collapsed="true"/>
    <col min="14" max="14" bestFit="true" customWidth="true" width="16.42578125" collapsed="true"/>
    <col min="15" max="15" bestFit="true" customWidth="true" width="9.42578125" collapsed="true"/>
    <col min="16" max="16" customWidth="true" width="5.5703125" collapsed="true"/>
    <col min="17" max="17" bestFit="true" customWidth="true" width="16.42578125" collapsed="true"/>
    <col min="21" max="21" bestFit="true" customWidth="true" width="10.0" collapsed="true"/>
    <col min="22" max="23" bestFit="true" customWidth="true" width="17.5703125" collapsed="true"/>
  </cols>
  <sheetData>
    <row r="1" spans="1:23" x14ac:dyDescent="0.25">
      <c r="M1" s="53" t="s">
        <v>266</v>
      </c>
      <c r="T1" s="53" t="s">
        <v>256</v>
      </c>
    </row>
    <row r="2" spans="1:23" x14ac:dyDescent="0.25">
      <c r="M2">
        <v>1</v>
      </c>
      <c r="N2" t="s">
        <v>274</v>
      </c>
      <c r="V2" s="64" t="s">
        <v>271</v>
      </c>
      <c r="W2" s="64" t="s">
        <v>272</v>
      </c>
    </row>
    <row r="3" spans="1:23" x14ac:dyDescent="0.25">
      <c r="M3">
        <v>2</v>
      </c>
      <c r="N3" t="s">
        <v>275</v>
      </c>
      <c r="T3">
        <v>1</v>
      </c>
      <c r="U3" t="s">
        <v>81</v>
      </c>
      <c r="V3" s="58">
        <f>WorkLocationCoefficients!E11</f>
        <v>1</v>
      </c>
      <c r="W3" s="63">
        <f>V3</f>
        <v>1</v>
      </c>
    </row>
    <row r="4" spans="1:23" x14ac:dyDescent="0.25">
      <c r="C4" s="11" t="s">
        <v>228</v>
      </c>
      <c r="I4" s="11" t="s">
        <v>249</v>
      </c>
      <c r="T4">
        <v>2</v>
      </c>
      <c r="U4" t="s">
        <v>83</v>
      </c>
      <c r="V4" s="58">
        <f>WorkLocationCoefficients!E12</f>
        <v>0.7</v>
      </c>
      <c r="W4" s="63">
        <f t="shared" ref="W4:W67" si="0">V4</f>
        <v>0.7</v>
      </c>
    </row>
    <row r="5" spans="1:23" ht="15.75" thickBot="1" x14ac:dyDescent="0.3">
      <c r="A5" s="53" t="s">
        <v>250</v>
      </c>
      <c r="M5" s="79"/>
      <c r="N5" s="47"/>
      <c r="O5" s="47"/>
      <c r="P5" s="47"/>
      <c r="Q5" s="47"/>
      <c r="T5">
        <v>3</v>
      </c>
      <c r="U5" t="s">
        <v>84</v>
      </c>
      <c r="V5" s="58">
        <f>WorkLocationCoefficients!E13</f>
        <v>1</v>
      </c>
      <c r="W5" s="63">
        <f t="shared" si="0"/>
        <v>1</v>
      </c>
    </row>
    <row r="6" spans="1:23" x14ac:dyDescent="0.25">
      <c r="A6" s="5" t="s">
        <v>3</v>
      </c>
      <c r="B6" s="5" t="s">
        <v>12</v>
      </c>
      <c r="C6" s="5" t="s">
        <v>13</v>
      </c>
      <c r="D6" s="5" t="s">
        <v>14</v>
      </c>
      <c r="E6" s="5" t="s">
        <v>248</v>
      </c>
      <c r="G6" s="5" t="s">
        <v>3</v>
      </c>
      <c r="H6" s="5" t="s">
        <v>12</v>
      </c>
      <c r="I6" s="5" t="s">
        <v>13</v>
      </c>
      <c r="J6" s="5" t="s">
        <v>14</v>
      </c>
      <c r="K6" s="5" t="s">
        <v>248</v>
      </c>
      <c r="M6" s="80"/>
      <c r="N6" s="80"/>
      <c r="O6" s="80"/>
      <c r="P6" s="80"/>
      <c r="Q6" s="80"/>
      <c r="T6">
        <v>4</v>
      </c>
      <c r="U6" t="s">
        <v>85</v>
      </c>
      <c r="V6" s="58">
        <f>WorkLocationCoefficients!E14</f>
        <v>0.5</v>
      </c>
      <c r="W6" s="63">
        <f t="shared" si="0"/>
        <v>0.5</v>
      </c>
    </row>
    <row r="7" spans="1:23" x14ac:dyDescent="0.25">
      <c r="A7" s="52" t="s">
        <v>244</v>
      </c>
      <c r="B7" s="12">
        <f>SUM(TLFD!B11:B13)+0.5*(TLFD!B14)</f>
        <v>76194.469291241097</v>
      </c>
      <c r="C7" s="12">
        <f>SUM(TLFD!C11:C13)+0.5*(TLFD!C14)</f>
        <v>20727.102802502108</v>
      </c>
      <c r="D7" s="12">
        <f>SUM(TLFD!D11:D13)+0.5*(TLFD!D14)</f>
        <v>8749.473739633966</v>
      </c>
      <c r="E7" s="12">
        <f>SUM(B7:D7)</f>
        <v>105671.04583337717</v>
      </c>
      <c r="G7" s="52" t="s">
        <v>244</v>
      </c>
      <c r="H7" s="12">
        <f>SUM(TLFD!H11:H13)+0.5*(TLFD!H14)</f>
        <v>89379.5</v>
      </c>
      <c r="I7" s="12">
        <f>SUM(TLFD!I11:I13)+0.5*(TLFD!I14)</f>
        <v>26420</v>
      </c>
      <c r="J7" s="12">
        <f>SUM(TLFD!J11:J13)+0.5*(TLFD!J14)</f>
        <v>12143</v>
      </c>
      <c r="K7" s="12">
        <f>SUM(H7:J7)</f>
        <v>127942.5</v>
      </c>
      <c r="M7" s="47"/>
      <c r="N7" s="68"/>
      <c r="O7" s="69"/>
      <c r="P7" s="69"/>
      <c r="Q7" s="68"/>
      <c r="T7">
        <v>5</v>
      </c>
      <c r="U7" t="s">
        <v>86</v>
      </c>
      <c r="V7" s="58">
        <f>WorkLocationCoefficients!E15</f>
        <v>0</v>
      </c>
      <c r="W7" s="63">
        <f t="shared" si="0"/>
        <v>0</v>
      </c>
    </row>
    <row r="8" spans="1:23" x14ac:dyDescent="0.25">
      <c r="A8" s="52" t="s">
        <v>245</v>
      </c>
      <c r="B8" s="12">
        <f>0.5*(TLFD!B14)+SUM(TLFD!B15:B20)</f>
        <v>151232.61022633014</v>
      </c>
      <c r="C8" s="12">
        <f>0.5*(TLFD!C14)+SUM(TLFD!C15:C20)</f>
        <v>21655.360548699777</v>
      </c>
      <c r="D8" s="12">
        <f>0.5*(TLFD!D14)+SUM(TLFD!D15:D20)</f>
        <v>12492.734889403133</v>
      </c>
      <c r="E8" s="12">
        <f>SUM(B8:D8)</f>
        <v>185380.70566443304</v>
      </c>
      <c r="G8" s="52" t="s">
        <v>245</v>
      </c>
      <c r="H8" s="12">
        <f>0.5*(TLFD!H14)+SUM(TLFD!H15:H20)</f>
        <v>177495.5</v>
      </c>
      <c r="I8" s="12">
        <f>0.5*(TLFD!I14)+SUM(TLFD!I15:I20)</f>
        <v>31358</v>
      </c>
      <c r="J8" s="12">
        <f>0.5*(TLFD!J14)+SUM(TLFD!J15:J20)</f>
        <v>14250</v>
      </c>
      <c r="K8" s="12">
        <f>SUM(H8:J8)</f>
        <v>223103.5</v>
      </c>
      <c r="M8" s="47" t="s">
        <v>288</v>
      </c>
      <c r="N8" s="68"/>
      <c r="O8" s="69"/>
      <c r="P8" s="69"/>
      <c r="Q8" s="68"/>
      <c r="T8" s="57">
        <v>6</v>
      </c>
      <c r="U8" s="57" t="s">
        <v>87</v>
      </c>
      <c r="V8" s="59">
        <f>WorkLocationCoefficients!E16</f>
        <v>-4.1530549264700003</v>
      </c>
      <c r="W8" s="63">
        <f>Q14</f>
        <v>-4.1530549264700003</v>
      </c>
    </row>
    <row r="9" spans="1:23" x14ac:dyDescent="0.25">
      <c r="A9" s="70" t="s">
        <v>246</v>
      </c>
      <c r="B9" s="71">
        <f>SUM(TLFD!B21:B101)</f>
        <v>277435.54737871961</v>
      </c>
      <c r="C9" s="71">
        <f>SUM(TLFD!C21:C101)</f>
        <v>21894.998857928145</v>
      </c>
      <c r="D9" s="71">
        <f>SUM(TLFD!D21:D101)</f>
        <v>9281.6272151925095</v>
      </c>
      <c r="E9" s="71">
        <f>SUM(B9:D9)</f>
        <v>308612.1734518403</v>
      </c>
      <c r="G9" s="70" t="s">
        <v>246</v>
      </c>
      <c r="H9" s="71">
        <f>SUM(TLFD!H21:H101)</f>
        <v>321874</v>
      </c>
      <c r="I9" s="71">
        <f>SUM(TLFD!I21:I101)</f>
        <v>23840</v>
      </c>
      <c r="J9" s="71">
        <f>SUM(TLFD!J21:J101)</f>
        <v>9222</v>
      </c>
      <c r="K9" s="71">
        <f>SUM(H9:J9)</f>
        <v>354936</v>
      </c>
      <c r="M9" s="47" t="s">
        <v>289</v>
      </c>
      <c r="N9" s="68"/>
      <c r="O9" s="69"/>
      <c r="P9" s="69"/>
      <c r="Q9" s="68"/>
      <c r="T9" s="57">
        <v>7</v>
      </c>
      <c r="U9" s="57" t="s">
        <v>88</v>
      </c>
      <c r="V9" s="59">
        <f>WorkLocationCoefficients!E17</f>
        <v>-1.68452606998</v>
      </c>
      <c r="W9" s="63">
        <f t="shared" ref="W9:W10" si="1">Q15</f>
        <v>-1.6850497390523125</v>
      </c>
    </row>
    <row r="10" spans="1:23" ht="15.75" thickBot="1" x14ac:dyDescent="0.3">
      <c r="A10" s="74" t="s">
        <v>4</v>
      </c>
      <c r="B10" s="75">
        <f>SUM(B7:B9)</f>
        <v>504862.62689629087</v>
      </c>
      <c r="C10" s="75">
        <f t="shared" ref="C10:E10" si="2">SUM(C7:C9)</f>
        <v>64277.462209130026</v>
      </c>
      <c r="D10" s="75">
        <f t="shared" si="2"/>
        <v>30523.835844229608</v>
      </c>
      <c r="E10" s="75">
        <f t="shared" si="2"/>
        <v>599663.92494965054</v>
      </c>
      <c r="F10" s="47"/>
      <c r="G10" s="74" t="s">
        <v>4</v>
      </c>
      <c r="H10" s="75">
        <f>SUM(H7:H9)</f>
        <v>588749</v>
      </c>
      <c r="I10" s="75">
        <f t="shared" ref="I10:K10" si="3">SUM(I7:I9)</f>
        <v>81618</v>
      </c>
      <c r="J10" s="75">
        <f t="shared" si="3"/>
        <v>35615</v>
      </c>
      <c r="K10" s="75">
        <f t="shared" si="3"/>
        <v>705982</v>
      </c>
      <c r="L10" s="47"/>
      <c r="M10" s="47" t="s">
        <v>290</v>
      </c>
      <c r="N10" s="47"/>
      <c r="O10" s="47"/>
      <c r="P10" s="47"/>
      <c r="Q10" s="47"/>
      <c r="T10" s="57">
        <v>8</v>
      </c>
      <c r="U10" s="57" t="s">
        <v>89</v>
      </c>
      <c r="V10" s="59">
        <f>WorkLocationCoefficients!E18</f>
        <v>0.13162300973999999</v>
      </c>
      <c r="W10" s="63">
        <f t="shared" si="1"/>
        <v>0.1490665198494944</v>
      </c>
    </row>
    <row r="11" spans="1:23" x14ac:dyDescent="0.25">
      <c r="T11">
        <v>9</v>
      </c>
      <c r="U11" t="s">
        <v>90</v>
      </c>
      <c r="V11" s="58">
        <f>WorkLocationCoefficients!E19</f>
        <v>-3.1050660724200001</v>
      </c>
      <c r="W11" s="63">
        <f t="shared" si="0"/>
        <v>-3.1050660724200001</v>
      </c>
    </row>
    <row r="12" spans="1:23" ht="15.75" thickBot="1" x14ac:dyDescent="0.3">
      <c r="A12" s="65" t="s">
        <v>286</v>
      </c>
      <c r="M12" s="11" t="s">
        <v>255</v>
      </c>
      <c r="T12">
        <v>10</v>
      </c>
      <c r="U12" t="s">
        <v>91</v>
      </c>
      <c r="V12" s="58">
        <f>WorkLocationCoefficients!E20</f>
        <v>-3.4653118418800002</v>
      </c>
      <c r="W12" s="63">
        <f t="shared" si="0"/>
        <v>-3.4653118418800002</v>
      </c>
    </row>
    <row r="13" spans="1:23" x14ac:dyDescent="0.25">
      <c r="A13" s="5" t="s">
        <v>3</v>
      </c>
      <c r="B13" s="5" t="s">
        <v>12</v>
      </c>
      <c r="C13" s="5" t="s">
        <v>13</v>
      </c>
      <c r="D13" s="5" t="s">
        <v>14</v>
      </c>
      <c r="E13" s="5" t="s">
        <v>248</v>
      </c>
      <c r="G13" s="5" t="s">
        <v>3</v>
      </c>
      <c r="H13" s="5" t="s">
        <v>12</v>
      </c>
      <c r="I13" s="5" t="s">
        <v>13</v>
      </c>
      <c r="J13" s="5" t="s">
        <v>14</v>
      </c>
      <c r="K13" s="5" t="s">
        <v>248</v>
      </c>
      <c r="M13" s="5" t="s">
        <v>257</v>
      </c>
      <c r="N13" s="5" t="s">
        <v>253</v>
      </c>
      <c r="O13" s="5" t="s">
        <v>251</v>
      </c>
      <c r="P13" s="5" t="s">
        <v>252</v>
      </c>
      <c r="Q13" s="5" t="s">
        <v>254</v>
      </c>
      <c r="T13">
        <v>11</v>
      </c>
      <c r="U13" t="s">
        <v>92</v>
      </c>
      <c r="V13" s="58">
        <f>WorkLocationCoefficients!E21</f>
        <v>-0.22974879339000001</v>
      </c>
      <c r="W13" s="63">
        <f t="shared" si="0"/>
        <v>-0.22974879339000001</v>
      </c>
    </row>
    <row r="14" spans="1:23" x14ac:dyDescent="0.25">
      <c r="A14" s="52" t="s">
        <v>244</v>
      </c>
      <c r="B14" s="84">
        <f>B7/B$10</f>
        <v>0.15092119169061211</v>
      </c>
      <c r="C14" s="76">
        <f t="shared" ref="C14:E14" si="4">C7/C$10</f>
        <v>0.32246299231704906</v>
      </c>
      <c r="D14" s="76">
        <f t="shared" si="4"/>
        <v>0.28664397830877519</v>
      </c>
      <c r="E14" s="76">
        <f t="shared" si="4"/>
        <v>0.17621711334769655</v>
      </c>
      <c r="G14" s="52" t="s">
        <v>244</v>
      </c>
      <c r="H14" s="84">
        <f>H7/H$10</f>
        <v>0.15181257208080184</v>
      </c>
      <c r="I14" s="76">
        <f t="shared" ref="I14:K14" si="5">I7/I$10</f>
        <v>0.32370310470729496</v>
      </c>
      <c r="J14" s="76">
        <f t="shared" si="5"/>
        <v>0.34095184613224766</v>
      </c>
      <c r="K14" s="76">
        <f t="shared" si="5"/>
        <v>0.18122629188846173</v>
      </c>
      <c r="M14">
        <v>6</v>
      </c>
      <c r="N14" s="60">
        <f>V8</f>
        <v>-4.1530549264700003</v>
      </c>
      <c r="O14" s="9">
        <f>B14/H14</f>
        <v>0.99412841520321982</v>
      </c>
      <c r="P14" s="9">
        <f>LN(O14)-LN(O$14)</f>
        <v>0</v>
      </c>
      <c r="Q14" s="59">
        <f>N14+P14</f>
        <v>-4.1530549264700003</v>
      </c>
      <c r="T14">
        <v>12</v>
      </c>
      <c r="U14" t="s">
        <v>93</v>
      </c>
      <c r="V14" s="58">
        <f>WorkLocationCoefficients!E22</f>
        <v>-0.93478838755000004</v>
      </c>
      <c r="W14" s="63">
        <f t="shared" si="0"/>
        <v>-0.93478838755000004</v>
      </c>
    </row>
    <row r="15" spans="1:23" x14ac:dyDescent="0.25">
      <c r="A15" s="52" t="s">
        <v>245</v>
      </c>
      <c r="B15" s="84">
        <f t="shared" ref="B15:E15" si="6">B8/B$10</f>
        <v>0.29955200121675163</v>
      </c>
      <c r="C15" s="76">
        <f t="shared" si="6"/>
        <v>0.33690441103979724</v>
      </c>
      <c r="D15" s="76">
        <f t="shared" si="6"/>
        <v>0.40927801319455814</v>
      </c>
      <c r="E15" s="76">
        <f t="shared" si="6"/>
        <v>0.30914100040284753</v>
      </c>
      <c r="G15" s="52" t="s">
        <v>245</v>
      </c>
      <c r="H15" s="84">
        <f t="shared" ref="H15:K15" si="7">H8/H$10</f>
        <v>0.30147906832962773</v>
      </c>
      <c r="I15" s="76">
        <f t="shared" si="7"/>
        <v>0.38420446470141389</v>
      </c>
      <c r="J15" s="76">
        <f t="shared" si="7"/>
        <v>0.40011231222799382</v>
      </c>
      <c r="K15" s="76">
        <f t="shared" si="7"/>
        <v>0.31601868036295544</v>
      </c>
      <c r="M15">
        <v>7</v>
      </c>
      <c r="N15" s="60">
        <f t="shared" ref="N15:N16" si="8">V9</f>
        <v>-1.68452606998</v>
      </c>
      <c r="O15" s="9">
        <f>B15/H15</f>
        <v>0.99360795718404871</v>
      </c>
      <c r="P15" s="9">
        <f t="shared" ref="P15" si="9">LN(O15)-LN(O$14)</f>
        <v>-5.2366907231241912E-4</v>
      </c>
      <c r="Q15" s="59">
        <f>N15+P15</f>
        <v>-1.6850497390523125</v>
      </c>
      <c r="T15">
        <v>13</v>
      </c>
      <c r="U15" t="s">
        <v>94</v>
      </c>
      <c r="V15" s="58">
        <f>WorkLocationCoefficients!E23</f>
        <v>0.40796503771199999</v>
      </c>
      <c r="W15" s="63">
        <f t="shared" si="0"/>
        <v>0.40796503771199999</v>
      </c>
    </row>
    <row r="16" spans="1:23" x14ac:dyDescent="0.25">
      <c r="A16" s="70" t="s">
        <v>246</v>
      </c>
      <c r="B16" s="84">
        <f t="shared" ref="B16:E16" si="10">B9/B$10</f>
        <v>0.54952680709263624</v>
      </c>
      <c r="C16" s="76">
        <f t="shared" si="10"/>
        <v>0.34063259664315371</v>
      </c>
      <c r="D16" s="76">
        <f t="shared" si="10"/>
        <v>0.30407800849666666</v>
      </c>
      <c r="E16" s="76">
        <f t="shared" si="10"/>
        <v>0.51464188624945584</v>
      </c>
      <c r="G16" s="70" t="s">
        <v>246</v>
      </c>
      <c r="H16" s="84">
        <f t="shared" ref="H16:K16" si="11">H9/H$10</f>
        <v>0.54670835958957043</v>
      </c>
      <c r="I16" s="76">
        <f t="shared" si="11"/>
        <v>0.29209243059129114</v>
      </c>
      <c r="J16" s="76">
        <f t="shared" si="11"/>
        <v>0.25893584163975852</v>
      </c>
      <c r="K16" s="76">
        <f t="shared" si="11"/>
        <v>0.50275502774858283</v>
      </c>
      <c r="L16" s="47"/>
      <c r="M16" s="6">
        <v>8</v>
      </c>
      <c r="N16" s="61">
        <f t="shared" si="8"/>
        <v>0.13162300973999999</v>
      </c>
      <c r="O16" s="14">
        <f>B16/H16</f>
        <v>1.0051553034696263</v>
      </c>
      <c r="P16" s="14">
        <f>LN(O16)-LN(O15)-LN(O$14)</f>
        <v>1.7443510109494405E-2</v>
      </c>
      <c r="Q16" s="62">
        <f>N16+P16</f>
        <v>0.1490665198494944</v>
      </c>
      <c r="T16">
        <v>14</v>
      </c>
      <c r="U16" t="s">
        <v>95</v>
      </c>
      <c r="V16" s="58">
        <f>WorkLocationCoefficients!E24</f>
        <v>-0.50293651045300003</v>
      </c>
      <c r="W16" s="63">
        <f t="shared" si="0"/>
        <v>-0.50293651045300003</v>
      </c>
    </row>
    <row r="17" spans="1:23" ht="15.75" thickBot="1" x14ac:dyDescent="0.3">
      <c r="A17" s="74" t="s">
        <v>4</v>
      </c>
      <c r="B17" s="77">
        <f t="shared" ref="B17" si="12">B10/B$10</f>
        <v>1</v>
      </c>
      <c r="C17" s="77">
        <f t="shared" ref="C17" si="13">SUM(C14:C16)</f>
        <v>1</v>
      </c>
      <c r="D17" s="77">
        <f t="shared" ref="D17" si="14">SUM(D14:D16)</f>
        <v>1</v>
      </c>
      <c r="E17" s="77">
        <f t="shared" ref="E17" si="15">SUM(E14:E16)</f>
        <v>0.99999999999999989</v>
      </c>
      <c r="F17" s="47"/>
      <c r="G17" s="74" t="s">
        <v>4</v>
      </c>
      <c r="H17" s="77">
        <f>SUM(H14:H16)</f>
        <v>1</v>
      </c>
      <c r="I17" s="77">
        <f t="shared" ref="I17" si="16">SUM(I14:I16)</f>
        <v>1</v>
      </c>
      <c r="J17" s="77">
        <f t="shared" ref="J17" si="17">SUM(J14:J16)</f>
        <v>1</v>
      </c>
      <c r="K17" s="77">
        <f t="shared" ref="K17" si="18">SUM(K14:K16)</f>
        <v>1</v>
      </c>
      <c r="L17" s="47"/>
      <c r="M17" s="47"/>
      <c r="N17" s="68"/>
      <c r="O17" s="69"/>
      <c r="P17" s="69"/>
      <c r="Q17" s="68"/>
      <c r="T17">
        <v>15</v>
      </c>
      <c r="U17" t="s">
        <v>96</v>
      </c>
      <c r="V17" s="58">
        <f>WorkLocationCoefficients!E25</f>
        <v>-1.61322160644</v>
      </c>
      <c r="W17" s="63">
        <f t="shared" si="0"/>
        <v>-1.61322160644</v>
      </c>
    </row>
    <row r="18" spans="1:23" x14ac:dyDescent="0.25">
      <c r="A18" s="66"/>
      <c r="B18" s="67"/>
      <c r="C18" s="67"/>
      <c r="D18" s="67"/>
      <c r="E18" s="67"/>
      <c r="F18" s="47"/>
      <c r="G18" s="66"/>
      <c r="H18" s="67"/>
      <c r="I18" s="67"/>
      <c r="J18" s="67"/>
      <c r="K18" s="67"/>
      <c r="L18" s="47"/>
      <c r="M18" s="47"/>
      <c r="N18" s="68"/>
      <c r="O18" s="69"/>
      <c r="P18" s="69"/>
      <c r="Q18" s="68"/>
      <c r="T18">
        <v>16</v>
      </c>
      <c r="U18" t="s">
        <v>97</v>
      </c>
      <c r="V18" s="58">
        <f>WorkLocationCoefficients!E26</f>
        <v>0.130749629122</v>
      </c>
      <c r="W18" s="63">
        <f t="shared" si="0"/>
        <v>0.130749629122</v>
      </c>
    </row>
    <row r="19" spans="1:23" x14ac:dyDescent="0.25">
      <c r="A19" s="66"/>
      <c r="B19" s="67"/>
      <c r="C19" s="67"/>
      <c r="D19" s="67"/>
      <c r="E19" s="67"/>
      <c r="F19" s="47"/>
      <c r="G19" s="66"/>
      <c r="H19" s="67"/>
      <c r="I19" s="67"/>
      <c r="J19" s="67"/>
      <c r="K19" s="67"/>
      <c r="L19" s="47"/>
      <c r="M19" s="47"/>
      <c r="N19" s="68"/>
      <c r="O19" s="69"/>
      <c r="P19" s="69"/>
      <c r="Q19" s="68"/>
      <c r="R19" s="7"/>
      <c r="T19">
        <v>17</v>
      </c>
      <c r="U19" t="s">
        <v>98</v>
      </c>
      <c r="V19" s="58">
        <f>WorkLocationCoefficients!E27</f>
        <v>8.4077289836199998E-2</v>
      </c>
      <c r="W19" s="63">
        <f t="shared" si="0"/>
        <v>8.4077289836199998E-2</v>
      </c>
    </row>
    <row r="20" spans="1:23" x14ac:dyDescent="0.25">
      <c r="A20" s="47"/>
      <c r="B20" s="67"/>
      <c r="C20" s="67"/>
      <c r="D20" s="67"/>
      <c r="E20" s="67"/>
      <c r="F20" s="47"/>
      <c r="G20" s="47"/>
      <c r="H20" s="67"/>
      <c r="I20" s="67"/>
      <c r="J20" s="67"/>
      <c r="K20" s="67"/>
      <c r="L20" s="47"/>
      <c r="M20" s="47"/>
      <c r="N20" s="47"/>
      <c r="O20" s="47"/>
      <c r="P20" s="47"/>
      <c r="Q20" s="47"/>
      <c r="T20">
        <v>18</v>
      </c>
      <c r="U20" t="s">
        <v>99</v>
      </c>
      <c r="V20" s="58">
        <f>WorkLocationCoefficients!E28</f>
        <v>0</v>
      </c>
      <c r="W20" s="63">
        <f t="shared" si="0"/>
        <v>0</v>
      </c>
    </row>
    <row r="21" spans="1:23" x14ac:dyDescent="0.25">
      <c r="T21">
        <v>19</v>
      </c>
      <c r="U21" t="s">
        <v>100</v>
      </c>
      <c r="V21" s="58">
        <f>WorkLocationCoefficients!E29</f>
        <v>0.106386053639</v>
      </c>
      <c r="W21" s="63">
        <f t="shared" si="0"/>
        <v>0.106386053639</v>
      </c>
    </row>
    <row r="22" spans="1:23" x14ac:dyDescent="0.25">
      <c r="N22" s="54"/>
      <c r="Q22" s="55"/>
      <c r="T22">
        <v>20</v>
      </c>
      <c r="U22" t="s">
        <v>101</v>
      </c>
      <c r="V22" s="58">
        <f>WorkLocationCoefficients!E30</f>
        <v>0.88087687792799996</v>
      </c>
      <c r="W22" s="63">
        <f t="shared" si="0"/>
        <v>0.88087687792799996</v>
      </c>
    </row>
    <row r="23" spans="1:23" x14ac:dyDescent="0.25">
      <c r="A23" s="65" t="s">
        <v>277</v>
      </c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T23">
        <v>21</v>
      </c>
      <c r="U23" t="s">
        <v>102</v>
      </c>
      <c r="V23" s="58">
        <f>WorkLocationCoefficients!E31</f>
        <v>-0.16458061134300001</v>
      </c>
      <c r="W23" s="63">
        <f t="shared" si="0"/>
        <v>-0.16458061134300001</v>
      </c>
    </row>
    <row r="24" spans="1:23" ht="15.75" thickBot="1" x14ac:dyDescent="0.3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T24">
        <v>22</v>
      </c>
      <c r="U24" t="s">
        <v>103</v>
      </c>
      <c r="V24" s="58">
        <f>WorkLocationCoefficients!E32</f>
        <v>0.154182014038</v>
      </c>
      <c r="W24" s="63">
        <f t="shared" si="0"/>
        <v>0.154182014038</v>
      </c>
    </row>
    <row r="25" spans="1:23" x14ac:dyDescent="0.25">
      <c r="A25" s="5"/>
      <c r="B25" s="5" t="s">
        <v>287</v>
      </c>
      <c r="C25" s="78"/>
      <c r="D25" s="78"/>
      <c r="E25" s="78"/>
      <c r="G25" s="5"/>
      <c r="H25" s="5" t="s">
        <v>287</v>
      </c>
      <c r="I25" s="78"/>
      <c r="J25" s="78"/>
      <c r="K25" s="78"/>
      <c r="M25" s="80"/>
      <c r="N25" s="80"/>
      <c r="O25" s="80"/>
      <c r="P25" s="80"/>
      <c r="Q25" s="80"/>
      <c r="T25">
        <v>23</v>
      </c>
      <c r="U25" t="s">
        <v>104</v>
      </c>
      <c r="V25" s="58">
        <f>WorkLocationCoefficients!E33</f>
        <v>4.79448884421E-2</v>
      </c>
      <c r="W25" s="63">
        <f t="shared" si="0"/>
        <v>4.79448884421E-2</v>
      </c>
    </row>
    <row r="26" spans="1:23" x14ac:dyDescent="0.25">
      <c r="A26" s="72" t="s">
        <v>247</v>
      </c>
      <c r="B26" s="73">
        <f>WorkAtHome!E14</f>
        <v>19471.927305737507</v>
      </c>
      <c r="C26" s="81"/>
      <c r="D26" s="81"/>
      <c r="E26" s="81"/>
      <c r="G26" s="72" t="s">
        <v>247</v>
      </c>
      <c r="H26" s="73">
        <f>WorkAtHome!L14</f>
        <v>22647</v>
      </c>
      <c r="I26" s="81"/>
      <c r="J26" s="81"/>
      <c r="K26" s="81"/>
      <c r="L26" s="47"/>
      <c r="M26" s="47"/>
      <c r="N26" s="68"/>
      <c r="O26" s="69"/>
      <c r="P26" s="69"/>
      <c r="Q26" s="68"/>
      <c r="T26">
        <v>24</v>
      </c>
      <c r="U26" t="s">
        <v>105</v>
      </c>
      <c r="V26" s="58">
        <f>WorkLocationCoefficients!E34</f>
        <v>6.4843520043099998E-2</v>
      </c>
      <c r="W26" s="63">
        <f t="shared" si="0"/>
        <v>6.4843520043099998E-2</v>
      </c>
    </row>
    <row r="27" spans="1:23" ht="15.75" thickBot="1" x14ac:dyDescent="0.3">
      <c r="A27" s="74" t="s">
        <v>4</v>
      </c>
      <c r="B27" s="75">
        <f>WorkAtHome!E25</f>
        <v>599663.92494965054</v>
      </c>
      <c r="G27" s="74" t="s">
        <v>4</v>
      </c>
      <c r="H27" s="75">
        <f>WorkAtHome!L25</f>
        <v>705982</v>
      </c>
      <c r="I27" s="7"/>
      <c r="J27" s="7"/>
      <c r="K27" s="7"/>
      <c r="M27" s="47"/>
      <c r="N27" s="47"/>
      <c r="O27" s="47"/>
      <c r="P27" s="47"/>
      <c r="Q27" s="47"/>
      <c r="T27">
        <v>25</v>
      </c>
      <c r="U27" t="s">
        <v>106</v>
      </c>
      <c r="V27" s="58">
        <f>WorkLocationCoefficients!E35</f>
        <v>0.15272053169499999</v>
      </c>
      <c r="W27" s="63">
        <f t="shared" si="0"/>
        <v>0.15272053169499999</v>
      </c>
    </row>
    <row r="28" spans="1:23" x14ac:dyDescent="0.25">
      <c r="T28">
        <v>26</v>
      </c>
      <c r="U28" t="s">
        <v>107</v>
      </c>
      <c r="V28" s="58">
        <f>WorkLocationCoefficients!E36</f>
        <v>7.2028590735099998E-2</v>
      </c>
      <c r="W28" s="63">
        <f t="shared" si="0"/>
        <v>7.2028590735099998E-2</v>
      </c>
    </row>
    <row r="29" spans="1:23" ht="15.75" thickBot="1" x14ac:dyDescent="0.3">
      <c r="A29" t="s">
        <v>286</v>
      </c>
      <c r="T29">
        <v>27</v>
      </c>
      <c r="U29" t="s">
        <v>108</v>
      </c>
      <c r="V29" s="58">
        <f>WorkLocationCoefficients!E37</f>
        <v>-0.27934224041799999</v>
      </c>
      <c r="W29" s="63">
        <f t="shared" si="0"/>
        <v>-0.27934224041799999</v>
      </c>
    </row>
    <row r="30" spans="1:23" x14ac:dyDescent="0.25">
      <c r="A30" s="5"/>
      <c r="B30" s="5" t="s">
        <v>287</v>
      </c>
      <c r="C30" s="78"/>
      <c r="D30" s="78"/>
      <c r="E30" s="78"/>
      <c r="G30" s="5"/>
      <c r="H30" s="5" t="s">
        <v>287</v>
      </c>
      <c r="I30" s="78"/>
      <c r="J30" s="78"/>
      <c r="K30" s="78"/>
      <c r="M30" s="5" t="s">
        <v>257</v>
      </c>
      <c r="N30" s="5" t="s">
        <v>253</v>
      </c>
      <c r="O30" s="5" t="s">
        <v>251</v>
      </c>
      <c r="P30" s="5" t="s">
        <v>252</v>
      </c>
      <c r="Q30" s="5" t="s">
        <v>254</v>
      </c>
      <c r="T30">
        <v>28</v>
      </c>
      <c r="U30" t="s">
        <v>109</v>
      </c>
      <c r="V30" s="58">
        <f>WorkLocationCoefficients!E38</f>
        <v>4.3626229225700003E-2</v>
      </c>
      <c r="W30" s="63">
        <f t="shared" si="0"/>
        <v>4.3626229225700003E-2</v>
      </c>
    </row>
    <row r="31" spans="1:23" x14ac:dyDescent="0.25">
      <c r="A31" s="72" t="s">
        <v>247</v>
      </c>
      <c r="B31" s="83">
        <f>B26/B27</f>
        <v>3.2471400222003392E-2</v>
      </c>
      <c r="C31" s="81"/>
      <c r="D31" s="81"/>
      <c r="E31" s="81"/>
      <c r="G31" s="72" t="s">
        <v>247</v>
      </c>
      <c r="H31" s="83">
        <f>H26/H27</f>
        <v>3.2078721553807324E-2</v>
      </c>
      <c r="I31" s="81"/>
      <c r="J31" s="81"/>
      <c r="K31" s="81"/>
      <c r="M31" s="6">
        <v>41</v>
      </c>
      <c r="N31" s="61">
        <f>V39</f>
        <v>-3.8051604915000001</v>
      </c>
      <c r="O31" s="14">
        <f>B31/H31</f>
        <v>1.0122410946937959</v>
      </c>
      <c r="P31" s="14">
        <f>LN(O31)</f>
        <v>1.216677835505146E-2</v>
      </c>
      <c r="Q31" s="62">
        <f t="shared" ref="Q31" si="19">N31+P31</f>
        <v>-3.7929937131449485</v>
      </c>
      <c r="T31">
        <v>29</v>
      </c>
      <c r="U31" t="s">
        <v>110</v>
      </c>
      <c r="V31" s="58">
        <f>WorkLocationCoefficients!E39</f>
        <v>-8.7886819411100006E-2</v>
      </c>
      <c r="W31" s="63">
        <f t="shared" si="0"/>
        <v>-8.7886819411100006E-2</v>
      </c>
    </row>
    <row r="32" spans="1:23" ht="15.75" thickBot="1" x14ac:dyDescent="0.3">
      <c r="A32" s="74" t="s">
        <v>4</v>
      </c>
      <c r="B32" s="82">
        <f>B27/B27</f>
        <v>1</v>
      </c>
      <c r="G32" s="74" t="s">
        <v>4</v>
      </c>
      <c r="H32" s="82">
        <f>H27/H27</f>
        <v>1</v>
      </c>
      <c r="T32">
        <v>30</v>
      </c>
      <c r="U32" t="s">
        <v>111</v>
      </c>
      <c r="V32" s="58">
        <f>WorkLocationCoefficients!E40</f>
        <v>-4.2894941477000001E-2</v>
      </c>
      <c r="W32" s="63">
        <f t="shared" si="0"/>
        <v>-4.2894941477000001E-2</v>
      </c>
    </row>
    <row r="33" spans="20:23" x14ac:dyDescent="0.25">
      <c r="T33">
        <v>31</v>
      </c>
      <c r="U33" t="s">
        <v>112</v>
      </c>
      <c r="V33" s="58">
        <f>WorkLocationCoefficients!E41</f>
        <v>-0.13045579928000001</v>
      </c>
      <c r="W33" s="63">
        <f t="shared" si="0"/>
        <v>-0.13045579928000001</v>
      </c>
    </row>
    <row r="34" spans="20:23" x14ac:dyDescent="0.25">
      <c r="T34">
        <v>32</v>
      </c>
      <c r="U34" t="s">
        <v>113</v>
      </c>
      <c r="V34" s="58">
        <f>WorkLocationCoefficients!E42</f>
        <v>0.18945088644899999</v>
      </c>
      <c r="W34" s="63">
        <f t="shared" si="0"/>
        <v>0.18945088644899999</v>
      </c>
    </row>
    <row r="35" spans="20:23" x14ac:dyDescent="0.25">
      <c r="T35">
        <v>33</v>
      </c>
      <c r="U35" t="s">
        <v>114</v>
      </c>
      <c r="V35" s="58">
        <f>WorkLocationCoefficients!E43</f>
        <v>-0.179523169776</v>
      </c>
      <c r="W35" s="63">
        <f t="shared" si="0"/>
        <v>-0.179523169776</v>
      </c>
    </row>
    <row r="36" spans="20:23" x14ac:dyDescent="0.25">
      <c r="T36">
        <v>34</v>
      </c>
      <c r="U36" t="s">
        <v>115</v>
      </c>
      <c r="V36" s="58">
        <f>WorkLocationCoefficients!E44</f>
        <v>0.17233347539499999</v>
      </c>
      <c r="W36" s="63">
        <f t="shared" si="0"/>
        <v>0.17233347539499999</v>
      </c>
    </row>
    <row r="37" spans="20:23" x14ac:dyDescent="0.25">
      <c r="T37">
        <v>35</v>
      </c>
      <c r="U37" t="s">
        <v>116</v>
      </c>
      <c r="V37" s="58">
        <f>WorkLocationCoefficients!E45</f>
        <v>-0.194698386872</v>
      </c>
      <c r="W37" s="63">
        <f t="shared" si="0"/>
        <v>-0.194698386872</v>
      </c>
    </row>
    <row r="38" spans="20:23" x14ac:dyDescent="0.25">
      <c r="T38">
        <v>36</v>
      </c>
      <c r="U38" t="s">
        <v>117</v>
      </c>
      <c r="V38" s="58">
        <f>WorkLocationCoefficients!E46</f>
        <v>0.38785322122799998</v>
      </c>
      <c r="W38" s="63">
        <f t="shared" si="0"/>
        <v>0.38785322122799998</v>
      </c>
    </row>
    <row r="39" spans="20:23" x14ac:dyDescent="0.25">
      <c r="T39" s="57">
        <v>41</v>
      </c>
      <c r="U39" s="57" t="s">
        <v>118</v>
      </c>
      <c r="V39" s="59">
        <f>WorkLocationCoefficients!E47</f>
        <v>-3.8051604915000001</v>
      </c>
      <c r="W39" s="63">
        <f>Q31</f>
        <v>-3.7929937131449485</v>
      </c>
    </row>
    <row r="40" spans="20:23" x14ac:dyDescent="0.25">
      <c r="T40">
        <v>42</v>
      </c>
      <c r="U40" t="s">
        <v>120</v>
      </c>
      <c r="V40" s="58">
        <f>WorkLocationCoefficients!E48</f>
        <v>5.07828619993</v>
      </c>
      <c r="W40" s="63">
        <f t="shared" si="0"/>
        <v>5.07828619993</v>
      </c>
    </row>
    <row r="41" spans="20:23" x14ac:dyDescent="0.25">
      <c r="T41">
        <v>43</v>
      </c>
      <c r="U41" t="s">
        <v>121</v>
      </c>
      <c r="V41" s="58">
        <f>WorkLocationCoefficients!E49</f>
        <v>-3.0390882271000002</v>
      </c>
      <c r="W41" s="63">
        <f t="shared" si="0"/>
        <v>-3.0390882271000002</v>
      </c>
    </row>
    <row r="42" spans="20:23" x14ac:dyDescent="0.25">
      <c r="T42">
        <v>44</v>
      </c>
      <c r="U42" t="s">
        <v>122</v>
      </c>
      <c r="V42" s="58">
        <f>WorkLocationCoefficients!E50</f>
        <v>-2.3320026601800001</v>
      </c>
      <c r="W42" s="63">
        <f t="shared" si="0"/>
        <v>-2.3320026601800001</v>
      </c>
    </row>
    <row r="43" spans="20:23" x14ac:dyDescent="0.25">
      <c r="T43">
        <v>50</v>
      </c>
      <c r="U43" t="s">
        <v>123</v>
      </c>
      <c r="V43" s="58">
        <f>WorkLocationCoefficients!E51</f>
        <v>0.33566647407</v>
      </c>
      <c r="W43" s="63">
        <f t="shared" si="0"/>
        <v>0.33566647407</v>
      </c>
    </row>
    <row r="44" spans="20:23" x14ac:dyDescent="0.25">
      <c r="T44">
        <v>51</v>
      </c>
      <c r="U44" t="s">
        <v>124</v>
      </c>
      <c r="V44" s="58">
        <f>WorkLocationCoefficients!E52</f>
        <v>-0.78911507665199998</v>
      </c>
      <c r="W44" s="63">
        <f t="shared" si="0"/>
        <v>-0.78911507665199998</v>
      </c>
    </row>
    <row r="45" spans="20:23" x14ac:dyDescent="0.25">
      <c r="T45">
        <v>52</v>
      </c>
      <c r="U45" t="s">
        <v>125</v>
      </c>
      <c r="V45" s="58">
        <f>WorkLocationCoefficients!E53</f>
        <v>0.56564055394500001</v>
      </c>
      <c r="W45" s="63">
        <f t="shared" si="0"/>
        <v>0.56564055394500001</v>
      </c>
    </row>
    <row r="46" spans="20:23" x14ac:dyDescent="0.25">
      <c r="T46">
        <v>53</v>
      </c>
      <c r="U46" t="s">
        <v>126</v>
      </c>
      <c r="V46" s="58">
        <f>WorkLocationCoefficients!E54</f>
        <v>-1.85416848242</v>
      </c>
      <c r="W46" s="63">
        <f t="shared" si="0"/>
        <v>-1.85416848242</v>
      </c>
    </row>
    <row r="47" spans="20:23" x14ac:dyDescent="0.25">
      <c r="T47">
        <v>54</v>
      </c>
      <c r="U47" t="s">
        <v>127</v>
      </c>
      <c r="V47" s="58">
        <f>WorkLocationCoefficients!E55</f>
        <v>0</v>
      </c>
      <c r="W47" s="63">
        <f t="shared" si="0"/>
        <v>0</v>
      </c>
    </row>
    <row r="48" spans="20:23" x14ac:dyDescent="0.25">
      <c r="T48">
        <v>55</v>
      </c>
      <c r="U48" t="s">
        <v>128</v>
      </c>
      <c r="V48" s="58">
        <f>WorkLocationCoefficients!E56</f>
        <v>-1.1156286956100001</v>
      </c>
      <c r="W48" s="63">
        <f t="shared" si="0"/>
        <v>-1.1156286956100001</v>
      </c>
    </row>
    <row r="49" spans="20:23" x14ac:dyDescent="0.25">
      <c r="T49">
        <v>56</v>
      </c>
      <c r="U49" t="s">
        <v>129</v>
      </c>
      <c r="V49" s="58">
        <f>WorkLocationCoefficients!E57</f>
        <v>-0.81792869186600003</v>
      </c>
      <c r="W49" s="63">
        <f t="shared" si="0"/>
        <v>-0.81792869186600003</v>
      </c>
    </row>
    <row r="50" spans="20:23" x14ac:dyDescent="0.25">
      <c r="T50">
        <v>57</v>
      </c>
      <c r="U50" t="s">
        <v>130</v>
      </c>
      <c r="V50" s="58">
        <f>WorkLocationCoefficients!E58</f>
        <v>-1.04729487823</v>
      </c>
      <c r="W50" s="63">
        <f t="shared" si="0"/>
        <v>-1.04729487823</v>
      </c>
    </row>
    <row r="51" spans="20:23" x14ac:dyDescent="0.25">
      <c r="T51">
        <v>58</v>
      </c>
      <c r="U51" t="s">
        <v>131</v>
      </c>
      <c r="V51" s="58">
        <f>WorkLocationCoefficients!E59</f>
        <v>-2.0228517391</v>
      </c>
      <c r="W51" s="63">
        <f t="shared" si="0"/>
        <v>-2.0228517391</v>
      </c>
    </row>
    <row r="52" spans="20:23" x14ac:dyDescent="0.25">
      <c r="T52">
        <v>59</v>
      </c>
      <c r="U52" t="s">
        <v>132</v>
      </c>
      <c r="V52" s="58">
        <f>WorkLocationCoefficients!E60</f>
        <v>-1.2945321250099999</v>
      </c>
      <c r="W52" s="63">
        <f t="shared" si="0"/>
        <v>-1.2945321250099999</v>
      </c>
    </row>
    <row r="53" spans="20:23" x14ac:dyDescent="0.25">
      <c r="T53">
        <v>60</v>
      </c>
      <c r="U53" t="s">
        <v>133</v>
      </c>
      <c r="V53" s="58">
        <f>WorkLocationCoefficients!E61</f>
        <v>-0.66178028021599999</v>
      </c>
      <c r="W53" s="63">
        <f t="shared" si="0"/>
        <v>-0.66178028021599999</v>
      </c>
    </row>
    <row r="54" spans="20:23" x14ac:dyDescent="0.25">
      <c r="T54">
        <v>61</v>
      </c>
      <c r="U54" t="s">
        <v>134</v>
      </c>
      <c r="V54" s="58">
        <f>WorkLocationCoefficients!E62</f>
        <v>-0.55504741134900004</v>
      </c>
      <c r="W54" s="63">
        <f t="shared" si="0"/>
        <v>-0.55504741134900004</v>
      </c>
    </row>
    <row r="55" spans="20:23" x14ac:dyDescent="0.25">
      <c r="T55">
        <v>62</v>
      </c>
      <c r="U55" t="s">
        <v>135</v>
      </c>
      <c r="V55" s="58">
        <f>WorkLocationCoefficients!E63</f>
        <v>-1.7449233454799999</v>
      </c>
      <c r="W55" s="63">
        <f t="shared" si="0"/>
        <v>-1.7449233454799999</v>
      </c>
    </row>
    <row r="56" spans="20:23" x14ac:dyDescent="0.25">
      <c r="T56">
        <v>63</v>
      </c>
      <c r="U56" t="s">
        <v>136</v>
      </c>
      <c r="V56" s="58">
        <f>WorkLocationCoefficients!E64</f>
        <v>1.1995398853399999</v>
      </c>
      <c r="W56" s="63">
        <f t="shared" si="0"/>
        <v>1.1995398853399999</v>
      </c>
    </row>
    <row r="57" spans="20:23" x14ac:dyDescent="0.25">
      <c r="T57">
        <v>64</v>
      </c>
      <c r="U57" t="s">
        <v>137</v>
      </c>
      <c r="V57" s="58">
        <f>WorkLocationCoefficients!E65</f>
        <v>0.19542046398099999</v>
      </c>
      <c r="W57" s="63">
        <f t="shared" si="0"/>
        <v>0.19542046398099999</v>
      </c>
    </row>
    <row r="58" spans="20:23" x14ac:dyDescent="0.25">
      <c r="T58">
        <v>65</v>
      </c>
      <c r="U58" t="s">
        <v>138</v>
      </c>
      <c r="V58" s="58">
        <f>WorkLocationCoefficients!E66</f>
        <v>-0.90594458676599998</v>
      </c>
      <c r="W58" s="63">
        <f t="shared" si="0"/>
        <v>-0.90594458676599998</v>
      </c>
    </row>
    <row r="59" spans="20:23" x14ac:dyDescent="0.25">
      <c r="T59">
        <v>66</v>
      </c>
      <c r="U59" t="s">
        <v>139</v>
      </c>
      <c r="V59" s="58">
        <f>WorkLocationCoefficients!E67</f>
        <v>-2.05104130438</v>
      </c>
      <c r="W59" s="63">
        <f t="shared" si="0"/>
        <v>-2.05104130438</v>
      </c>
    </row>
    <row r="60" spans="20:23" x14ac:dyDescent="0.25">
      <c r="T60">
        <v>67</v>
      </c>
      <c r="U60" t="s">
        <v>140</v>
      </c>
      <c r="V60" s="58">
        <f>WorkLocationCoefficients!E68</f>
        <v>-2.2381608455899999</v>
      </c>
      <c r="W60" s="63">
        <f t="shared" si="0"/>
        <v>-2.2381608455899999</v>
      </c>
    </row>
    <row r="61" spans="20:23" x14ac:dyDescent="0.25">
      <c r="T61">
        <v>68</v>
      </c>
      <c r="U61" t="s">
        <v>141</v>
      </c>
      <c r="V61" s="58">
        <f>WorkLocationCoefficients!E69</f>
        <v>-0.40946320528300001</v>
      </c>
      <c r="W61" s="63">
        <f t="shared" si="0"/>
        <v>-0.40946320528300001</v>
      </c>
    </row>
    <row r="62" spans="20:23" x14ac:dyDescent="0.25">
      <c r="T62">
        <v>69</v>
      </c>
      <c r="U62" t="s">
        <v>142</v>
      </c>
      <c r="V62" s="58">
        <f>WorkLocationCoefficients!E70</f>
        <v>-1.1700902309500001</v>
      </c>
      <c r="W62" s="63">
        <f t="shared" si="0"/>
        <v>-1.1700902309500001</v>
      </c>
    </row>
    <row r="63" spans="20:23" x14ac:dyDescent="0.25">
      <c r="T63">
        <v>70</v>
      </c>
      <c r="U63" t="s">
        <v>143</v>
      </c>
      <c r="V63" s="58">
        <f>WorkLocationCoefficients!E71</f>
        <v>1.8412445021999999</v>
      </c>
      <c r="W63" s="63">
        <f t="shared" si="0"/>
        <v>1.8412445021999999</v>
      </c>
    </row>
    <row r="64" spans="20:23" x14ac:dyDescent="0.25">
      <c r="T64">
        <v>71</v>
      </c>
      <c r="U64" t="s">
        <v>144</v>
      </c>
      <c r="V64" s="58">
        <f>WorkLocationCoefficients!E72</f>
        <v>0.71619685052500004</v>
      </c>
      <c r="W64" s="63">
        <f t="shared" si="0"/>
        <v>0.71619685052500004</v>
      </c>
    </row>
    <row r="65" spans="20:23" x14ac:dyDescent="0.25">
      <c r="T65">
        <v>72</v>
      </c>
      <c r="U65" t="s">
        <v>145</v>
      </c>
      <c r="V65" s="58">
        <f>WorkLocationCoefficients!E73</f>
        <v>-0.101060642888</v>
      </c>
      <c r="W65" s="63">
        <f t="shared" si="0"/>
        <v>-0.101060642888</v>
      </c>
    </row>
    <row r="66" spans="20:23" x14ac:dyDescent="0.25">
      <c r="T66">
        <v>73</v>
      </c>
      <c r="U66" t="s">
        <v>146</v>
      </c>
      <c r="V66" s="58">
        <f>WorkLocationCoefficients!E74</f>
        <v>-0.34132571646100002</v>
      </c>
      <c r="W66" s="63">
        <f t="shared" si="0"/>
        <v>-0.34132571646100002</v>
      </c>
    </row>
    <row r="67" spans="20:23" x14ac:dyDescent="0.25">
      <c r="T67">
        <v>74</v>
      </c>
      <c r="U67" t="s">
        <v>147</v>
      </c>
      <c r="V67" s="58">
        <f>WorkLocationCoefficients!E75</f>
        <v>1.0486549950899999</v>
      </c>
      <c r="W67" s="63">
        <f t="shared" si="0"/>
        <v>1.0486549950899999</v>
      </c>
    </row>
    <row r="68" spans="20:23" x14ac:dyDescent="0.25">
      <c r="T68">
        <v>75</v>
      </c>
      <c r="U68" t="s">
        <v>148</v>
      </c>
      <c r="V68" s="58">
        <f>WorkLocationCoefficients!E76</f>
        <v>-30</v>
      </c>
      <c r="W68" s="63">
        <f t="shared" ref="W68:W75" si="20">V68</f>
        <v>-30</v>
      </c>
    </row>
    <row r="69" spans="20:23" x14ac:dyDescent="0.25">
      <c r="T69">
        <v>76</v>
      </c>
      <c r="U69" t="s">
        <v>149</v>
      </c>
      <c r="V69" s="58">
        <f>WorkLocationCoefficients!E77</f>
        <v>0.91468797064200003</v>
      </c>
      <c r="W69" s="63">
        <f t="shared" si="20"/>
        <v>0.91468797064200003</v>
      </c>
    </row>
    <row r="70" spans="20:23" x14ac:dyDescent="0.25">
      <c r="T70">
        <v>77</v>
      </c>
      <c r="U70" t="s">
        <v>150</v>
      </c>
      <c r="V70" s="58">
        <f>WorkLocationCoefficients!E78</f>
        <v>-1.1830909132</v>
      </c>
      <c r="W70" s="63">
        <f t="shared" si="20"/>
        <v>-1.1830909132</v>
      </c>
    </row>
    <row r="71" spans="20:23" x14ac:dyDescent="0.25">
      <c r="T71">
        <v>78</v>
      </c>
      <c r="U71" t="s">
        <v>151</v>
      </c>
      <c r="V71" s="58">
        <f>WorkLocationCoefficients!E79</f>
        <v>1.4576625009499999</v>
      </c>
      <c r="W71" s="63">
        <f t="shared" si="20"/>
        <v>1.4576625009499999</v>
      </c>
    </row>
    <row r="72" spans="20:23" x14ac:dyDescent="0.25">
      <c r="T72">
        <v>79</v>
      </c>
      <c r="U72" t="s">
        <v>152</v>
      </c>
      <c r="V72" s="58">
        <f>WorkLocationCoefficients!E80</f>
        <v>-1.62636517084</v>
      </c>
      <c r="W72" s="63">
        <f t="shared" si="20"/>
        <v>-1.62636517084</v>
      </c>
    </row>
    <row r="73" spans="20:23" x14ac:dyDescent="0.25">
      <c r="T73">
        <v>80</v>
      </c>
      <c r="U73" t="s">
        <v>153</v>
      </c>
      <c r="V73" s="58">
        <f>WorkLocationCoefficients!E81</f>
        <v>0</v>
      </c>
      <c r="W73" s="63">
        <f t="shared" si="20"/>
        <v>0</v>
      </c>
    </row>
    <row r="74" spans="20:23" x14ac:dyDescent="0.25">
      <c r="T74">
        <v>90</v>
      </c>
      <c r="U74" t="s">
        <v>154</v>
      </c>
      <c r="V74" s="58">
        <f>WorkLocationCoefficients!E82</f>
        <v>0.196143079927</v>
      </c>
      <c r="W74" s="63">
        <f t="shared" si="20"/>
        <v>0.196143079927</v>
      </c>
    </row>
    <row r="75" spans="20:23" x14ac:dyDescent="0.25">
      <c r="T75">
        <v>98</v>
      </c>
      <c r="U75" t="s">
        <v>155</v>
      </c>
      <c r="V75" s="58">
        <f>WorkLocationCoefficients!E83</f>
        <v>0</v>
      </c>
      <c r="W75" s="63">
        <f t="shared" si="20"/>
        <v>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22</vt:i4>
      </vt:variant>
    </vt:vector>
  </HeadingPairs>
  <TitlesOfParts>
    <vt:vector size="31" baseType="lpstr">
      <vt:lpstr>TLFD</vt:lpstr>
      <vt:lpstr>TDFD</vt:lpstr>
      <vt:lpstr>TDFD_Agg</vt:lpstr>
      <vt:lpstr>County_Flow</vt:lpstr>
      <vt:lpstr>WorkAtHome</vt:lpstr>
      <vt:lpstr>Documentation</vt:lpstr>
      <vt:lpstr>CoeffDef</vt:lpstr>
      <vt:lpstr>WorkLocationCoefficients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out15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2015-04-23T04:22:57Z</dcterms:modified>
</cp:coreProperties>
</file>