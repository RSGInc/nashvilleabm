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U13" i="1" l="1"/>
  <c r="S15" i="1"/>
  <c r="H15" i="1"/>
  <c r="J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I26" i="1"/>
  <c r="C26" i="1"/>
  <c r="D26" i="1"/>
  <c r="E26" i="1"/>
  <c r="F26" i="1"/>
  <c r="G26" i="1"/>
  <c r="H26" i="1"/>
  <c r="B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G25" i="1" l="1"/>
  <c r="I24" i="1"/>
  <c r="I25" i="1"/>
  <c r="H25" i="1"/>
  <c r="G23" i="1"/>
  <c r="H23" i="1"/>
  <c r="G24" i="1"/>
  <c r="H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J25" i="1" l="1"/>
  <c r="H20" i="1"/>
  <c r="H21" i="1"/>
  <c r="H22" i="1"/>
  <c r="H28" i="1" s="1"/>
  <c r="F21" i="1"/>
  <c r="J24" i="1"/>
  <c r="E21" i="1"/>
  <c r="D21" i="1"/>
  <c r="U20" i="1"/>
  <c r="I20" i="1"/>
  <c r="U22" i="1"/>
  <c r="G22" i="1"/>
  <c r="I22" i="1"/>
  <c r="U21" i="1"/>
  <c r="G21" i="1"/>
  <c r="I21" i="1"/>
  <c r="B21" i="1"/>
  <c r="C21" i="1"/>
  <c r="J15" i="1"/>
  <c r="E20" i="1"/>
  <c r="U15" i="1"/>
  <c r="U28" i="1" s="1"/>
  <c r="F22" i="1"/>
  <c r="D20" i="1"/>
  <c r="F20" i="1"/>
  <c r="F28" i="1" s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28" i="1" l="1"/>
  <c r="R39" i="1"/>
  <c r="M39" i="1"/>
  <c r="S33" i="1"/>
  <c r="S34" i="1"/>
  <c r="N39" i="1"/>
  <c r="P39" i="1"/>
  <c r="S39" i="1"/>
  <c r="S38" i="1"/>
  <c r="Q39" i="1"/>
  <c r="S36" i="1"/>
  <c r="O39" i="1"/>
  <c r="S37" i="1"/>
  <c r="S35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J40" i="1" l="1"/>
  <c r="G38" i="1"/>
  <c r="G39" i="1"/>
  <c r="AC39" i="1" s="1"/>
  <c r="J39" i="1"/>
  <c r="AF39" i="1" s="1"/>
  <c r="H36" i="1"/>
  <c r="AD36" i="1" s="1"/>
  <c r="H33" i="1"/>
  <c r="AD33" i="1" s="1"/>
  <c r="C39" i="1"/>
  <c r="Y39" i="1" s="1"/>
  <c r="H39" i="1"/>
  <c r="AD39" i="1" s="1"/>
  <c r="I39" i="1"/>
  <c r="B39" i="1"/>
  <c r="X39" i="1" s="1"/>
  <c r="H35" i="1"/>
  <c r="AD35" i="1" s="1"/>
  <c r="H40" i="1"/>
  <c r="G37" i="1"/>
  <c r="D39" i="1"/>
  <c r="Z39" i="1" s="1"/>
  <c r="H34" i="1"/>
  <c r="AD34" i="1" s="1"/>
  <c r="H38" i="1"/>
  <c r="AD38" i="1" s="1"/>
  <c r="G35" i="1"/>
  <c r="AC35" i="1" s="1"/>
  <c r="E39" i="1"/>
  <c r="AA39" i="1" s="1"/>
  <c r="H37" i="1"/>
  <c r="AD37" i="1" s="1"/>
  <c r="G34" i="1"/>
  <c r="F39" i="1"/>
  <c r="AB39" i="1" s="1"/>
  <c r="G36" i="1"/>
  <c r="AC36" i="1" s="1"/>
  <c r="H41" i="1"/>
  <c r="AD41" i="1" s="1"/>
  <c r="J35" i="1"/>
  <c r="AF35" i="1" s="1"/>
  <c r="I37" i="1"/>
  <c r="AC37" i="1"/>
  <c r="I38" i="1"/>
  <c r="I36" i="1"/>
  <c r="AC34" i="1"/>
  <c r="D40" i="1"/>
  <c r="C40" i="1"/>
  <c r="E40" i="1"/>
  <c r="G40" i="1"/>
  <c r="B40" i="1"/>
  <c r="I34" i="1"/>
  <c r="G41" i="1"/>
  <c r="AC41" i="1" s="1"/>
  <c r="I40" i="1"/>
  <c r="I35" i="1"/>
  <c r="F40" i="1"/>
  <c r="I33" i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</calcChain>
</file>

<file path=xl/sharedStrings.xml><?xml version="1.0" encoding="utf-8"?>
<sst xmlns="http://schemas.openxmlformats.org/spreadsheetml/2006/main" count="103" uniqueCount="57">
  <si>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</si>
  <si>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</si>
  <si>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</si>
  <si>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</si>
  <si>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</si>
  <si>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</si>
  <si>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</si>
  <si>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</si>
  <si>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</si>
  <si>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</si>
  <si>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</si>
  <si>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</si>
  <si>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</si>
  <si>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</si>
  <si>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</si>
  <si>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</si>
  <si>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</si>
  <si>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</si>
  <si>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</si>
  <si>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</si>
  <si>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</si>
  <si>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</si>
  <si>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</si>
  <si>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</si>
  <si>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</si>
  <si>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</si>
  <si>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</si>
  <si>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</si>
  <si>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</si>
  <si>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</si>
  <si>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</si>
  <si>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</si>
  <si>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</si>
  <si>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</si>
  <si>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</si>
  <si>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</si>
  <si>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</si>
  <si>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</si>
  <si>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</si>
  <si>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</si>
  <si>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</si>
  <si>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</si>
  <si>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</si>
  <si>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</si>
  <si>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</si>
  <si>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</si>
  <si>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</si>
  <si>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</si>
  <si>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Table X. Observed Trip Durations: Survey</t>
  </si>
  <si>
    <t>Survey</t>
  </si>
  <si>
    <t>Observed Sources: Survey (2009) &amp; CTPP (2000 and/or ACS?), 4-county Jacksonville Region only</t>
  </si>
  <si>
    <t>Table X. Observed Trip Lengths: Survey</t>
  </si>
  <si>
    <t>Observed Sources: Survey &amp; CTPP, 6-county Tampa Region only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</si>
  <si>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</si>
  <si>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</si>
  <si>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</si>
  <si>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Table X. Shopping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</si>
</sst>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7.1429791200788031E-2</c:v>
                </c:pt>
                <c:pt idx="1">
                  <c:v>0.19923759029300914</c:v>
                </c:pt>
                <c:pt idx="2">
                  <c:v>0.1471039765716336</c:v>
                </c:pt>
                <c:pt idx="3">
                  <c:v>0.1270807466235592</c:v>
                </c:pt>
                <c:pt idx="4">
                  <c:v>0.11677687548828171</c:v>
                </c:pt>
                <c:pt idx="5">
                  <c:v>8.8868652832775966E-2</c:v>
                </c:pt>
                <c:pt idx="6">
                  <c:v>3.8028244706787478E-2</c:v>
                </c:pt>
                <c:pt idx="7">
                  <c:v>3.5535162689037197E-2</c:v>
                </c:pt>
                <c:pt idx="8">
                  <c:v>3.9375254218007465E-2</c:v>
                </c:pt>
                <c:pt idx="9">
                  <c:v>8.1307701885750035E-3</c:v>
                </c:pt>
                <c:pt idx="10">
                  <c:v>2.3644918068963683E-2</c:v>
                </c:pt>
                <c:pt idx="11">
                  <c:v>2.1136307990384139E-2</c:v>
                </c:pt>
                <c:pt idx="12">
                  <c:v>1.1313317705432079E-2</c:v>
                </c:pt>
                <c:pt idx="13">
                  <c:v>1.4930691601555336E-2</c:v>
                </c:pt>
                <c:pt idx="14">
                  <c:v>1.1455381824108794E-2</c:v>
                </c:pt>
                <c:pt idx="15">
                  <c:v>3.344514595341476E-3</c:v>
                </c:pt>
                <c:pt idx="16">
                  <c:v>1.1872949176696549E-2</c:v>
                </c:pt>
                <c:pt idx="17">
                  <c:v>2.1737087955042483E-3</c:v>
                </c:pt>
                <c:pt idx="18">
                  <c:v>5.1386593542528556E-3</c:v>
                </c:pt>
                <c:pt idx="19">
                  <c:v>1.7032597004241179E-3</c:v>
                </c:pt>
                <c:pt idx="20">
                  <c:v>0</c:v>
                </c:pt>
                <c:pt idx="21">
                  <c:v>6.9078140422874695E-3</c:v>
                </c:pt>
                <c:pt idx="22">
                  <c:v>4.2848573542094846E-4</c:v>
                </c:pt>
                <c:pt idx="23">
                  <c:v>4.0625707006784438E-3</c:v>
                </c:pt>
                <c:pt idx="24">
                  <c:v>2.1057142478196913E-3</c:v>
                </c:pt>
                <c:pt idx="25">
                  <c:v>0</c:v>
                </c:pt>
                <c:pt idx="26">
                  <c:v>1.4339760742972566E-4</c:v>
                </c:pt>
                <c:pt idx="27">
                  <c:v>2.5190058535568215E-3</c:v>
                </c:pt>
                <c:pt idx="28">
                  <c:v>7.5864809330297527E-4</c:v>
                </c:pt>
                <c:pt idx="29">
                  <c:v>4.593216883650066E-4</c:v>
                </c:pt>
                <c:pt idx="30">
                  <c:v>0</c:v>
                </c:pt>
                <c:pt idx="31">
                  <c:v>3.5247636937870753E-3</c:v>
                </c:pt>
                <c:pt idx="32">
                  <c:v>0</c:v>
                </c:pt>
                <c:pt idx="33">
                  <c:v>6.08342597033836E-4</c:v>
                </c:pt>
                <c:pt idx="34">
                  <c:v>2.0116211520021708E-4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7.4597376843609425E-2</c:v>
                </c:pt>
                <c:pt idx="1">
                  <c:v>0.1285040426354046</c:v>
                </c:pt>
                <c:pt idx="2">
                  <c:v>0.14366119142917549</c:v>
                </c:pt>
                <c:pt idx="3">
                  <c:v>0.14059914116780764</c:v>
                </c:pt>
                <c:pt idx="4">
                  <c:v>0.11605899550170236</c:v>
                </c:pt>
                <c:pt idx="5">
                  <c:v>9.2838447686329401E-2</c:v>
                </c:pt>
                <c:pt idx="6">
                  <c:v>6.7860866268600134E-2</c:v>
                </c:pt>
                <c:pt idx="7">
                  <c:v>5.0115555944387331E-2</c:v>
                </c:pt>
                <c:pt idx="8">
                  <c:v>3.7123714121155123E-2</c:v>
                </c:pt>
                <c:pt idx="9">
                  <c:v>2.8805144244439099E-2</c:v>
                </c:pt>
                <c:pt idx="10">
                  <c:v>2.3235129007093749E-2</c:v>
                </c:pt>
                <c:pt idx="11">
                  <c:v>1.9407566180383924E-2</c:v>
                </c:pt>
                <c:pt idx="12">
                  <c:v>1.6775661074779642E-2</c:v>
                </c:pt>
                <c:pt idx="13">
                  <c:v>1.2568987263329032E-2</c:v>
                </c:pt>
                <c:pt idx="14">
                  <c:v>1.0367227313488332E-2</c:v>
                </c:pt>
                <c:pt idx="15">
                  <c:v>8.500834773226015E-3</c:v>
                </c:pt>
                <c:pt idx="16">
                  <c:v>6.5615362743597031E-3</c:v>
                </c:pt>
                <c:pt idx="17">
                  <c:v>4.9794769726529747E-3</c:v>
                </c:pt>
                <c:pt idx="18">
                  <c:v>4.046280702521817E-3</c:v>
                </c:pt>
                <c:pt idx="19">
                  <c:v>2.9016571524390689E-3</c:v>
                </c:pt>
                <c:pt idx="20">
                  <c:v>2.2309223332822991E-3</c:v>
                </c:pt>
                <c:pt idx="21">
                  <c:v>1.859101944401916E-3</c:v>
                </c:pt>
                <c:pt idx="22">
                  <c:v>1.4799909596611331E-3</c:v>
                </c:pt>
                <c:pt idx="23">
                  <c:v>1.0862987831995509E-3</c:v>
                </c:pt>
                <c:pt idx="24">
                  <c:v>9.1132448254995879E-4</c:v>
                </c:pt>
                <c:pt idx="25">
                  <c:v>7.5093137362116605E-4</c:v>
                </c:pt>
                <c:pt idx="26">
                  <c:v>4.5201694334477959E-4</c:v>
                </c:pt>
                <c:pt idx="27">
                  <c:v>3.8640158060118256E-4</c:v>
                </c:pt>
                <c:pt idx="28">
                  <c:v>3.9369217646158223E-4</c:v>
                </c:pt>
                <c:pt idx="29">
                  <c:v>2.0413668409119078E-4</c:v>
                </c:pt>
                <c:pt idx="30">
                  <c:v>2.0413668409119078E-4</c:v>
                </c:pt>
                <c:pt idx="31">
                  <c:v>7.2905958603996699E-5</c:v>
                </c:pt>
                <c:pt idx="32">
                  <c:v>9.4777746185195722E-5</c:v>
                </c:pt>
                <c:pt idx="33">
                  <c:v>6.5615362743597029E-5</c:v>
                </c:pt>
                <c:pt idx="34">
                  <c:v>5.8324766883197366E-5</c:v>
                </c:pt>
                <c:pt idx="35">
                  <c:v>2.9162383441598683E-5</c:v>
                </c:pt>
                <c:pt idx="36">
                  <c:v>3.6452979301998349E-5</c:v>
                </c:pt>
                <c:pt idx="37">
                  <c:v>5.1034171022797696E-5</c:v>
                </c:pt>
                <c:pt idx="38">
                  <c:v>2.9162383441598683E-5</c:v>
                </c:pt>
                <c:pt idx="39">
                  <c:v>1.4581191720799341E-5</c:v>
                </c:pt>
                <c:pt idx="40">
                  <c:v>7.2905958603996707E-6</c:v>
                </c:pt>
                <c:pt idx="41">
                  <c:v>7.2905958603996707E-6</c:v>
                </c:pt>
                <c:pt idx="42">
                  <c:v>1.4581191720799341E-5</c:v>
                </c:pt>
                <c:pt idx="43">
                  <c:v>0</c:v>
                </c:pt>
                <c:pt idx="44">
                  <c:v>2.1871787581199013E-5</c:v>
                </c:pt>
                <c:pt idx="45">
                  <c:v>7.2905958603996707E-6</c:v>
                </c:pt>
                <c:pt idx="46">
                  <c:v>0</c:v>
                </c:pt>
                <c:pt idx="47">
                  <c:v>7.2905958603996707E-6</c:v>
                </c:pt>
                <c:pt idx="48">
                  <c:v>0</c:v>
                </c:pt>
                <c:pt idx="49">
                  <c:v>7.2905958603996707E-6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1.1636496168700517E-3</c:v>
                </c:pt>
                <c:pt idx="3">
                  <c:v>3.4677618207866016E-2</c:v>
                </c:pt>
                <c:pt idx="4">
                  <c:v>6.8542714921972267E-2</c:v>
                </c:pt>
                <c:pt idx="5">
                  <c:v>0.1061485009417599</c:v>
                </c:pt>
                <c:pt idx="6">
                  <c:v>0.12971047251281059</c:v>
                </c:pt>
                <c:pt idx="7">
                  <c:v>9.3955841471415349E-2</c:v>
                </c:pt>
                <c:pt idx="8">
                  <c:v>8.9093294305379919E-2</c:v>
                </c:pt>
                <c:pt idx="9">
                  <c:v>3.9603599692866781E-2</c:v>
                </c:pt>
                <c:pt idx="10">
                  <c:v>6.8900424844593813E-2</c:v>
                </c:pt>
                <c:pt idx="11">
                  <c:v>5.781259497834005E-2</c:v>
                </c:pt>
                <c:pt idx="12">
                  <c:v>7.4527835249956223E-2</c:v>
                </c:pt>
                <c:pt idx="13">
                  <c:v>2.5727006254377256E-2</c:v>
                </c:pt>
                <c:pt idx="14">
                  <c:v>2.440302354968002E-2</c:v>
                </c:pt>
                <c:pt idx="15">
                  <c:v>2.3749841315531883E-2</c:v>
                </c:pt>
                <c:pt idx="16">
                  <c:v>1.5676578206851748E-2</c:v>
                </c:pt>
                <c:pt idx="17">
                  <c:v>2.2165141167136863E-2</c:v>
                </c:pt>
                <c:pt idx="18">
                  <c:v>2.1085831228504905E-2</c:v>
                </c:pt>
                <c:pt idx="19">
                  <c:v>7.6003920815925228E-3</c:v>
                </c:pt>
                <c:pt idx="20">
                  <c:v>5.3278953332486379E-3</c:v>
                </c:pt>
                <c:pt idx="21">
                  <c:v>5.500546656885626E-3</c:v>
                </c:pt>
                <c:pt idx="22">
                  <c:v>1.5769416122114785E-2</c:v>
                </c:pt>
                <c:pt idx="23">
                  <c:v>3.4287956994187925E-3</c:v>
                </c:pt>
                <c:pt idx="24">
                  <c:v>1.1135609568487548E-2</c:v>
                </c:pt>
                <c:pt idx="25">
                  <c:v>1.8902227769019534E-3</c:v>
                </c:pt>
                <c:pt idx="26">
                  <c:v>3.0060006980286483E-3</c:v>
                </c:pt>
                <c:pt idx="27">
                  <c:v>3.9317914611785012E-3</c:v>
                </c:pt>
                <c:pt idx="28">
                  <c:v>1.5168232339317453E-2</c:v>
                </c:pt>
                <c:pt idx="29">
                  <c:v>2.3083051531553552E-3</c:v>
                </c:pt>
                <c:pt idx="30">
                  <c:v>4.8512136495517641E-4</c:v>
                </c:pt>
                <c:pt idx="31">
                  <c:v>0</c:v>
                </c:pt>
                <c:pt idx="32">
                  <c:v>2.9764516099004324E-3</c:v>
                </c:pt>
                <c:pt idx="33">
                  <c:v>4.3374303686975822E-4</c:v>
                </c:pt>
                <c:pt idx="34">
                  <c:v>5.0650573567347058E-4</c:v>
                </c:pt>
                <c:pt idx="35">
                  <c:v>1.2883839432798106E-4</c:v>
                </c:pt>
                <c:pt idx="36">
                  <c:v>5.766184436649063E-3</c:v>
                </c:pt>
                <c:pt idx="37">
                  <c:v>1.6338491207268122E-3</c:v>
                </c:pt>
                <c:pt idx="38">
                  <c:v>7.6602936216454802E-3</c:v>
                </c:pt>
                <c:pt idx="39">
                  <c:v>7.2816267039068727E-4</c:v>
                </c:pt>
                <c:pt idx="40">
                  <c:v>6.6494979163586869E-4</c:v>
                </c:pt>
                <c:pt idx="41">
                  <c:v>1.8148444294429196E-4</c:v>
                </c:pt>
                <c:pt idx="42">
                  <c:v>0</c:v>
                </c:pt>
                <c:pt idx="43">
                  <c:v>2.8400172648229374E-4</c:v>
                </c:pt>
                <c:pt idx="44">
                  <c:v>3.8342626132280835E-3</c:v>
                </c:pt>
                <c:pt idx="45">
                  <c:v>1.8954703660937534E-3</c:v>
                </c:pt>
                <c:pt idx="46">
                  <c:v>0</c:v>
                </c:pt>
                <c:pt idx="47">
                  <c:v>3.638750497322088E-4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2.4446754730162747E-4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2.0116211520021716E-4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2.9745631110430657E-3</c:v>
                </c:pt>
                <c:pt idx="1">
                  <c:v>9.7766890487959585E-3</c:v>
                </c:pt>
                <c:pt idx="2">
                  <c:v>1.3844841538898974E-2</c:v>
                </c:pt>
                <c:pt idx="3">
                  <c:v>2.5582700874142442E-2</c:v>
                </c:pt>
                <c:pt idx="4">
                  <c:v>4.484445513731837E-2</c:v>
                </c:pt>
                <c:pt idx="5">
                  <c:v>6.4798816007232266E-2</c:v>
                </c:pt>
                <c:pt idx="6">
                  <c:v>7.889153780538484E-2</c:v>
                </c:pt>
                <c:pt idx="7">
                  <c:v>8.7560056283400037E-2</c:v>
                </c:pt>
                <c:pt idx="8">
                  <c:v>8.5810313276904124E-2</c:v>
                </c:pt>
                <c:pt idx="9">
                  <c:v>8.1246400268293925E-2</c:v>
                </c:pt>
                <c:pt idx="10">
                  <c:v>7.2971573966740297E-2</c:v>
                </c:pt>
                <c:pt idx="11">
                  <c:v>6.2925132871109554E-2</c:v>
                </c:pt>
                <c:pt idx="12">
                  <c:v>5.7406151804787003E-2</c:v>
                </c:pt>
                <c:pt idx="13">
                  <c:v>4.7286804750552261E-2</c:v>
                </c:pt>
                <c:pt idx="14">
                  <c:v>4.0178473786662582E-2</c:v>
                </c:pt>
                <c:pt idx="15">
                  <c:v>3.3245117123422499E-2</c:v>
                </c:pt>
                <c:pt idx="16">
                  <c:v>2.7434512222683959E-2</c:v>
                </c:pt>
                <c:pt idx="17">
                  <c:v>2.3920445017971317E-2</c:v>
                </c:pt>
                <c:pt idx="18">
                  <c:v>1.9830420740287104E-2</c:v>
                </c:pt>
                <c:pt idx="19">
                  <c:v>1.7118319080218426E-2</c:v>
                </c:pt>
                <c:pt idx="20">
                  <c:v>1.3895875709921773E-2</c:v>
                </c:pt>
                <c:pt idx="21">
                  <c:v>1.2794995735001421E-2</c:v>
                </c:pt>
                <c:pt idx="22">
                  <c:v>1.1176483453992695E-2</c:v>
                </c:pt>
                <c:pt idx="23">
                  <c:v>9.4267404474967734E-3</c:v>
                </c:pt>
                <c:pt idx="24">
                  <c:v>7.7426128037444497E-3</c:v>
                </c:pt>
                <c:pt idx="25">
                  <c:v>7.2687240728184716E-3</c:v>
                </c:pt>
                <c:pt idx="26">
                  <c:v>6.0366133724109273E-3</c:v>
                </c:pt>
                <c:pt idx="27">
                  <c:v>4.9503145892113767E-3</c:v>
                </c:pt>
                <c:pt idx="28">
                  <c:v>4.2139644073110093E-3</c:v>
                </c:pt>
                <c:pt idx="29">
                  <c:v>3.8567252101514259E-3</c:v>
                </c:pt>
                <c:pt idx="30">
                  <c:v>3.1349562199718584E-3</c:v>
                </c:pt>
                <c:pt idx="31">
                  <c:v>2.6902298724874782E-3</c:v>
                </c:pt>
                <c:pt idx="32">
                  <c:v>2.5444179552794851E-3</c:v>
                </c:pt>
                <c:pt idx="33">
                  <c:v>2.0049138616099094E-3</c:v>
                </c:pt>
                <c:pt idx="34">
                  <c:v>1.7132900271939226E-3</c:v>
                </c:pt>
                <c:pt idx="35">
                  <c:v>1.4216661927779358E-3</c:v>
                </c:pt>
                <c:pt idx="36">
                  <c:v>1.1664953376639472E-3</c:v>
                </c:pt>
                <c:pt idx="37">
                  <c:v>9.1132448254995879E-4</c:v>
                </c:pt>
                <c:pt idx="38">
                  <c:v>9.2590567427075813E-4</c:v>
                </c:pt>
                <c:pt idx="39">
                  <c:v>7.1447839431916776E-4</c:v>
                </c:pt>
                <c:pt idx="40">
                  <c:v>6.0511945641317265E-4</c:v>
                </c:pt>
                <c:pt idx="41">
                  <c:v>4.5201694334477959E-4</c:v>
                </c:pt>
                <c:pt idx="42">
                  <c:v>5.1763230608837662E-4</c:v>
                </c:pt>
                <c:pt idx="43">
                  <c:v>3.8640158060118256E-4</c:v>
                </c:pt>
                <c:pt idx="44">
                  <c:v>4.0827336818238157E-4</c:v>
                </c:pt>
                <c:pt idx="45">
                  <c:v>2.5517085511398845E-4</c:v>
                </c:pt>
                <c:pt idx="46">
                  <c:v>2.6246145097438812E-4</c:v>
                </c:pt>
                <c:pt idx="47">
                  <c:v>1.2394012962679439E-4</c:v>
                </c:pt>
                <c:pt idx="48">
                  <c:v>1.0206834204559539E-4</c:v>
                </c:pt>
                <c:pt idx="49">
                  <c:v>8.7487150324796052E-5</c:v>
                </c:pt>
                <c:pt idx="50">
                  <c:v>5.8324766883197366E-5</c:v>
                </c:pt>
                <c:pt idx="51">
                  <c:v>8.0196554464396369E-5</c:v>
                </c:pt>
                <c:pt idx="52">
                  <c:v>7.2905958603996699E-5</c:v>
                </c:pt>
                <c:pt idx="53">
                  <c:v>5.8324766883197366E-5</c:v>
                </c:pt>
                <c:pt idx="54">
                  <c:v>3.6452979301998349E-5</c:v>
                </c:pt>
                <c:pt idx="55">
                  <c:v>2.1871787581199013E-5</c:v>
                </c:pt>
                <c:pt idx="56">
                  <c:v>2.9162383441598683E-5</c:v>
                </c:pt>
                <c:pt idx="57">
                  <c:v>1.4581191720799341E-5</c:v>
                </c:pt>
                <c:pt idx="58">
                  <c:v>2.1871787581199013E-5</c:v>
                </c:pt>
                <c:pt idx="59">
                  <c:v>4.3743575162398026E-5</c:v>
                </c:pt>
                <c:pt idx="60">
                  <c:v>2.1871787581199013E-5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50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9957.120267759705</v>
      </c>
      <c r="C11" s="11">
        <f>B11/B$102</f>
        <v>7.1429791200788031E-2</v>
      </c>
      <c r="E11" s="19">
        <v>0</v>
      </c>
      <c r="F11" s="109" t="n">
        <v>8184.0</v>
      </c>
      <c r="G11" s="11">
        <f>F11/F$102</f>
        <v>7.4597376843609425E-2</v>
      </c>
      <c r="K11" s="8" t="n">
        <v>5.058960956809869</v>
      </c>
      <c r="L11" s="8" t="n">
        <v>4.910201903552602</v>
      </c>
    </row>
    <row r="12" spans="1:12" x14ac:dyDescent="0.25">
      <c r="A12">
        <v>1</v>
      </c>
      <c r="B12" s="8" t="n">
        <v>27773.18280029131</v>
      </c>
      <c r="C12" s="11">
        <f>B12/B$102</f>
        <v>0.19923759029300914</v>
      </c>
      <c r="E12" s="20">
        <v>1</v>
      </c>
      <c r="F12" s="110" t="n">
        <v>18139.0</v>
      </c>
      <c r="G12" s="11">
        <f>F12/F$102</f>
        <v>0.1285040426354046</v>
      </c>
      <c r="K12" s="8"/>
      <c r="L12" s="379"/>
    </row>
    <row r="13" spans="1:12" x14ac:dyDescent="0.25">
      <c r="A13">
        <v>2</v>
      </c>
      <c r="B13" s="8" t="n">
        <v>20505.89763691347</v>
      </c>
      <c r="C13" s="11">
        <f t="shared" ref="C13:C76" si="0">B13/B$102</f>
        <v>0.1471039765716336</v>
      </c>
      <c r="E13" s="21">
        <v>2</v>
      </c>
      <c r="F13" s="111" t="n">
        <v>23320.0</v>
      </c>
      <c r="G13" s="11">
        <f t="shared" ref="G13:G76" si="1">F13/F$102</f>
        <v>0.14366119142917549</v>
      </c>
    </row>
    <row r="14" spans="1:12" x14ac:dyDescent="0.25">
      <c r="A14">
        <v>3</v>
      </c>
      <c r="B14" s="8" t="n">
        <v>17714.71337905181</v>
      </c>
      <c r="C14" s="11">
        <f t="shared" si="0"/>
        <v>0.1270807466235592</v>
      </c>
      <c r="E14" s="22">
        <v>3</v>
      </c>
      <c r="F14" s="112" t="n">
        <v>20430.0</v>
      </c>
      <c r="G14" s="11">
        <f t="shared" si="1"/>
        <v>0.14059914116780764</v>
      </c>
    </row>
    <row r="15" spans="1:12" x14ac:dyDescent="0.25">
      <c r="A15">
        <v>4</v>
      </c>
      <c r="B15" s="8" t="n">
        <v>16278.381529375009</v>
      </c>
      <c r="C15" s="11">
        <f t="shared" si="0"/>
        <v>0.11677687548828171</v>
      </c>
      <c r="E15" s="23">
        <v>4</v>
      </c>
      <c r="F15" s="113" t="n">
        <v>15942.0</v>
      </c>
      <c r="G15" s="11">
        <f t="shared" si="1"/>
        <v>0.11605899550170236</v>
      </c>
    </row>
    <row r="16" spans="1:12" x14ac:dyDescent="0.25">
      <c r="A16">
        <v>5</v>
      </c>
      <c r="B16" s="8" t="n">
        <v>12388.050551657952</v>
      </c>
      <c r="C16" s="11">
        <f t="shared" si="0"/>
        <v>8.8868652832775966E-2</v>
      </c>
      <c r="E16" s="24">
        <v>5</v>
      </c>
      <c r="F16" s="114" t="n">
        <v>12281.0</v>
      </c>
      <c r="G16" s="11">
        <f t="shared" si="1"/>
        <v>9.2838447686329401E-2</v>
      </c>
    </row>
    <row r="17" spans="1:7" x14ac:dyDescent="0.25">
      <c r="A17">
        <v>6</v>
      </c>
      <c r="B17" s="8" t="n">
        <v>5301.034760873023</v>
      </c>
      <c r="C17" s="11">
        <f t="shared" si="0"/>
        <v>3.8028244706787478E-2</v>
      </c>
      <c r="E17" s="25">
        <v>6</v>
      </c>
      <c r="F17" s="115" t="n">
        <v>8906.0</v>
      </c>
      <c r="G17" s="11">
        <f t="shared" si="1"/>
        <v>6.7860866268600134E-2</v>
      </c>
    </row>
    <row r="18" spans="1:7" x14ac:dyDescent="0.25">
      <c r="A18">
        <v>7</v>
      </c>
      <c r="B18" s="8" t="n">
        <v>4953.5058507247495</v>
      </c>
      <c r="C18" s="11">
        <f t="shared" si="0"/>
        <v>3.5535162689037197E-2</v>
      </c>
      <c r="E18" s="26">
        <v>7</v>
      </c>
      <c r="F18" s="116" t="n">
        <v>6203.0</v>
      </c>
      <c r="G18" s="11">
        <f t="shared" si="1"/>
        <v>5.0115555944387331E-2</v>
      </c>
    </row>
    <row r="19" spans="1:7" x14ac:dyDescent="0.25">
      <c r="A19">
        <v>8</v>
      </c>
      <c r="B19" s="8" t="n">
        <v>5488.804254239338</v>
      </c>
      <c r="C19" s="11">
        <f t="shared" si="0"/>
        <v>3.9375254218007465E-2</v>
      </c>
      <c r="E19" s="27">
        <v>8</v>
      </c>
      <c r="F19" s="117" t="n">
        <v>4352.0</v>
      </c>
      <c r="G19" s="11">
        <f t="shared" si="1"/>
        <v>3.7123714121155123E-2</v>
      </c>
    </row>
    <row r="20" spans="1:7" x14ac:dyDescent="0.25">
      <c r="A20">
        <v>9</v>
      </c>
      <c r="B20" s="8" t="n">
        <v>1133.4074379355516</v>
      </c>
      <c r="C20" s="11">
        <f t="shared" si="0"/>
        <v>8.1307701885750035E-3</v>
      </c>
      <c r="E20" s="28">
        <v>9</v>
      </c>
      <c r="F20" s="118" t="n">
        <v>3233.0</v>
      </c>
      <c r="G20" s="11">
        <f t="shared" si="1"/>
        <v>2.8805144244439099E-2</v>
      </c>
    </row>
    <row r="21" spans="1:7" x14ac:dyDescent="0.25">
      <c r="A21">
        <v>10</v>
      </c>
      <c r="B21" s="8" t="n">
        <v>3296.0378152610165</v>
      </c>
      <c r="C21" s="11">
        <f t="shared" si="0"/>
        <v>2.3644918068963683E-2</v>
      </c>
      <c r="E21" s="29">
        <v>10</v>
      </c>
      <c r="F21" s="119" t="n">
        <v>2582.0</v>
      </c>
      <c r="G21" s="11">
        <f t="shared" si="1"/>
        <v>2.3235129007093749E-2</v>
      </c>
    </row>
    <row r="22" spans="1:7" x14ac:dyDescent="0.25">
      <c r="A22">
        <v>11</v>
      </c>
      <c r="B22" s="8" t="n">
        <v>2946.344335307864</v>
      </c>
      <c r="C22" s="11">
        <f t="shared" si="0"/>
        <v>2.1136307990384139E-2</v>
      </c>
      <c r="E22" s="30">
        <v>11</v>
      </c>
      <c r="F22" s="120" t="n">
        <v>2183.0</v>
      </c>
      <c r="G22" s="11">
        <f t="shared" si="1"/>
        <v>1.9407566180383924E-2</v>
      </c>
    </row>
    <row r="23" spans="1:7" x14ac:dyDescent="0.25">
      <c r="A23">
        <v>12</v>
      </c>
      <c r="B23" s="8" t="n">
        <v>1577.0459793688956</v>
      </c>
      <c r="C23" s="11">
        <f t="shared" si="0"/>
        <v>1.1313317705432079E-2</v>
      </c>
      <c r="E23" s="31">
        <v>12</v>
      </c>
      <c r="F23" s="121" t="n">
        <v>1925.0</v>
      </c>
      <c r="G23" s="11">
        <f t="shared" si="1"/>
        <v>1.6775661074779642E-2</v>
      </c>
    </row>
    <row r="24" spans="1:7" x14ac:dyDescent="0.25">
      <c r="A24">
        <v>13</v>
      </c>
      <c r="B24" s="8" t="n">
        <v>2081.2981454700953</v>
      </c>
      <c r="C24" s="11">
        <f t="shared" si="0"/>
        <v>1.4930691601555336E-2</v>
      </c>
      <c r="E24" s="32">
        <v>13</v>
      </c>
      <c r="F24" s="122" t="n">
        <v>1474.0</v>
      </c>
      <c r="G24" s="11">
        <f t="shared" si="1"/>
        <v>1.2568987263329032E-2</v>
      </c>
    </row>
    <row r="25" spans="1:7" x14ac:dyDescent="0.25">
      <c r="A25">
        <v>14</v>
      </c>
      <c r="B25" s="8" t="n">
        <v>1596.8493344063065</v>
      </c>
      <c r="C25" s="11">
        <f t="shared" si="0"/>
        <v>1.1455381824108794E-2</v>
      </c>
      <c r="E25" s="33">
        <v>14</v>
      </c>
      <c r="F25" s="123" t="n">
        <v>1081.0</v>
      </c>
      <c r="G25" s="11">
        <f t="shared" si="1"/>
        <v>1.0367227313488332E-2</v>
      </c>
    </row>
    <row r="26" spans="1:7" x14ac:dyDescent="0.25">
      <c r="A26">
        <v>15</v>
      </c>
      <c r="B26" s="8" t="n">
        <v>466.21631539538043</v>
      </c>
      <c r="C26" s="11">
        <f t="shared" si="0"/>
        <v>3.344514595341476E-3</v>
      </c>
      <c r="E26" s="34">
        <v>15</v>
      </c>
      <c r="F26" s="124" t="n">
        <v>909.0</v>
      </c>
      <c r="G26" s="11">
        <f t="shared" si="1"/>
        <v>8.500834773226015E-3</v>
      </c>
    </row>
    <row r="27" spans="1:7" x14ac:dyDescent="0.25">
      <c r="A27">
        <v>16</v>
      </c>
      <c r="B27" s="8" t="n">
        <v>1655.057097297827</v>
      </c>
      <c r="C27" s="11">
        <f t="shared" si="0"/>
        <v>1.1872949176696549E-2</v>
      </c>
      <c r="E27" s="35">
        <v>16</v>
      </c>
      <c r="F27" s="125" t="n">
        <v>697.0</v>
      </c>
      <c r="G27" s="11">
        <f t="shared" si="1"/>
        <v>6.5615362743597031E-3</v>
      </c>
    </row>
    <row r="28" spans="1:7" x14ac:dyDescent="0.25">
      <c r="A28">
        <v>17</v>
      </c>
      <c r="B28" s="8" t="n">
        <v>303.0091442250234</v>
      </c>
      <c r="C28" s="11">
        <f t="shared" si="0"/>
        <v>2.1737087955042483E-3</v>
      </c>
      <c r="E28" s="36">
        <v>17</v>
      </c>
      <c r="F28" s="126" t="n">
        <v>518.0</v>
      </c>
      <c r="G28" s="11">
        <f t="shared" si="1"/>
        <v>4.9794769726529747E-3</v>
      </c>
    </row>
    <row r="29" spans="1:7" x14ac:dyDescent="0.25">
      <c r="A29">
        <v>18</v>
      </c>
      <c r="B29" s="8" t="n">
        <v>716.3152564945427</v>
      </c>
      <c r="C29" s="11">
        <f t="shared" si="0"/>
        <v>5.1386593542528556E-3</v>
      </c>
      <c r="E29" s="37">
        <v>18</v>
      </c>
      <c r="F29" s="127" t="n">
        <v>413.0</v>
      </c>
      <c r="G29" s="11">
        <f t="shared" si="1"/>
        <v>4.046280702521817E-3</v>
      </c>
    </row>
    <row r="30" spans="1:7" x14ac:dyDescent="0.25">
      <c r="A30">
        <v>19</v>
      </c>
      <c r="B30" s="8" t="n">
        <v>237.42980903693592</v>
      </c>
      <c r="C30" s="11">
        <f t="shared" si="0"/>
        <v>1.7032597004241179E-3</v>
      </c>
      <c r="E30" s="38">
        <v>19</v>
      </c>
      <c r="F30" s="128" t="n">
        <v>327.0</v>
      </c>
      <c r="G30" s="11">
        <f t="shared" si="1"/>
        <v>2.9016571524390689E-3</v>
      </c>
    </row>
    <row r="31" spans="1:7" x14ac:dyDescent="0.25">
      <c r="A31">
        <v>20</v>
      </c>
      <c r="B31" s="8" t="n">
        <v>0.0</v>
      </c>
      <c r="C31" s="11">
        <f t="shared" si="0"/>
        <v>0</v>
      </c>
      <c r="E31" s="39">
        <v>20</v>
      </c>
      <c r="F31" s="129" t="n">
        <v>232.0</v>
      </c>
      <c r="G31" s="11">
        <f t="shared" si="1"/>
        <v>2.2309223332822991E-3</v>
      </c>
    </row>
    <row r="32" spans="1:7" x14ac:dyDescent="0.25">
      <c r="A32">
        <v>21</v>
      </c>
      <c r="B32" s="8" t="n">
        <v>962.9306491045272</v>
      </c>
      <c r="C32" s="11">
        <f t="shared" si="0"/>
        <v>6.9078140422874695E-3</v>
      </c>
      <c r="E32" s="40">
        <v>21</v>
      </c>
      <c r="F32" s="130" t="n">
        <v>218.0</v>
      </c>
      <c r="G32" s="11">
        <f t="shared" si="1"/>
        <v>1.859101944401916E-3</v>
      </c>
    </row>
    <row r="33" spans="1:7" x14ac:dyDescent="0.25">
      <c r="A33">
        <v>22</v>
      </c>
      <c r="B33" s="8" t="n">
        <v>59.7297560147254</v>
      </c>
      <c r="C33" s="11">
        <f t="shared" si="0"/>
        <v>4.2848573542094846E-4</v>
      </c>
      <c r="E33" s="41">
        <v>22</v>
      </c>
      <c r="F33" s="131" t="n">
        <v>142.0</v>
      </c>
      <c r="G33" s="11">
        <f t="shared" si="1"/>
        <v>1.4799909596611331E-3</v>
      </c>
    </row>
    <row r="34" spans="1:7" x14ac:dyDescent="0.25">
      <c r="A34">
        <v>23</v>
      </c>
      <c r="B34" s="8" t="n">
        <v>566.3114000882844</v>
      </c>
      <c r="C34" s="11">
        <f t="shared" si="0"/>
        <v>4.0625707006784438E-3</v>
      </c>
      <c r="E34" s="42">
        <v>23</v>
      </c>
      <c r="F34" s="132" t="n">
        <v>115.0</v>
      </c>
      <c r="G34" s="11">
        <f t="shared" si="1"/>
        <v>1.0862987831995509E-3</v>
      </c>
    </row>
    <row r="35" spans="1:7" x14ac:dyDescent="0.25">
      <c r="A35">
        <v>24</v>
      </c>
      <c r="B35" s="8" t="n">
        <v>293.53088763956123</v>
      </c>
      <c r="C35" s="11">
        <f t="shared" si="0"/>
        <v>2.1057142478196913E-3</v>
      </c>
      <c r="E35" s="43">
        <v>24</v>
      </c>
      <c r="F35" s="133" t="n">
        <v>88.0</v>
      </c>
      <c r="G35" s="11">
        <f t="shared" si="1"/>
        <v>9.1132448254995879E-4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65.0</v>
      </c>
      <c r="G36" s="11">
        <f t="shared" si="1"/>
        <v>7.5093137362116605E-4</v>
      </c>
    </row>
    <row r="37" spans="1:7" x14ac:dyDescent="0.25">
      <c r="A37">
        <v>26</v>
      </c>
      <c r="B37" s="8" t="n">
        <v>19.9892397735445</v>
      </c>
      <c r="C37" s="11">
        <f t="shared" si="0"/>
        <v>1.4339760742972566E-4</v>
      </c>
      <c r="E37" s="45">
        <v>26</v>
      </c>
      <c r="F37" s="135" t="n">
        <v>42.0</v>
      </c>
      <c r="G37" s="11">
        <f t="shared" si="1"/>
        <v>4.5201694334477959E-4</v>
      </c>
    </row>
    <row r="38" spans="1:7" x14ac:dyDescent="0.25">
      <c r="A38">
        <v>27</v>
      </c>
      <c r="B38" s="8" t="n">
        <v>351.14262295056596</v>
      </c>
      <c r="C38" s="11">
        <f t="shared" si="0"/>
        <v>2.5190058535568215E-3</v>
      </c>
      <c r="E38" s="46">
        <v>27</v>
      </c>
      <c r="F38" s="136" t="n">
        <v>34.0</v>
      </c>
      <c r="G38" s="11">
        <f t="shared" si="1"/>
        <v>3.8640158060118256E-4</v>
      </c>
    </row>
    <row r="39" spans="1:7" x14ac:dyDescent="0.25">
      <c r="A39">
        <v>28</v>
      </c>
      <c r="B39" s="8" t="n">
        <v>105.753498350433</v>
      </c>
      <c r="C39" s="11">
        <f t="shared" si="0"/>
        <v>7.5864809330297527E-4</v>
      </c>
      <c r="E39" s="47">
        <v>28</v>
      </c>
      <c r="F39" s="137" t="n">
        <v>31.0</v>
      </c>
      <c r="G39" s="11">
        <f t="shared" si="1"/>
        <v>3.9369217646158223E-4</v>
      </c>
    </row>
    <row r="40" spans="1:7" x14ac:dyDescent="0.25">
      <c r="A40">
        <v>29</v>
      </c>
      <c r="B40" s="8" t="n">
        <v>64.028204699419</v>
      </c>
      <c r="C40" s="11">
        <f t="shared" si="0"/>
        <v>4.593216883650066E-4</v>
      </c>
      <c r="E40" s="48">
        <v>29</v>
      </c>
      <c r="F40" s="138" t="n">
        <v>23.0</v>
      </c>
      <c r="G40" s="11">
        <f t="shared" si="1"/>
        <v>2.0413668409119078E-4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24.0</v>
      </c>
      <c r="G41" s="11">
        <f t="shared" si="1"/>
        <v>2.0413668409119078E-4</v>
      </c>
    </row>
    <row r="42" spans="1:7" x14ac:dyDescent="0.25">
      <c r="A42">
        <v>31</v>
      </c>
      <c r="B42" s="8" t="n">
        <v>491.3425536386512</v>
      </c>
      <c r="C42" s="11">
        <f t="shared" si="0"/>
        <v>3.5247636937870753E-3</v>
      </c>
      <c r="E42" s="50">
        <v>31</v>
      </c>
      <c r="F42" s="140" t="n">
        <v>22.0</v>
      </c>
      <c r="G42" s="11">
        <f t="shared" si="1"/>
        <v>7.2905958603996699E-5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13.0</v>
      </c>
      <c r="G43" s="11">
        <f t="shared" si="1"/>
        <v>9.4777746185195722E-5</v>
      </c>
    </row>
    <row r="44" spans="1:7" x14ac:dyDescent="0.25">
      <c r="A44">
        <v>33</v>
      </c>
      <c r="B44" s="8" t="n">
        <v>84.8013175012663</v>
      </c>
      <c r="C44" s="11">
        <f t="shared" si="0"/>
        <v>6.08342597033836E-4</v>
      </c>
      <c r="E44" s="52">
        <v>33</v>
      </c>
      <c r="F44" s="142" t="n">
        <v>10.0</v>
      </c>
      <c r="G44" s="11">
        <f t="shared" si="1"/>
        <v>6.5615362743597029E-5</v>
      </c>
    </row>
    <row r="45" spans="1:7" x14ac:dyDescent="0.25">
      <c r="A45">
        <v>34</v>
      </c>
      <c r="B45" s="8" t="n">
        <v>28.0414563824652</v>
      </c>
      <c r="C45" s="11">
        <f t="shared" si="0"/>
        <v>2.0116211520021708E-4</v>
      </c>
      <c r="E45" s="53">
        <v>34</v>
      </c>
      <c r="F45" s="143" t="n">
        <v>4.0</v>
      </c>
      <c r="G45" s="11">
        <f t="shared" si="1"/>
        <v>5.8324766883197366E-5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8.0</v>
      </c>
      <c r="G46" s="11">
        <f t="shared" si="1"/>
        <v>2.9162383441598683E-5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3.0</v>
      </c>
      <c r="G47" s="11">
        <f t="shared" si="1"/>
        <v>3.6452979301998349E-5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3.0</v>
      </c>
      <c r="G48" s="11">
        <f t="shared" si="1"/>
        <v>5.1034171022797696E-5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5.0</v>
      </c>
      <c r="G49" s="11">
        <f t="shared" si="1"/>
        <v>2.9162383441598683E-5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3.0</v>
      </c>
      <c r="G50" s="11">
        <f t="shared" si="1"/>
        <v>1.4581191720799341E-5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3.0</v>
      </c>
      <c r="G51" s="11">
        <f t="shared" si="1"/>
        <v>7.2905958603996707E-6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0.0</v>
      </c>
      <c r="G52" s="11">
        <f t="shared" si="1"/>
        <v>7.2905958603996707E-6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3.0</v>
      </c>
      <c r="G53" s="11">
        <f t="shared" si="1"/>
        <v>1.4581191720799341E-5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1.0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0.0</v>
      </c>
      <c r="G55" s="11">
        <f t="shared" si="1"/>
        <v>2.1871787581199013E-5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1.0</v>
      </c>
      <c r="G56" s="11">
        <f t="shared" si="1"/>
        <v>7.2905958603996707E-6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7.2905958603996707E-6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0.0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7.2905958603996707E-6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1.0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0.0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0.0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0.0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7.2905958603996707E-6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139397.30328722921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47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348.0</v>
      </c>
      <c r="G11" s="11">
        <f>F11/F$102</f>
        <v>2.9745631110430657E-3</v>
      </c>
      <c r="K11" s="8" t="n">
        <v>11.029336198229064</v>
      </c>
      <c r="L11" s="8" t="n">
        <v>12.419229878042039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961.0</v>
      </c>
      <c r="G12" s="11">
        <f>F12/F$102</f>
        <v>9.7766890487959585E-3</v>
      </c>
      <c r="K12" s="8"/>
      <c r="L12" s="380"/>
    </row>
    <row r="13" spans="1:12" x14ac:dyDescent="0.25">
      <c r="A13">
        <v>2</v>
      </c>
      <c r="B13" s="8" t="n">
        <v>162.2096185629026</v>
      </c>
      <c r="C13" s="11">
        <f t="shared" ref="C13:C76" si="0">B13/B$102</f>
        <v>1.1636496168700517E-3</v>
      </c>
      <c r="E13" s="201">
        <v>2</v>
      </c>
      <c r="F13" s="291" t="n">
        <v>1326.0</v>
      </c>
      <c r="G13" s="11">
        <f t="shared" ref="G13:G76" si="1">F13/F$102</f>
        <v>1.3844841538898974E-2</v>
      </c>
    </row>
    <row r="14" spans="1:12" x14ac:dyDescent="0.25">
      <c r="A14">
        <v>3</v>
      </c>
      <c r="B14" s="8" t="n">
        <v>4833.966462600639</v>
      </c>
      <c r="C14" s="11">
        <f t="shared" si="0"/>
        <v>3.4677618207866016E-2</v>
      </c>
      <c r="E14" s="202">
        <v>3</v>
      </c>
      <c r="F14" s="292" t="n">
        <v>2417.0</v>
      </c>
      <c r="G14" s="11">
        <f t="shared" si="1"/>
        <v>2.5582700874142442E-2</v>
      </c>
    </row>
    <row r="15" spans="1:12" x14ac:dyDescent="0.25">
      <c r="A15">
        <v>4</v>
      </c>
      <c r="B15" s="8" t="n">
        <v>9554.669620108256</v>
      </c>
      <c r="C15" s="11">
        <f t="shared" si="0"/>
        <v>6.8542714921972267E-2</v>
      </c>
      <c r="E15" s="203">
        <v>4</v>
      </c>
      <c r="F15" s="293" t="n">
        <v>4001.0</v>
      </c>
      <c r="G15" s="11">
        <f t="shared" si="1"/>
        <v>4.484445513731837E-2</v>
      </c>
    </row>
    <row r="16" spans="1:12" x14ac:dyDescent="0.25">
      <c r="A16">
        <v>5</v>
      </c>
      <c r="B16" s="8" t="n">
        <v>14796.814779263234</v>
      </c>
      <c r="C16" s="11">
        <f t="shared" si="0"/>
        <v>0.1061485009417599</v>
      </c>
      <c r="E16" s="204">
        <v>5</v>
      </c>
      <c r="F16" s="294" t="n">
        <v>6690.0</v>
      </c>
      <c r="G16" s="11">
        <f t="shared" si="1"/>
        <v>6.4798816007232266E-2</v>
      </c>
    </row>
    <row r="17" spans="1:7" x14ac:dyDescent="0.25">
      <c r="A17">
        <v>6</v>
      </c>
      <c r="B17" s="8" t="n">
        <v>18081.290076398058</v>
      </c>
      <c r="C17" s="11">
        <f t="shared" si="0"/>
        <v>0.12971047251281059</v>
      </c>
      <c r="E17" s="205">
        <v>6</v>
      </c>
      <c r="F17" s="295" t="n">
        <v>9706.0</v>
      </c>
      <c r="G17" s="11">
        <f t="shared" si="1"/>
        <v>7.889153780538484E-2</v>
      </c>
    </row>
    <row r="18" spans="1:7" x14ac:dyDescent="0.25">
      <c r="A18">
        <v>7</v>
      </c>
      <c r="B18" s="8" t="n">
        <v>13097.190929197708</v>
      </c>
      <c r="C18" s="11">
        <f t="shared" si="0"/>
        <v>9.3955841471415349E-2</v>
      </c>
      <c r="E18" s="206">
        <v>7</v>
      </c>
      <c r="F18" s="296" t="n">
        <v>12125.0</v>
      </c>
      <c r="G18" s="11">
        <f t="shared" si="1"/>
        <v>8.7560056283400037E-2</v>
      </c>
    </row>
    <row r="19" spans="1:7" x14ac:dyDescent="0.25">
      <c r="A19">
        <v>8</v>
      </c>
      <c r="B19" s="8" t="n">
        <v>12419.36496714541</v>
      </c>
      <c r="C19" s="11">
        <f t="shared" si="0"/>
        <v>8.9093294305379919E-2</v>
      </c>
      <c r="E19" s="207">
        <v>8</v>
      </c>
      <c r="F19" s="297" t="n">
        <v>12293.0</v>
      </c>
      <c r="G19" s="11">
        <f t="shared" si="1"/>
        <v>8.5810313276904124E-2</v>
      </c>
    </row>
    <row r="20" spans="1:7" x14ac:dyDescent="0.25">
      <c r="A20">
        <v>9</v>
      </c>
      <c r="B20" s="8" t="n">
        <v>5520.634997652566</v>
      </c>
      <c r="C20" s="11">
        <f t="shared" si="0"/>
        <v>3.9603599692866781E-2</v>
      </c>
      <c r="E20" s="208">
        <v>9</v>
      </c>
      <c r="F20" s="298" t="n">
        <v>10842.0</v>
      </c>
      <c r="G20" s="11">
        <f t="shared" si="1"/>
        <v>8.1246400268293925E-2</v>
      </c>
    </row>
    <row r="21" spans="1:7" x14ac:dyDescent="0.25">
      <c r="A21">
        <v>10</v>
      </c>
      <c r="B21" s="8" t="n">
        <v>9604.533418680783</v>
      </c>
      <c r="C21" s="11">
        <f t="shared" si="0"/>
        <v>6.8900424844593813E-2</v>
      </c>
      <c r="E21" s="209">
        <v>10</v>
      </c>
      <c r="F21" s="299" t="n">
        <v>9570.0</v>
      </c>
      <c r="G21" s="11">
        <f t="shared" si="1"/>
        <v>7.2971573966740297E-2</v>
      </c>
    </row>
    <row r="22" spans="1:7" x14ac:dyDescent="0.25">
      <c r="A22">
        <v>11</v>
      </c>
      <c r="B22" s="8" t="n">
        <v>8058.919836017409</v>
      </c>
      <c r="C22" s="11">
        <f t="shared" si="0"/>
        <v>5.781259497834005E-2</v>
      </c>
      <c r="E22" s="210">
        <v>11</v>
      </c>
      <c r="F22" s="300" t="n">
        <v>8704.0</v>
      </c>
      <c r="G22" s="11">
        <f t="shared" si="1"/>
        <v>6.2925132871109554E-2</v>
      </c>
    </row>
    <row r="23" spans="1:7" x14ac:dyDescent="0.25">
      <c r="A23">
        <v>12</v>
      </c>
      <c r="B23" s="8" t="n">
        <v>10388.979253678795</v>
      </c>
      <c r="C23" s="11">
        <f t="shared" si="0"/>
        <v>7.4527835249956223E-2</v>
      </c>
      <c r="E23" s="211">
        <v>12</v>
      </c>
      <c r="F23" s="301" t="n">
        <v>7516.0</v>
      </c>
      <c r="G23" s="11">
        <f t="shared" si="1"/>
        <v>5.7406151804787003E-2</v>
      </c>
    </row>
    <row r="24" spans="1:7" x14ac:dyDescent="0.25">
      <c r="A24">
        <v>13</v>
      </c>
      <c r="B24" s="8" t="n">
        <v>3586.2752935138674</v>
      </c>
      <c r="C24" s="11">
        <f t="shared" si="0"/>
        <v>2.5727006254377256E-2</v>
      </c>
      <c r="E24" s="212">
        <v>13</v>
      </c>
      <c r="F24" s="302" t="n">
        <v>6848.0</v>
      </c>
      <c r="G24" s="11">
        <f t="shared" si="1"/>
        <v>4.7286804750552261E-2</v>
      </c>
    </row>
    <row r="25" spans="1:7" x14ac:dyDescent="0.25">
      <c r="A25">
        <v>14</v>
      </c>
      <c r="B25" s="8" t="n">
        <v>3401.715674880141</v>
      </c>
      <c r="C25" s="11">
        <f t="shared" si="0"/>
        <v>2.440302354968002E-2</v>
      </c>
      <c r="E25" s="213">
        <v>14</v>
      </c>
      <c r="F25" s="303" t="n">
        <v>5790.0</v>
      </c>
      <c r="G25" s="11">
        <f t="shared" si="1"/>
        <v>4.0178473786662582E-2</v>
      </c>
    </row>
    <row r="26" spans="1:7" x14ac:dyDescent="0.25">
      <c r="A26">
        <v>15</v>
      </c>
      <c r="B26" s="8" t="n">
        <v>3310.6638328847635</v>
      </c>
      <c r="C26" s="11">
        <f t="shared" si="0"/>
        <v>2.3749841315531883E-2</v>
      </c>
      <c r="E26" s="214">
        <v>15</v>
      </c>
      <c r="F26" s="304" t="n">
        <v>5175.0</v>
      </c>
      <c r="G26" s="11">
        <f t="shared" si="1"/>
        <v>3.3245117123422499E-2</v>
      </c>
    </row>
    <row r="27" spans="1:7" x14ac:dyDescent="0.25">
      <c r="A27">
        <v>16</v>
      </c>
      <c r="B27" s="8" t="n">
        <v>2185.27272680648</v>
      </c>
      <c r="C27" s="11">
        <f t="shared" si="0"/>
        <v>1.5676578206851748E-2</v>
      </c>
      <c r="E27" s="215">
        <v>16</v>
      </c>
      <c r="F27" s="305" t="n">
        <v>4198.0</v>
      </c>
      <c r="G27" s="11">
        <f t="shared" si="1"/>
        <v>2.7434512222683959E-2</v>
      </c>
    </row>
    <row r="28" spans="1:7" x14ac:dyDescent="0.25">
      <c r="A28">
        <v>17</v>
      </c>
      <c r="B28" s="8" t="n">
        <v>3089.7609056796255</v>
      </c>
      <c r="C28" s="11">
        <f t="shared" si="0"/>
        <v>2.2165141167136863E-2</v>
      </c>
      <c r="E28" s="216">
        <v>17</v>
      </c>
      <c r="F28" s="306" t="n">
        <v>3531.0</v>
      </c>
      <c r="G28" s="11">
        <f t="shared" si="1"/>
        <v>2.3920445017971317E-2</v>
      </c>
    </row>
    <row r="29" spans="1:7" x14ac:dyDescent="0.25">
      <c r="A29">
        <v>18</v>
      </c>
      <c r="B29" s="8" t="n">
        <v>2939.308010823226</v>
      </c>
      <c r="C29" s="11">
        <f t="shared" si="0"/>
        <v>2.1085831228504905E-2</v>
      </c>
      <c r="E29" s="217">
        <v>18</v>
      </c>
      <c r="F29" s="307" t="n">
        <v>3074.0</v>
      </c>
      <c r="G29" s="11">
        <f t="shared" si="1"/>
        <v>1.9830420740287104E-2</v>
      </c>
    </row>
    <row r="30" spans="1:7" x14ac:dyDescent="0.25">
      <c r="A30">
        <v>19</v>
      </c>
      <c r="B30" s="8" t="n">
        <v>1059.4741600996078</v>
      </c>
      <c r="C30" s="11">
        <f t="shared" si="0"/>
        <v>7.6003920815925228E-3</v>
      </c>
      <c r="E30" s="218">
        <v>19</v>
      </c>
      <c r="F30" s="308" t="n">
        <v>2491.0</v>
      </c>
      <c r="G30" s="11">
        <f t="shared" si="1"/>
        <v>1.7118319080218426E-2</v>
      </c>
    </row>
    <row r="31" spans="1:7" x14ac:dyDescent="0.25">
      <c r="A31">
        <v>20</v>
      </c>
      <c r="B31" s="8" t="n">
        <v>742.6942416514732</v>
      </c>
      <c r="C31" s="11">
        <f t="shared" si="0"/>
        <v>5.3278953332486379E-3</v>
      </c>
      <c r="E31" s="219">
        <v>20</v>
      </c>
      <c r="F31" s="309" t="n">
        <v>2216.0</v>
      </c>
      <c r="G31" s="11">
        <f t="shared" si="1"/>
        <v>1.3895875709921773E-2</v>
      </c>
    </row>
    <row r="32" spans="1:7" x14ac:dyDescent="0.25">
      <c r="A32">
        <v>21</v>
      </c>
      <c r="B32" s="8" t="n">
        <v>766.76137057544</v>
      </c>
      <c r="C32" s="11">
        <f t="shared" si="0"/>
        <v>5.500546656885626E-3</v>
      </c>
      <c r="E32" s="220">
        <v>21</v>
      </c>
      <c r="F32" s="310" t="n">
        <v>1889.0</v>
      </c>
      <c r="G32" s="11">
        <f t="shared" si="1"/>
        <v>1.2794995735001421E-2</v>
      </c>
    </row>
    <row r="33" spans="1:7" x14ac:dyDescent="0.25">
      <c r="A33">
        <v>22</v>
      </c>
      <c r="B33" s="8" t="n">
        <v>2198.2140818369558</v>
      </c>
      <c r="C33" s="11">
        <f t="shared" si="0"/>
        <v>1.5769416122114785E-2</v>
      </c>
      <c r="E33" s="221">
        <v>22</v>
      </c>
      <c r="F33" s="311" t="n">
        <v>1734.0</v>
      </c>
      <c r="G33" s="11">
        <f t="shared" si="1"/>
        <v>1.1176483453992695E-2</v>
      </c>
    </row>
    <row r="34" spans="1:7" x14ac:dyDescent="0.25">
      <c r="A34">
        <v>23</v>
      </c>
      <c r="B34" s="8" t="n">
        <v>477.96487402182845</v>
      </c>
      <c r="C34" s="11">
        <f t="shared" si="0"/>
        <v>3.4287956994187925E-3</v>
      </c>
      <c r="E34" s="222">
        <v>23</v>
      </c>
      <c r="F34" s="312" t="n">
        <v>1437.0</v>
      </c>
      <c r="G34" s="11">
        <f t="shared" si="1"/>
        <v>9.4267404474967734E-3</v>
      </c>
    </row>
    <row r="35" spans="1:7" x14ac:dyDescent="0.25">
      <c r="A35">
        <v>24</v>
      </c>
      <c r="B35" s="8" t="n">
        <v>1552.2739443066298</v>
      </c>
      <c r="C35" s="11">
        <f t="shared" si="0"/>
        <v>1.1135609568487548E-2</v>
      </c>
      <c r="E35" s="223">
        <v>24</v>
      </c>
      <c r="F35" s="313" t="n">
        <v>1259.0</v>
      </c>
      <c r="G35" s="11">
        <f t="shared" si="1"/>
        <v>7.7426128037444497E-3</v>
      </c>
    </row>
    <row r="36" spans="1:7" x14ac:dyDescent="0.25">
      <c r="A36">
        <v>25</v>
      </c>
      <c r="B36" s="8" t="n">
        <v>263.4919577122301</v>
      </c>
      <c r="C36" s="11">
        <f t="shared" si="0"/>
        <v>1.8902227769019534E-3</v>
      </c>
      <c r="E36" s="224">
        <v>25</v>
      </c>
      <c r="F36" s="314" t="n">
        <v>1047.0</v>
      </c>
      <c r="G36" s="11">
        <f t="shared" si="1"/>
        <v>7.2687240728184716E-3</v>
      </c>
    </row>
    <row r="37" spans="1:7" x14ac:dyDescent="0.25">
      <c r="A37">
        <v>26</v>
      </c>
      <c r="B37" s="8" t="n">
        <v>419.028390984722</v>
      </c>
      <c r="C37" s="11">
        <f t="shared" si="0"/>
        <v>3.0060006980286483E-3</v>
      </c>
      <c r="E37" s="225">
        <v>26</v>
      </c>
      <c r="F37" s="315" t="n">
        <v>923.0</v>
      </c>
      <c r="G37" s="11">
        <f t="shared" si="1"/>
        <v>6.0366133724109273E-3</v>
      </c>
    </row>
    <row r="38" spans="1:7" x14ac:dyDescent="0.25">
      <c r="A38">
        <v>27</v>
      </c>
      <c r="B38" s="8" t="n">
        <v>548.0811267760374</v>
      </c>
      <c r="C38" s="11">
        <f t="shared" si="0"/>
        <v>3.9317914611785012E-3</v>
      </c>
      <c r="E38" s="226">
        <v>27</v>
      </c>
      <c r="F38" s="316" t="n">
        <v>813.0</v>
      </c>
      <c r="G38" s="11">
        <f t="shared" si="1"/>
        <v>4.9503145892113767E-3</v>
      </c>
    </row>
    <row r="39" spans="1:7" x14ac:dyDescent="0.25">
      <c r="A39">
        <v>28</v>
      </c>
      <c r="B39" s="8" t="n">
        <v>2114.4106837349923</v>
      </c>
      <c r="C39" s="11">
        <f t="shared" si="0"/>
        <v>1.5168232339317453E-2</v>
      </c>
      <c r="E39" s="227">
        <v>28</v>
      </c>
      <c r="F39" s="317" t="n">
        <v>573.0</v>
      </c>
      <c r="G39" s="11">
        <f t="shared" si="1"/>
        <v>4.2139644073110093E-3</v>
      </c>
    </row>
    <row r="40" spans="1:7" x14ac:dyDescent="0.25">
      <c r="A40">
        <v>29</v>
      </c>
      <c r="B40" s="8" t="n">
        <v>321.771513513871</v>
      </c>
      <c r="C40" s="11">
        <f t="shared" si="0"/>
        <v>2.3083051531553552E-3</v>
      </c>
      <c r="E40" s="228">
        <v>29</v>
      </c>
      <c r="F40" s="318" t="n">
        <v>559.0</v>
      </c>
      <c r="G40" s="11">
        <f t="shared" si="1"/>
        <v>3.8567252101514259E-3</v>
      </c>
    </row>
    <row r="41" spans="1:7" x14ac:dyDescent="0.25">
      <c r="A41">
        <v>30</v>
      </c>
      <c r="B41" s="8" t="n">
        <v>67.6246100417713</v>
      </c>
      <c r="C41" s="11">
        <f t="shared" si="0"/>
        <v>4.8512136495517641E-4</v>
      </c>
      <c r="E41" s="229">
        <v>30</v>
      </c>
      <c r="F41" s="319" t="n">
        <v>521.0</v>
      </c>
      <c r="G41" s="11">
        <f t="shared" si="1"/>
        <v>3.1349562199718584E-3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465.0</v>
      </c>
      <c r="G42" s="11">
        <f t="shared" si="1"/>
        <v>2.6902298724874782E-3</v>
      </c>
    </row>
    <row r="43" spans="1:7" x14ac:dyDescent="0.25">
      <c r="A43">
        <v>32</v>
      </c>
      <c r="B43" s="8" t="n">
        <v>414.909327785052</v>
      </c>
      <c r="C43" s="11">
        <f t="shared" si="0"/>
        <v>2.9764516099004324E-3</v>
      </c>
      <c r="E43" s="231">
        <v>32</v>
      </c>
      <c r="F43" s="321" t="n">
        <v>432.0</v>
      </c>
      <c r="G43" s="11">
        <f t="shared" si="1"/>
        <v>2.5444179552794851E-3</v>
      </c>
    </row>
    <row r="44" spans="1:7" x14ac:dyDescent="0.25">
      <c r="A44">
        <v>33</v>
      </c>
      <c r="B44" s="8" t="n">
        <v>60.4626096592575</v>
      </c>
      <c r="C44" s="11">
        <f t="shared" si="0"/>
        <v>4.3374303686975822E-4</v>
      </c>
      <c r="E44" s="232">
        <v>33</v>
      </c>
      <c r="F44" s="322" t="n">
        <v>361.0</v>
      </c>
      <c r="G44" s="11">
        <f t="shared" si="1"/>
        <v>2.0049138616099094E-3</v>
      </c>
    </row>
    <row r="45" spans="1:7" x14ac:dyDescent="0.25">
      <c r="A45">
        <v>34</v>
      </c>
      <c r="B45" s="8" t="n">
        <v>70.6055336523959</v>
      </c>
      <c r="C45" s="11">
        <f t="shared" si="0"/>
        <v>5.0650573567347058E-4</v>
      </c>
      <c r="E45" s="233">
        <v>34</v>
      </c>
      <c r="F45" s="323" t="n">
        <v>306.0</v>
      </c>
      <c r="G45" s="11">
        <f t="shared" si="1"/>
        <v>1.7132900271939226E-3</v>
      </c>
    </row>
    <row r="46" spans="1:7" x14ac:dyDescent="0.25">
      <c r="A46">
        <v>35</v>
      </c>
      <c r="B46" s="8" t="n">
        <v>17.9597247291772</v>
      </c>
      <c r="C46" s="11">
        <f t="shared" si="0"/>
        <v>1.2883839432798106E-4</v>
      </c>
      <c r="E46" s="234">
        <v>35</v>
      </c>
      <c r="F46" s="324" t="n">
        <v>306.0</v>
      </c>
      <c r="G46" s="11">
        <f t="shared" si="1"/>
        <v>1.4216661927779358E-3</v>
      </c>
    </row>
    <row r="47" spans="1:7" x14ac:dyDescent="0.25">
      <c r="A47">
        <v>36</v>
      </c>
      <c r="B47" s="8" t="n">
        <v>803.79056072567</v>
      </c>
      <c r="C47" s="11">
        <f t="shared" si="0"/>
        <v>5.766184436649063E-3</v>
      </c>
      <c r="E47" s="235">
        <v>36</v>
      </c>
      <c r="F47" s="325" t="n">
        <v>245.0</v>
      </c>
      <c r="G47" s="11">
        <f t="shared" si="1"/>
        <v>1.1664953376639472E-3</v>
      </c>
    </row>
    <row r="48" spans="1:7" x14ac:dyDescent="0.25">
      <c r="A48">
        <v>37</v>
      </c>
      <c r="B48" s="8" t="n">
        <v>227.7541614075281</v>
      </c>
      <c r="C48" s="11">
        <f t="shared" si="0"/>
        <v>1.6338491207268122E-3</v>
      </c>
      <c r="E48" s="236">
        <v>37</v>
      </c>
      <c r="F48" s="326" t="n">
        <v>193.0</v>
      </c>
      <c r="G48" s="11">
        <f t="shared" si="1"/>
        <v>9.1132448254995879E-4</v>
      </c>
    </row>
    <row r="49" spans="1:7" x14ac:dyDescent="0.25">
      <c r="A49">
        <v>38</v>
      </c>
      <c r="B49" s="8" t="n">
        <v>1067.824273245742</v>
      </c>
      <c r="C49" s="11">
        <f t="shared" si="0"/>
        <v>7.6602936216454802E-3</v>
      </c>
      <c r="E49" s="237">
        <v>38</v>
      </c>
      <c r="F49" s="327" t="n">
        <v>156.0</v>
      </c>
      <c r="G49" s="11">
        <f t="shared" si="1"/>
        <v>9.2590567427075813E-4</v>
      </c>
    </row>
    <row r="50" spans="1:7" x14ac:dyDescent="0.25">
      <c r="A50">
        <v>39</v>
      </c>
      <c r="B50" s="8" t="n">
        <v>101.5039126068893</v>
      </c>
      <c r="C50" s="11">
        <f t="shared" si="0"/>
        <v>7.2816267039068727E-4</v>
      </c>
      <c r="E50" s="238">
        <v>39</v>
      </c>
      <c r="F50" s="328" t="n">
        <v>143.0</v>
      </c>
      <c r="G50" s="11">
        <f t="shared" si="1"/>
        <v>7.1447839431916776E-4</v>
      </c>
    </row>
    <row r="51" spans="1:7" x14ac:dyDescent="0.25">
      <c r="A51">
        <v>40</v>
      </c>
      <c r="B51" s="8" t="n">
        <v>92.69220777544501</v>
      </c>
      <c r="C51" s="11">
        <f t="shared" si="0"/>
        <v>6.6494979163586869E-4</v>
      </c>
      <c r="E51" s="239">
        <v>40</v>
      </c>
      <c r="F51" s="329" t="n">
        <v>122.0</v>
      </c>
      <c r="G51" s="11">
        <f t="shared" si="1"/>
        <v>6.0511945641317265E-4</v>
      </c>
    </row>
    <row r="52" spans="1:7" x14ac:dyDescent="0.25">
      <c r="A52">
        <v>41</v>
      </c>
      <c r="B52" s="8" t="n">
        <v>25.2984419350193</v>
      </c>
      <c r="C52" s="11">
        <f t="shared" si="0"/>
        <v>1.8148444294429196E-4</v>
      </c>
      <c r="E52" s="240">
        <v>41</v>
      </c>
      <c r="F52" s="330" t="n">
        <v>117.0</v>
      </c>
      <c r="G52" s="11">
        <f t="shared" si="1"/>
        <v>4.5201694334477959E-4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95.0</v>
      </c>
      <c r="G53" s="11">
        <f t="shared" si="1"/>
        <v>5.1763230608837662E-4</v>
      </c>
    </row>
    <row r="54" spans="1:7" x14ac:dyDescent="0.25">
      <c r="A54">
        <v>43</v>
      </c>
      <c r="B54" s="8" t="n">
        <v>39.589074800549</v>
      </c>
      <c r="C54" s="11">
        <f t="shared" si="0"/>
        <v>2.8400172648229374E-4</v>
      </c>
      <c r="E54" s="242">
        <v>43</v>
      </c>
      <c r="F54" s="332" t="n">
        <v>80.0</v>
      </c>
      <c r="G54" s="11">
        <f t="shared" si="1"/>
        <v>3.8640158060118256E-4</v>
      </c>
    </row>
    <row r="55" spans="1:7" x14ac:dyDescent="0.25">
      <c r="A55">
        <v>44</v>
      </c>
      <c r="B55" s="8" t="n">
        <v>534.485868379039</v>
      </c>
      <c r="C55" s="11">
        <f t="shared" si="0"/>
        <v>3.8342626132280835E-3</v>
      </c>
      <c r="E55" s="243">
        <v>44</v>
      </c>
      <c r="F55" s="333" t="n">
        <v>81.0</v>
      </c>
      <c r="G55" s="11">
        <f t="shared" si="1"/>
        <v>4.0827336818238157E-4</v>
      </c>
    </row>
    <row r="56" spans="1:7" x14ac:dyDescent="0.25">
      <c r="A56">
        <v>45</v>
      </c>
      <c r="B56" s="8" t="n">
        <v>264.2234574943262</v>
      </c>
      <c r="C56" s="11">
        <f t="shared" si="0"/>
        <v>1.8954703660937534E-3</v>
      </c>
      <c r="E56" s="244">
        <v>45</v>
      </c>
      <c r="F56" s="334" t="n">
        <v>73.0</v>
      </c>
      <c r="G56" s="11">
        <f t="shared" si="1"/>
        <v>2.5517085511398845E-4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65.0</v>
      </c>
      <c r="G57" s="11">
        <f t="shared" si="1"/>
        <v>2.6246145097438812E-4</v>
      </c>
    </row>
    <row r="58" spans="1:7" x14ac:dyDescent="0.25">
      <c r="A58">
        <v>47</v>
      </c>
      <c r="B58" s="8" t="n">
        <v>50.7232006661763</v>
      </c>
      <c r="C58" s="11">
        <f t="shared" si="0"/>
        <v>3.638750497322088E-4</v>
      </c>
      <c r="E58" s="246">
        <v>47</v>
      </c>
      <c r="F58" s="336" t="n">
        <v>44.0</v>
      </c>
      <c r="G58" s="11">
        <f t="shared" si="1"/>
        <v>1.2394012962679439E-4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35.0</v>
      </c>
      <c r="G59" s="11">
        <f t="shared" si="1"/>
        <v>1.0206834204559539E-4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33.0</v>
      </c>
      <c r="G60" s="11">
        <f t="shared" si="1"/>
        <v>8.7487150324796052E-5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41.0</v>
      </c>
      <c r="G61" s="11">
        <f t="shared" si="1"/>
        <v>5.8324766883197366E-5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30.0</v>
      </c>
      <c r="G62" s="11">
        <f t="shared" si="1"/>
        <v>8.0196554464396369E-5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25.0</v>
      </c>
      <c r="G63" s="11">
        <f t="shared" si="1"/>
        <v>7.2905958603996699E-5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15.0</v>
      </c>
      <c r="G64" s="11">
        <f t="shared" si="1"/>
        <v>5.8324766883197366E-5</v>
      </c>
    </row>
    <row r="65" spans="1:7" x14ac:dyDescent="0.25">
      <c r="A65">
        <v>54</v>
      </c>
      <c r="B65" s="8" t="n">
        <v>34.07811683509</v>
      </c>
      <c r="C65" s="11">
        <f t="shared" si="0"/>
        <v>2.4446754730162747E-4</v>
      </c>
      <c r="E65" s="253">
        <v>54</v>
      </c>
      <c r="F65" s="343" t="n">
        <v>26.0</v>
      </c>
      <c r="G65" s="11">
        <f t="shared" si="1"/>
        <v>3.6452979301998349E-5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25.0</v>
      </c>
      <c r="G66" s="11">
        <f t="shared" si="1"/>
        <v>2.1871787581199013E-5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15.0</v>
      </c>
      <c r="G67" s="11">
        <f t="shared" si="1"/>
        <v>2.9162383441598683E-5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13.0</v>
      </c>
      <c r="G68" s="11">
        <f t="shared" si="1"/>
        <v>1.4581191720799341E-5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9.0</v>
      </c>
      <c r="G69" s="11">
        <f t="shared" si="1"/>
        <v>2.1871787581199013E-5</v>
      </c>
    </row>
    <row r="70" spans="1:7" x14ac:dyDescent="0.25">
      <c r="A70">
        <v>59</v>
      </c>
      <c r="B70" s="8" t="n">
        <v>28.0414563824652</v>
      </c>
      <c r="C70" s="11">
        <f t="shared" si="0"/>
        <v>2.0116211520021716E-4</v>
      </c>
      <c r="E70" s="258">
        <v>59</v>
      </c>
      <c r="F70" s="348" t="n">
        <v>6.0</v>
      </c>
      <c r="G70" s="11">
        <f t="shared" si="1"/>
        <v>4.3743575162398026E-5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8.0</v>
      </c>
      <c r="G71" s="11">
        <f t="shared" si="1"/>
        <v>2.1871787581199013E-5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10.0</v>
      </c>
      <c r="G72" s="11">
        <f t="shared" si="1"/>
        <v>4.3743575162398026E-5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3.0</v>
      </c>
      <c r="G73" s="11">
        <f t="shared" si="1"/>
        <v>7.2905958603996707E-6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6.0</v>
      </c>
      <c r="G74" s="11">
        <f t="shared" si="1"/>
        <v>7.2905958603996707E-6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5.0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7.0</v>
      </c>
      <c r="G76" s="11">
        <f t="shared" si="1"/>
        <v>7.2905958603996707E-6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2.0</v>
      </c>
      <c r="G77" s="11">
        <f t="shared" ref="G77:G102" si="3">F77/F$102</f>
        <v>7.2905958603996707E-6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2.0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3.0</v>
      </c>
      <c r="G79" s="11">
        <f t="shared" si="3"/>
        <v>7.2905958603996707E-6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2.0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2.0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1.4581191720799341E-5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1.0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2.0</v>
      </c>
      <c r="G88" s="11">
        <f t="shared" si="3"/>
        <v>7.2905958603996707E-6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1.0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2.0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1.0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1.0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1.0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139397.30328722915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zoomScaleNormal="100" workbookViewId="0">
      <selection activeCell="W32" sqref="W32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11556.876039506393</v>
      </c>
      <c r="C7" s="12" t="n">
        <v>1898.75343327984</v>
      </c>
      <c r="D7" s="12" t="n">
        <v>0.0</v>
      </c>
      <c r="E7" s="12" t="n">
        <v>0.0</v>
      </c>
      <c r="F7" s="12" t="n">
        <v>1017.4788169361318</v>
      </c>
      <c r="G7" s="12" t="n">
        <v>0.0</v>
      </c>
      <c r="H7" s="12" t="n">
        <v>0.0</v>
      </c>
      <c r="I7" s="12"/>
      <c r="J7" s="12">
        <f>SUM(B7:I7)</f>
        <v>14473.108289722364</v>
      </c>
      <c r="K7" s="12"/>
      <c r="L7" t="str">
        <f>$A$7</f>
        <v>Williamson</v>
      </c>
      <c r="M7" s="381" t="n">
        <v>12946.0</v>
      </c>
      <c r="N7" s="381" t="n">
        <v>350.0</v>
      </c>
      <c r="O7" s="381" t="n">
        <v>0.0</v>
      </c>
      <c r="P7" s="381" t="n">
        <v>0.0</v>
      </c>
      <c r="Q7" s="381" t="n">
        <v>2087.0</v>
      </c>
      <c r="R7" s="381" t="n">
        <v>649.0</v>
      </c>
      <c r="S7" s="381" t="n">
        <v>2.0</v>
      </c>
      <c r="T7" s="381"/>
      <c r="U7" s="12">
        <f>SUM(M7:T7)</f>
        <v>16358</v>
      </c>
    </row>
    <row r="8" spans="1:21" x14ac:dyDescent="0.25">
      <c r="A8" t="s">
        <v>41</v>
      </c>
      <c r="B8" s="12" t="n">
        <v>974.7866367314921</v>
      </c>
      <c r="C8" s="12" t="n">
        <v>21638.320776505574</v>
      </c>
      <c r="D8" s="12" t="n">
        <v>0.0</v>
      </c>
      <c r="E8" s="12" t="n">
        <v>0.0</v>
      </c>
      <c r="F8" s="12" t="n">
        <v>508.1009140012935</v>
      </c>
      <c r="G8" s="12" t="n">
        <v>0.0</v>
      </c>
      <c r="H8" s="12" t="n">
        <v>60.4626096592575</v>
      </c>
      <c r="I8" s="12"/>
      <c r="J8" s="12">
        <f t="shared" ref="J8:J14" si="0">SUM(B8:I8)</f>
        <v>23181.670936897619</v>
      </c>
      <c r="K8" s="12"/>
      <c r="L8" t="str">
        <f>$A$8</f>
        <v>Rutherford</v>
      </c>
      <c r="M8" s="381" t="n">
        <v>149.0</v>
      </c>
      <c r="N8" s="381" t="n">
        <v>21138.0</v>
      </c>
      <c r="O8" s="381" t="n">
        <v>0.0</v>
      </c>
      <c r="P8" s="381" t="n">
        <v>0.0</v>
      </c>
      <c r="Q8" s="381" t="n">
        <v>747.0</v>
      </c>
      <c r="R8" s="381" t="n">
        <v>6.0</v>
      </c>
      <c r="S8" s="381" t="n">
        <v>113.0</v>
      </c>
      <c r="T8" s="381"/>
      <c r="U8" s="12">
        <f t="shared" ref="U8:U14" si="1">SUM(M8:T8)</f>
        <v>22453</v>
      </c>
    </row>
    <row r="9" spans="1:21" x14ac:dyDescent="0.25">
      <c r="A9" t="s">
        <v>42</v>
      </c>
      <c r="B9" s="12" t="n">
        <v>34.07811683509</v>
      </c>
      <c r="C9" s="12" t="n">
        <v>0.0</v>
      </c>
      <c r="D9" s="12" t="n">
        <v>15302.850828302213</v>
      </c>
      <c r="E9" s="12" t="n">
        <v>850.5966939182078</v>
      </c>
      <c r="F9" s="12" t="n">
        <v>661.7412023630228</v>
      </c>
      <c r="G9" s="12" t="n">
        <v>0.0</v>
      </c>
      <c r="H9" s="12" t="n">
        <v>0.0</v>
      </c>
      <c r="I9" s="12"/>
      <c r="J9" s="12">
        <f t="shared" si="0"/>
        <v>16849.266841418532</v>
      </c>
      <c r="K9" s="13"/>
      <c r="L9" t="str">
        <f>$A$9</f>
        <v>Sumner</v>
      </c>
      <c r="M9" s="381" t="n">
        <v>5.0</v>
      </c>
      <c r="N9" s="381" t="n">
        <v>0.0</v>
      </c>
      <c r="O9" s="381" t="n">
        <v>11534.0</v>
      </c>
      <c r="P9" s="381" t="n">
        <v>778.0</v>
      </c>
      <c r="Q9" s="381" t="n">
        <v>2160.0</v>
      </c>
      <c r="R9" s="381" t="n">
        <v>0.0</v>
      </c>
      <c r="S9" s="381" t="n">
        <v>80.0</v>
      </c>
      <c r="T9" s="381"/>
      <c r="U9" s="12">
        <f t="shared" si="1"/>
        <v>14698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69.8873994698875</v>
      </c>
      <c r="E10" s="12" t="n">
        <v>4848.208534943068</v>
      </c>
      <c r="F10" s="12" t="n">
        <v>445.142156847514</v>
      </c>
      <c r="G10" s="12" t="n">
        <v>0.0</v>
      </c>
      <c r="H10" s="12" t="n">
        <v>0.0</v>
      </c>
      <c r="I10" s="12"/>
      <c r="J10" s="12">
        <f t="shared" si="0"/>
        <v>5363.2380912604704</v>
      </c>
      <c r="K10" s="13"/>
      <c r="L10" t="str">
        <f>$A$10</f>
        <v>Roberston</v>
      </c>
      <c r="M10" s="381" t="n">
        <v>1.0</v>
      </c>
      <c r="N10" s="381" t="n">
        <v>0.0</v>
      </c>
      <c r="O10" s="381" t="n">
        <v>368.0</v>
      </c>
      <c r="P10" s="381" t="n">
        <v>4808.0</v>
      </c>
      <c r="Q10" s="381" t="n">
        <v>518.0</v>
      </c>
      <c r="R10" s="381" t="n">
        <v>0.0</v>
      </c>
      <c r="S10" s="381" t="n">
        <v>1.0</v>
      </c>
      <c r="T10" s="381"/>
      <c r="U10" s="12">
        <f t="shared" si="1"/>
        <v>5778</v>
      </c>
    </row>
    <row r="11" spans="1:21" x14ac:dyDescent="0.25">
      <c r="A11" t="s">
        <v>44</v>
      </c>
      <c r="B11" s="12" t="n">
        <v>2011.1896258193005</v>
      </c>
      <c r="C11" s="12" t="n">
        <v>248.2223139591053</v>
      </c>
      <c r="D11" s="12" t="n">
        <v>1201.158528790027</v>
      </c>
      <c r="E11" s="12" t="n">
        <v>0.0</v>
      </c>
      <c r="F11" s="12" t="n">
        <v>53708.63820683626</v>
      </c>
      <c r="G11" s="12" t="n">
        <v>0.0</v>
      </c>
      <c r="H11" s="12" t="n">
        <v>202.080046202786</v>
      </c>
      <c r="I11" s="12"/>
      <c r="J11" s="12">
        <f t="shared" si="0"/>
        <v>57371.288721607474</v>
      </c>
      <c r="K11" s="13"/>
      <c r="L11" t="str">
        <f>$A$11</f>
        <v>Davidson</v>
      </c>
      <c r="M11" s="381" t="n">
        <v>1529.0</v>
      </c>
      <c r="N11" s="381" t="n">
        <v>709.0</v>
      </c>
      <c r="O11" s="381" t="n">
        <v>287.0</v>
      </c>
      <c r="P11" s="381" t="n">
        <v>80.0</v>
      </c>
      <c r="Q11" s="381" t="n">
        <v>54700.0</v>
      </c>
      <c r="R11" s="381" t="n">
        <v>0.0</v>
      </c>
      <c r="S11" s="381" t="n">
        <v>585.0</v>
      </c>
      <c r="T11" s="381"/>
      <c r="U11" s="12">
        <f t="shared" si="1"/>
        <v>59920</v>
      </c>
    </row>
    <row r="12" spans="1:21" x14ac:dyDescent="0.25">
      <c r="A12" t="s">
        <v>45</v>
      </c>
      <c r="B12" s="12" t="n">
        <v>715.5111633452898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7695.007752906966</v>
      </c>
      <c r="H12" s="12" t="n">
        <v>0.0</v>
      </c>
      <c r="I12" s="12"/>
      <c r="J12" s="12">
        <f t="shared" si="0"/>
        <v>8410.5189162522547</v>
      </c>
      <c r="K12" s="13"/>
      <c r="L12" t="str">
        <f>$A$12</f>
        <v>Maury</v>
      </c>
      <c r="M12" s="381" t="n">
        <v>407.0</v>
      </c>
      <c r="N12" s="381" t="n">
        <v>3.0</v>
      </c>
      <c r="O12" s="381" t="n">
        <v>0.0</v>
      </c>
      <c r="P12" s="381" t="n">
        <v>0.0</v>
      </c>
      <c r="Q12" s="381" t="n">
        <v>7.0</v>
      </c>
      <c r="R12" s="381" t="n">
        <v>7209.0</v>
      </c>
      <c r="S12" s="381" t="n">
        <v>0.0</v>
      </c>
      <c r="T12" s="381"/>
      <c r="U12" s="12">
        <f t="shared" si="1"/>
        <v>7444</v>
      </c>
    </row>
    <row r="13" spans="1:21" x14ac:dyDescent="0.25">
      <c r="A13" t="s">
        <v>46</v>
      </c>
      <c r="B13" s="12" t="n">
        <v>59.7297560147254</v>
      </c>
      <c r="C13" s="12" t="n">
        <v>114.5437054238438</v>
      </c>
      <c r="D13" s="12" t="n">
        <v>0.0</v>
      </c>
      <c r="E13" s="12" t="n">
        <v>0.0</v>
      </c>
      <c r="F13" s="12" t="n">
        <v>3935.775650837764</v>
      </c>
      <c r="G13" s="12" t="n">
        <v>0.0</v>
      </c>
      <c r="H13" s="12" t="n">
        <v>9638.162377794197</v>
      </c>
      <c r="I13" s="12"/>
      <c r="J13" s="12">
        <f t="shared" si="0"/>
        <v>13748.211490070531</v>
      </c>
      <c r="K13" s="13"/>
      <c r="L13" t="str">
        <f>$A$13</f>
        <v>Wilson</v>
      </c>
      <c r="M13" s="381" t="n">
        <v>5.0</v>
      </c>
      <c r="N13" s="381" t="n">
        <v>255.0</v>
      </c>
      <c r="O13" s="381" t="n">
        <v>186.0</v>
      </c>
      <c r="P13" s="381" t="n">
        <v>2.0</v>
      </c>
      <c r="Q13" s="381" t="n">
        <v>1682.0</v>
      </c>
      <c r="R13" s="381" t="n">
        <v>0.0</v>
      </c>
      <c r="S13" s="381" t="n">
        <v>8107.0</v>
      </c>
      <c r="T13" s="381"/>
      <c r="U13" s="12">
        <f t="shared" si="1"/>
        <v>10512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15352.171338252292</v>
      </c>
      <c r="C15" s="15">
        <f t="shared" si="2"/>
        <v>23899.84022916836</v>
      </c>
      <c r="D15" s="15">
        <f t="shared" si="2"/>
        <v>16573.896756562128</v>
      </c>
      <c r="E15" s="15">
        <f t="shared" si="2"/>
        <v>5698.8052288612762</v>
      </c>
      <c r="F15" s="15">
        <f t="shared" si="2"/>
        <v>60276.876947821984</v>
      </c>
      <c r="G15" s="15">
        <f t="shared" si="2"/>
        <v>7695.0077529069658</v>
      </c>
      <c r="H15" s="15">
        <f t="shared" si="2"/>
        <v>9900.7050336562406</v>
      </c>
      <c r="I15" s="15">
        <f t="shared" si="2"/>
        <v>0</v>
      </c>
      <c r="J15" s="15">
        <f t="shared" si="2"/>
        <v>139397.30328722924</v>
      </c>
      <c r="K15" s="12"/>
      <c r="L15" s="15" t="s">
        <v>4</v>
      </c>
      <c r="M15" s="15">
        <f t="shared" ref="M15:U15" si="3">SUM(M7:M14)</f>
        <v>15313</v>
      </c>
      <c r="N15" s="15">
        <f t="shared" si="3"/>
        <v>22572</v>
      </c>
      <c r="O15" s="15">
        <f t="shared" si="3"/>
        <v>12312</v>
      </c>
      <c r="P15" s="15">
        <f t="shared" si="3"/>
        <v>5585</v>
      </c>
      <c r="Q15" s="15">
        <f t="shared" si="3"/>
        <v>64804</v>
      </c>
      <c r="R15" s="15">
        <f t="shared" si="3"/>
        <v>7662</v>
      </c>
      <c r="S15" s="15">
        <f t="shared" si="3"/>
        <v>8915</v>
      </c>
      <c r="T15" s="15">
        <f t="shared" si="3"/>
        <v>0</v>
      </c>
      <c r="U15" s="15">
        <f t="shared" si="3"/>
        <v>137163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13061.974972473037</v>
      </c>
      <c r="C20" s="12">
        <f t="shared" si="4"/>
        <v>2146.0358092979791</v>
      </c>
      <c r="D20" s="12">
        <f t="shared" si="4"/>
        <v>0</v>
      </c>
      <c r="E20" s="12">
        <f t="shared" si="4"/>
        <v>0</v>
      </c>
      <c r="F20" s="12">
        <f t="shared" si="4"/>
        <v>1149.9892182289836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16358</v>
      </c>
      <c r="K20" s="12"/>
      <c r="L20" t="str">
        <f>$A$7</f>
        <v>Williamson</v>
      </c>
      <c r="M20" s="12">
        <f t="shared" ref="M20:M26" si="5">M7</f>
        <v>12922</v>
      </c>
      <c r="N20" s="12">
        <f t="shared" ref="N20:U20" si="6">N7</f>
        <v>333</v>
      </c>
      <c r="O20" s="12">
        <f t="shared" si="6"/>
        <v>0</v>
      </c>
      <c r="P20" s="12">
        <f t="shared" si="6"/>
        <v>1</v>
      </c>
      <c r="Q20" s="12">
        <f t="shared" si="6"/>
        <v>2466</v>
      </c>
      <c r="R20" s="12">
        <f t="shared" si="6"/>
        <v>634</v>
      </c>
      <c r="S20" s="12">
        <f t="shared" si="6"/>
        <v>2</v>
      </c>
      <c r="T20" s="12"/>
      <c r="U20" s="12">
        <f t="shared" si="6"/>
        <v>16358</v>
      </c>
    </row>
    <row r="21" spans="1:32" x14ac:dyDescent="0.25">
      <c r="A21" t="str">
        <f>$A$8</f>
        <v>Rutherford</v>
      </c>
      <c r="B21" s="12">
        <f t="shared" ref="B21:G25" si="7">($U8/$J8)*B8</f>
        <v>944.14610638336035</v>
      </c>
      <c r="C21" s="12">
        <f t="shared" si="7"/>
        <v>20958.162063355554</v>
      </c>
      <c r="D21" s="12">
        <f t="shared" si="7"/>
        <v>0</v>
      </c>
      <c r="E21" s="12">
        <f t="shared" si="7"/>
        <v>0</v>
      </c>
      <c r="F21" s="12">
        <f t="shared" si="7"/>
        <v>492.12974565662682</v>
      </c>
      <c r="G21" s="12">
        <f t="shared" si="7"/>
        <v>0</v>
      </c>
      <c r="H21" s="12">
        <f t="shared" ref="H21:I26" si="8">($U8/$J8)*H8</f>
        <v>58.562084604458221</v>
      </c>
      <c r="I21" s="12">
        <f>($U8/$J8)*I8</f>
        <v>0</v>
      </c>
      <c r="J21" s="12">
        <f t="shared" ref="J21:J27" si="9">SUM(B21:I21)</f>
        <v>22453</v>
      </c>
      <c r="K21" s="12"/>
      <c r="L21" t="str">
        <f>$A$8</f>
        <v>Rutherford</v>
      </c>
      <c r="M21" s="12">
        <f t="shared" si="5"/>
        <v>168</v>
      </c>
      <c r="N21" s="12">
        <f t="shared" ref="N21:R25" si="10">N8</f>
        <v>21190</v>
      </c>
      <c r="O21" s="12">
        <f t="shared" si="10"/>
        <v>1</v>
      </c>
      <c r="P21" s="12">
        <f t="shared" si="10"/>
        <v>0</v>
      </c>
      <c r="Q21" s="12">
        <f t="shared" si="10"/>
        <v>1017</v>
      </c>
      <c r="R21" s="12">
        <f t="shared" si="10"/>
        <v>4</v>
      </c>
      <c r="S21" s="12">
        <f t="shared" ref="S21" si="11">S8</f>
        <v>73</v>
      </c>
      <c r="T21" s="12"/>
      <c r="U21" s="12">
        <f t="shared" ref="U21:U26" si="12">U8</f>
        <v>22453</v>
      </c>
    </row>
    <row r="22" spans="1:32" x14ac:dyDescent="0.25">
      <c r="A22" t="str">
        <f>$A$9</f>
        <v>Sumner</v>
      </c>
      <c r="B22" s="12">
        <f t="shared" si="7"/>
        <v>29.727119046562859</v>
      </c>
      <c r="C22" s="12">
        <f t="shared" si="7"/>
        <v>0</v>
      </c>
      <c r="D22" s="12">
        <f t="shared" si="7"/>
        <v>13349.026019428267</v>
      </c>
      <c r="E22" s="12">
        <f t="shared" si="7"/>
        <v>741.99490843586614</v>
      </c>
      <c r="F22" s="12">
        <f t="shared" si="7"/>
        <v>577.25195308930483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14698.000000000002</v>
      </c>
      <c r="K22" s="13"/>
      <c r="L22" t="str">
        <f>$A$9</f>
        <v>Sumner</v>
      </c>
      <c r="M22" s="12">
        <f t="shared" si="5"/>
        <v>2</v>
      </c>
      <c r="N22" s="12">
        <f t="shared" si="10"/>
        <v>2</v>
      </c>
      <c r="O22" s="12">
        <f t="shared" si="10"/>
        <v>11301</v>
      </c>
      <c r="P22" s="12">
        <f t="shared" si="10"/>
        <v>703</v>
      </c>
      <c r="Q22" s="12">
        <f t="shared" si="10"/>
        <v>2579</v>
      </c>
      <c r="R22" s="12">
        <f t="shared" si="10"/>
        <v>0</v>
      </c>
      <c r="S22" s="12">
        <f t="shared" ref="S22" si="13">S9</f>
        <v>111</v>
      </c>
      <c r="T22" s="12"/>
      <c r="U22" s="12">
        <f t="shared" si="12"/>
        <v>14698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75.292087963617988</v>
      </c>
      <c r="E23" s="12">
        <f t="shared" si="7"/>
        <v>5223.1410275349963</v>
      </c>
      <c r="F23" s="12">
        <f t="shared" si="7"/>
        <v>479.56688450138449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5777.9999999999982</v>
      </c>
      <c r="K23" s="13"/>
      <c r="L23" t="str">
        <f>$A$10</f>
        <v>Roberston</v>
      </c>
      <c r="M23" s="12">
        <f t="shared" si="5"/>
        <v>0</v>
      </c>
      <c r="N23" s="12">
        <f t="shared" si="10"/>
        <v>1</v>
      </c>
      <c r="O23" s="12">
        <f t="shared" si="10"/>
        <v>402</v>
      </c>
      <c r="P23" s="12">
        <f t="shared" si="10"/>
        <v>4790</v>
      </c>
      <c r="Q23" s="12">
        <f t="shared" si="10"/>
        <v>583</v>
      </c>
      <c r="R23" s="12">
        <f t="shared" si="10"/>
        <v>0</v>
      </c>
      <c r="S23" s="12">
        <f t="shared" ref="S23" si="14">S10</f>
        <v>2</v>
      </c>
      <c r="T23" s="12"/>
      <c r="U23" s="12">
        <f t="shared" si="12"/>
        <v>5778</v>
      </c>
    </row>
    <row r="24" spans="1:32" x14ac:dyDescent="0.25">
      <c r="A24" t="str">
        <f>$A$11</f>
        <v>Davidson</v>
      </c>
      <c r="B24" s="12">
        <f t="shared" si="7"/>
        <v>2100.5364366811791</v>
      </c>
      <c r="C24" s="12">
        <f t="shared" si="7"/>
        <v>259.24955467886957</v>
      </c>
      <c r="D24" s="12">
        <f t="shared" si="7"/>
        <v>1254.5198242686749</v>
      </c>
      <c r="E24" s="12">
        <f t="shared" si="7"/>
        <v>0</v>
      </c>
      <c r="F24" s="12">
        <f t="shared" si="7"/>
        <v>56094.636761080204</v>
      </c>
      <c r="G24" s="12">
        <f t="shared" si="7"/>
        <v>0</v>
      </c>
      <c r="H24" s="12">
        <f t="shared" si="8"/>
        <v>211.05742329107764</v>
      </c>
      <c r="I24" s="12">
        <f>($U11/$J11)*I11</f>
        <v>0</v>
      </c>
      <c r="J24" s="12">
        <f t="shared" si="9"/>
        <v>59920.000000000007</v>
      </c>
      <c r="K24" s="13"/>
      <c r="L24" t="str">
        <f>$A$11</f>
        <v>Davidson</v>
      </c>
      <c r="M24" s="12">
        <f t="shared" si="5"/>
        <v>1802</v>
      </c>
      <c r="N24" s="12">
        <f t="shared" si="10"/>
        <v>767</v>
      </c>
      <c r="O24" s="12">
        <f t="shared" si="10"/>
        <v>404</v>
      </c>
      <c r="P24" s="12">
        <f t="shared" si="10"/>
        <v>91</v>
      </c>
      <c r="Q24" s="12">
        <f t="shared" si="10"/>
        <v>56272</v>
      </c>
      <c r="R24" s="12">
        <f t="shared" si="10"/>
        <v>1</v>
      </c>
      <c r="S24" s="12">
        <f t="shared" ref="S24" si="15">S11</f>
        <v>583</v>
      </c>
      <c r="T24" s="12"/>
      <c r="U24" s="12">
        <f t="shared" si="12"/>
        <v>59920</v>
      </c>
    </row>
    <row r="25" spans="1:32" x14ac:dyDescent="0.25">
      <c r="A25" t="str">
        <f>$A$12</f>
        <v>Maury</v>
      </c>
      <c r="B25" s="12">
        <f t="shared" si="7"/>
        <v>633.28614476450548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6810.7138552354954</v>
      </c>
      <c r="H25" s="12">
        <f t="shared" si="8"/>
        <v>0</v>
      </c>
      <c r="I25" s="12">
        <f>($U12/$J12)*I12</f>
        <v>0</v>
      </c>
      <c r="J25" s="12">
        <f t="shared" si="9"/>
        <v>7444.0000000000009</v>
      </c>
      <c r="K25" s="13"/>
      <c r="L25" t="str">
        <f>$A$12</f>
        <v>Maury</v>
      </c>
      <c r="M25" s="12">
        <f t="shared" si="5"/>
        <v>412</v>
      </c>
      <c r="N25" s="12">
        <f t="shared" si="10"/>
        <v>1</v>
      </c>
      <c r="O25" s="12">
        <f t="shared" si="10"/>
        <v>0</v>
      </c>
      <c r="P25" s="12">
        <f t="shared" si="10"/>
        <v>0</v>
      </c>
      <c r="Q25" s="12">
        <f t="shared" si="10"/>
        <v>8</v>
      </c>
      <c r="R25" s="12">
        <f t="shared" si="10"/>
        <v>7023</v>
      </c>
      <c r="S25" s="12">
        <f t="shared" ref="S25" si="16">S12</f>
        <v>0</v>
      </c>
      <c r="T25" s="12"/>
      <c r="U25" s="12">
        <f t="shared" si="12"/>
        <v>7444</v>
      </c>
    </row>
    <row r="26" spans="1:32" x14ac:dyDescent="0.25">
      <c r="A26" t="str">
        <f>$A$13</f>
        <v>Wilson</v>
      </c>
      <c r="B26" s="12">
        <f>($U13/$J13)*B13</f>
        <v>45.669881910113993</v>
      </c>
      <c r="C26" s="12">
        <f t="shared" ref="C26:G26" si="17">($U13/$J13)*C13</f>
        <v>87.581096078212056</v>
      </c>
      <c r="D26" s="12">
        <f t="shared" si="17"/>
        <v>0</v>
      </c>
      <c r="E26" s="12">
        <f t="shared" si="17"/>
        <v>0</v>
      </c>
      <c r="F26" s="12">
        <f t="shared" si="17"/>
        <v>3009.3276984782788</v>
      </c>
      <c r="G26" s="12">
        <f t="shared" si="17"/>
        <v>0</v>
      </c>
      <c r="H26" s="12">
        <f t="shared" si="8"/>
        <v>7369.4213235333955</v>
      </c>
      <c r="I26" s="12">
        <f t="shared" si="8"/>
        <v>0</v>
      </c>
      <c r="J26" s="12">
        <f t="shared" si="9"/>
        <v>10512</v>
      </c>
      <c r="K26" s="13"/>
      <c r="L26" t="str">
        <f>$A$13</f>
        <v>Wilson</v>
      </c>
      <c r="M26" s="12">
        <f t="shared" si="5"/>
        <v>7</v>
      </c>
      <c r="N26" s="12">
        <f t="shared" ref="N26:S26" si="18">N13</f>
        <v>278</v>
      </c>
      <c r="O26" s="12">
        <f t="shared" si="18"/>
        <v>204</v>
      </c>
      <c r="P26" s="12">
        <f t="shared" si="18"/>
        <v>0</v>
      </c>
      <c r="Q26" s="12">
        <f t="shared" si="18"/>
        <v>1879</v>
      </c>
      <c r="R26" s="12">
        <f t="shared" si="18"/>
        <v>0</v>
      </c>
      <c r="S26" s="12">
        <f t="shared" si="18"/>
        <v>8144</v>
      </c>
      <c r="T26" s="12"/>
      <c r="U26" s="12">
        <f t="shared" si="12"/>
        <v>10512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16815.340661258761</v>
      </c>
      <c r="C28" s="15">
        <f t="shared" si="19"/>
        <v>23451.028523410616</v>
      </c>
      <c r="D28" s="15">
        <f t="shared" si="19"/>
        <v>14678.837931660561</v>
      </c>
      <c r="E28" s="15">
        <f t="shared" si="19"/>
        <v>5965.1359359708622</v>
      </c>
      <c r="F28" s="15">
        <f t="shared" si="19"/>
        <v>61802.902261034782</v>
      </c>
      <c r="G28" s="15">
        <f t="shared" si="19"/>
        <v>6810.7138552354954</v>
      </c>
      <c r="H28" s="15">
        <f t="shared" si="19"/>
        <v>7639.0408314289316</v>
      </c>
      <c r="I28" s="15">
        <f t="shared" si="19"/>
        <v>0</v>
      </c>
      <c r="J28" s="15">
        <f t="shared" si="19"/>
        <v>137163</v>
      </c>
      <c r="K28" s="12"/>
      <c r="L28" s="15" t="s">
        <v>4</v>
      </c>
      <c r="M28" s="15">
        <f t="shared" ref="M28:U28" si="20">M15</f>
        <v>15313</v>
      </c>
      <c r="N28" s="15">
        <f t="shared" si="20"/>
        <v>22572</v>
      </c>
      <c r="O28" s="15">
        <f t="shared" si="20"/>
        <v>12312</v>
      </c>
      <c r="P28" s="15">
        <f t="shared" si="20"/>
        <v>5585</v>
      </c>
      <c r="Q28" s="15">
        <f t="shared" si="20"/>
        <v>64804</v>
      </c>
      <c r="R28" s="15">
        <f t="shared" si="20"/>
        <v>7662</v>
      </c>
      <c r="S28" s="15">
        <f t="shared" si="20"/>
        <v>8915</v>
      </c>
      <c r="T28" s="15">
        <f t="shared" si="20"/>
        <v>0</v>
      </c>
      <c r="U28" s="15">
        <f t="shared" si="20"/>
        <v>137163</v>
      </c>
    </row>
    <row r="31" spans="1:32" ht="15.75" thickBot="1" x14ac:dyDescent="0.3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9.5229580662956032E-2</v>
      </c>
      <c r="C33" s="16">
        <f t="shared" si="21"/>
        <v>1.5645879787537304E-2</v>
      </c>
      <c r="D33" s="16">
        <f t="shared" si="21"/>
        <v>0</v>
      </c>
      <c r="E33" s="16">
        <f t="shared" si="21"/>
        <v>0</v>
      </c>
      <c r="F33" s="16">
        <f t="shared" si="21"/>
        <v>8.3841066339244812E-3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0.1192595670844178</v>
      </c>
      <c r="K33" s="12"/>
      <c r="L33" t="str">
        <f>$A$7</f>
        <v>Williamson</v>
      </c>
      <c r="M33" s="16">
        <f t="shared" ref="M33:S33" si="23">M20/$U$28</f>
        <v>9.4209079708084537E-2</v>
      </c>
      <c r="N33" s="16">
        <f t="shared" si="23"/>
        <v>2.4277684215130903E-3</v>
      </c>
      <c r="O33" s="16">
        <f t="shared" si="23"/>
        <v>0</v>
      </c>
      <c r="P33" s="16">
        <f t="shared" si="23"/>
        <v>7.2905958603996707E-6</v>
      </c>
      <c r="Q33" s="16">
        <f t="shared" si="23"/>
        <v>1.7978609391745587E-2</v>
      </c>
      <c r="R33" s="16">
        <f t="shared" si="23"/>
        <v>4.6222377754933913E-3</v>
      </c>
      <c r="S33" s="16">
        <f t="shared" si="23"/>
        <v>1.4581191720799341E-5</v>
      </c>
      <c r="T33" s="16"/>
      <c r="U33" s="16">
        <f t="shared" ref="U33:U39" si="24">U20/$U$28</f>
        <v>0.1192595670844178</v>
      </c>
      <c r="W33" t="str">
        <f>$A$7</f>
        <v>Williamson</v>
      </c>
      <c r="X33" s="16">
        <f t="shared" ref="X33:AD33" si="25">M33-B33</f>
        <v>-1.0205009548714949E-3</v>
      </c>
      <c r="Y33" s="16">
        <f t="shared" si="25"/>
        <v>-1.3218111366024214E-2</v>
      </c>
      <c r="Z33" s="16">
        <f t="shared" si="25"/>
        <v>0</v>
      </c>
      <c r="AA33" s="16">
        <f t="shared" si="25"/>
        <v>7.2905958603996707E-6</v>
      </c>
      <c r="AB33" s="16">
        <f t="shared" si="25"/>
        <v>9.5945027578211058E-3</v>
      </c>
      <c r="AC33" s="16">
        <f t="shared" si="25"/>
        <v>4.6222377754933913E-3</v>
      </c>
      <c r="AD33" s="16">
        <f t="shared" si="25"/>
        <v>1.4581191720799341E-5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6.8833876948109938E-3</v>
      </c>
      <c r="C34" s="16">
        <f t="shared" si="21"/>
        <v>0.15279748958068542</v>
      </c>
      <c r="D34" s="16">
        <f t="shared" si="21"/>
        <v>0</v>
      </c>
      <c r="E34" s="16">
        <f t="shared" si="21"/>
        <v>0</v>
      </c>
      <c r="F34" s="16">
        <f t="shared" si="21"/>
        <v>3.5879190864637461E-3</v>
      </c>
      <c r="G34" s="16">
        <f t="shared" ref="G34:H34" si="27">G21/$J$28</f>
        <v>0</v>
      </c>
      <c r="H34" s="16">
        <f t="shared" si="27"/>
        <v>4.2695249159363838E-4</v>
      </c>
      <c r="I34" s="16">
        <f t="shared" si="22"/>
        <v>0</v>
      </c>
      <c r="J34" s="16">
        <f t="shared" si="22"/>
        <v>0.16369574885355381</v>
      </c>
      <c r="K34" s="12"/>
      <c r="L34" t="str">
        <f>$A$8</f>
        <v>Rutherford</v>
      </c>
      <c r="M34" s="16">
        <f t="shared" ref="M34:R38" si="28">M21/$U$28</f>
        <v>1.2248201045471445E-3</v>
      </c>
      <c r="N34" s="16">
        <f t="shared" si="28"/>
        <v>0.15448772628186902</v>
      </c>
      <c r="O34" s="16">
        <f t="shared" si="28"/>
        <v>7.2905958603996707E-6</v>
      </c>
      <c r="P34" s="16">
        <f t="shared" si="28"/>
        <v>0</v>
      </c>
      <c r="Q34" s="16">
        <f t="shared" si="28"/>
        <v>7.4145359900264652E-3</v>
      </c>
      <c r="R34" s="16">
        <f t="shared" si="28"/>
        <v>2.9162383441598683E-5</v>
      </c>
      <c r="S34" s="16">
        <f t="shared" ref="S34:S39" si="29">S21/$U$28</f>
        <v>5.3221349780917596E-4</v>
      </c>
      <c r="T34" s="16"/>
      <c r="U34" s="16">
        <f t="shared" si="24"/>
        <v>0.16369574885355381</v>
      </c>
      <c r="W34" t="str">
        <f>$A$8</f>
        <v>Rutherford</v>
      </c>
      <c r="X34" s="16">
        <f t="shared" ref="X34:X39" si="30">M34-B34</f>
        <v>-5.6585675902638497E-3</v>
      </c>
      <c r="Y34" s="16">
        <f t="shared" ref="Y34:AC38" si="31">N34-C34</f>
        <v>1.690236701183595E-3</v>
      </c>
      <c r="Z34" s="16">
        <f t="shared" si="31"/>
        <v>7.2905958603996707E-6</v>
      </c>
      <c r="AA34" s="16">
        <f t="shared" si="31"/>
        <v>0</v>
      </c>
      <c r="AB34" s="16">
        <f t="shared" si="31"/>
        <v>3.8266169035627191E-3</v>
      </c>
      <c r="AC34" s="16">
        <f t="shared" si="31"/>
        <v>2.9162383441598683E-5</v>
      </c>
      <c r="AD34" s="16">
        <f t="shared" ref="AD34:AD39" si="32">S34-H34</f>
        <v>1.0526100621553757E-4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2.1672841106247937E-4</v>
      </c>
      <c r="C35" s="16">
        <f t="shared" si="21"/>
        <v>0</v>
      </c>
      <c r="D35" s="16">
        <f t="shared" si="21"/>
        <v>9.7322353837611217E-2</v>
      </c>
      <c r="E35" s="16">
        <f t="shared" si="21"/>
        <v>5.4095850078801581E-3</v>
      </c>
      <c r="F35" s="16">
        <f t="shared" si="21"/>
        <v>4.2085106996005107E-3</v>
      </c>
      <c r="G35" s="16">
        <f t="shared" ref="G35:H35" si="33">G22/$J$28</f>
        <v>0</v>
      </c>
      <c r="H35" s="16">
        <f t="shared" si="33"/>
        <v>0</v>
      </c>
      <c r="I35" s="16">
        <f t="shared" si="22"/>
        <v>0</v>
      </c>
      <c r="J35" s="16">
        <f t="shared" si="22"/>
        <v>0.10715717795615437</v>
      </c>
      <c r="K35" s="13"/>
      <c r="L35" t="str">
        <f>$A$9</f>
        <v>Sumner</v>
      </c>
      <c r="M35" s="16">
        <f t="shared" si="28"/>
        <v>1.4581191720799341E-5</v>
      </c>
      <c r="N35" s="16">
        <f t="shared" si="28"/>
        <v>1.4581191720799341E-5</v>
      </c>
      <c r="O35" s="16">
        <f t="shared" si="28"/>
        <v>8.239102381837668E-2</v>
      </c>
      <c r="P35" s="16">
        <f t="shared" si="28"/>
        <v>5.1252888898609683E-3</v>
      </c>
      <c r="Q35" s="16">
        <f t="shared" si="28"/>
        <v>1.8802446723970752E-2</v>
      </c>
      <c r="R35" s="16">
        <f t="shared" si="28"/>
        <v>0</v>
      </c>
      <c r="S35" s="16">
        <f t="shared" si="29"/>
        <v>8.0925614050436341E-4</v>
      </c>
      <c r="T35" s="16"/>
      <c r="U35" s="16">
        <f t="shared" si="24"/>
        <v>0.10715717795615436</v>
      </c>
      <c r="W35" t="str">
        <f>$A$9</f>
        <v>Sumner</v>
      </c>
      <c r="X35" s="16">
        <f t="shared" si="30"/>
        <v>-2.0214721934168003E-4</v>
      </c>
      <c r="Y35" s="16">
        <f t="shared" si="31"/>
        <v>1.4581191720799341E-5</v>
      </c>
      <c r="Z35" s="16">
        <f t="shared" si="31"/>
        <v>-1.4931330019234537E-2</v>
      </c>
      <c r="AA35" s="16">
        <f t="shared" si="31"/>
        <v>-2.8429611801918976E-4</v>
      </c>
      <c r="AB35" s="16">
        <f t="shared" si="31"/>
        <v>1.459393602437024E-2</v>
      </c>
      <c r="AC35" s="16">
        <f t="shared" si="31"/>
        <v>0</v>
      </c>
      <c r="AD35" s="16">
        <f t="shared" si="32"/>
        <v>8.0925614050436341E-4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0</v>
      </c>
      <c r="C36" s="16">
        <f t="shared" si="21"/>
        <v>0</v>
      </c>
      <c r="D36" s="16">
        <f t="shared" si="21"/>
        <v>5.4892418482840118E-4</v>
      </c>
      <c r="E36" s="16">
        <f t="shared" si="21"/>
        <v>3.8079810353630325E-2</v>
      </c>
      <c r="F36" s="16">
        <f t="shared" si="21"/>
        <v>3.4963283429305606E-3</v>
      </c>
      <c r="G36" s="16">
        <f t="shared" ref="G36:H36" si="34">G23/$J$28</f>
        <v>0</v>
      </c>
      <c r="H36" s="16">
        <f t="shared" si="34"/>
        <v>0</v>
      </c>
      <c r="I36" s="16">
        <f t="shared" si="22"/>
        <v>0</v>
      </c>
      <c r="J36" s="16">
        <f t="shared" si="22"/>
        <v>4.2125062881389286E-2</v>
      </c>
      <c r="K36" s="13"/>
      <c r="L36" t="str">
        <f>$A$10</f>
        <v>Roberston</v>
      </c>
      <c r="M36" s="16">
        <f t="shared" si="28"/>
        <v>0</v>
      </c>
      <c r="N36" s="16">
        <f t="shared" si="28"/>
        <v>7.2905958603996707E-6</v>
      </c>
      <c r="O36" s="16">
        <f t="shared" si="28"/>
        <v>2.9308195358806674E-3</v>
      </c>
      <c r="P36" s="16">
        <f t="shared" si="28"/>
        <v>3.4921954171314419E-2</v>
      </c>
      <c r="Q36" s="16">
        <f t="shared" si="28"/>
        <v>4.2504173866130075E-3</v>
      </c>
      <c r="R36" s="16">
        <f t="shared" si="28"/>
        <v>0</v>
      </c>
      <c r="S36" s="16">
        <f t="shared" si="29"/>
        <v>1.4581191720799341E-5</v>
      </c>
      <c r="T36" s="16"/>
      <c r="U36" s="16">
        <f t="shared" si="24"/>
        <v>4.2125062881389293E-2</v>
      </c>
      <c r="W36" t="str">
        <f>$A$10</f>
        <v>Roberston</v>
      </c>
      <c r="X36" s="16">
        <f t="shared" si="30"/>
        <v>0</v>
      </c>
      <c r="Y36" s="16">
        <f t="shared" si="31"/>
        <v>7.2905958603996707E-6</v>
      </c>
      <c r="Z36" s="16">
        <f t="shared" si="31"/>
        <v>2.3818953510522664E-3</v>
      </c>
      <c r="AA36" s="16">
        <f t="shared" si="31"/>
        <v>-3.157856182315906E-3</v>
      </c>
      <c r="AB36" s="16">
        <f t="shared" si="31"/>
        <v>7.5408904368244687E-4</v>
      </c>
      <c r="AC36" s="16">
        <f t="shared" si="31"/>
        <v>0</v>
      </c>
      <c r="AD36" s="16">
        <f t="shared" si="32"/>
        <v>1.4581191720799341E-5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1.5314162249886479E-2</v>
      </c>
      <c r="C37" s="16">
        <f t="shared" si="21"/>
        <v>1.8900837301522246E-3</v>
      </c>
      <c r="D37" s="16">
        <f t="shared" si="21"/>
        <v>9.1461970376025235E-3</v>
      </c>
      <c r="E37" s="16">
        <f t="shared" si="21"/>
        <v>0</v>
      </c>
      <c r="F37" s="16">
        <f t="shared" si="21"/>
        <v>0.40896332656095452</v>
      </c>
      <c r="G37" s="16">
        <f t="shared" ref="G37:H37" si="35">G24/$J$28</f>
        <v>0</v>
      </c>
      <c r="H37" s="16">
        <f t="shared" si="35"/>
        <v>1.5387343765525517E-3</v>
      </c>
      <c r="I37" s="16">
        <f t="shared" si="22"/>
        <v>0</v>
      </c>
      <c r="J37" s="16">
        <f t="shared" si="22"/>
        <v>0.4368525039551483</v>
      </c>
      <c r="K37" s="13"/>
      <c r="L37" t="str">
        <f>$A$11</f>
        <v>Davidson</v>
      </c>
      <c r="M37" s="16">
        <f t="shared" si="28"/>
        <v>1.3137653740440207E-2</v>
      </c>
      <c r="N37" s="16">
        <f t="shared" si="28"/>
        <v>5.5918870249265472E-3</v>
      </c>
      <c r="O37" s="16">
        <f t="shared" si="28"/>
        <v>2.9454007276014669E-3</v>
      </c>
      <c r="P37" s="16">
        <f t="shared" si="28"/>
        <v>6.6344422329637001E-4</v>
      </c>
      <c r="Q37" s="16">
        <f t="shared" si="28"/>
        <v>0.41025641025641024</v>
      </c>
      <c r="R37" s="16">
        <f t="shared" si="28"/>
        <v>7.2905958603996707E-6</v>
      </c>
      <c r="S37" s="16">
        <f t="shared" si="29"/>
        <v>4.2504173866130075E-3</v>
      </c>
      <c r="T37" s="16"/>
      <c r="U37" s="16">
        <f t="shared" si="24"/>
        <v>0.43685250395514824</v>
      </c>
      <c r="W37" t="str">
        <f>$A$11</f>
        <v>Davidson</v>
      </c>
      <c r="X37" s="16">
        <f t="shared" si="30"/>
        <v>-2.1765085094462722E-3</v>
      </c>
      <c r="Y37" s="16">
        <f t="shared" si="31"/>
        <v>3.7018032947743226E-3</v>
      </c>
      <c r="Z37" s="16">
        <f t="shared" si="31"/>
        <v>-6.2007963100010567E-3</v>
      </c>
      <c r="AA37" s="16">
        <f t="shared" si="31"/>
        <v>6.6344422329637001E-4</v>
      </c>
      <c r="AB37" s="16">
        <f t="shared" si="31"/>
        <v>1.2930836954557212E-3</v>
      </c>
      <c r="AC37" s="16">
        <f t="shared" si="31"/>
        <v>7.2905958603996707E-6</v>
      </c>
      <c r="AD37" s="16">
        <f t="shared" si="32"/>
        <v>2.7116830100604558E-3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4.61703334546857E-3</v>
      </c>
      <c r="C38" s="16">
        <f t="shared" si="21"/>
        <v>0</v>
      </c>
      <c r="D38" s="16">
        <f t="shared" si="21"/>
        <v>0</v>
      </c>
      <c r="E38" s="16">
        <f t="shared" si="21"/>
        <v>0</v>
      </c>
      <c r="F38" s="16">
        <f t="shared" si="21"/>
        <v>0</v>
      </c>
      <c r="G38" s="16">
        <f t="shared" ref="G38:H38" si="36">G25/$J$28</f>
        <v>4.9654162239346586E-2</v>
      </c>
      <c r="H38" s="16">
        <f t="shared" si="36"/>
        <v>0</v>
      </c>
      <c r="I38" s="16">
        <f t="shared" si="22"/>
        <v>0</v>
      </c>
      <c r="J38" s="16">
        <f t="shared" si="22"/>
        <v>5.4271195584815156E-2</v>
      </c>
      <c r="K38" s="13"/>
      <c r="L38" t="str">
        <f>$A$12</f>
        <v>Maury</v>
      </c>
      <c r="M38" s="16">
        <f t="shared" si="28"/>
        <v>3.0037254944846642E-3</v>
      </c>
      <c r="N38" s="16">
        <f t="shared" si="28"/>
        <v>7.2905958603996707E-6</v>
      </c>
      <c r="O38" s="16">
        <f t="shared" si="28"/>
        <v>0</v>
      </c>
      <c r="P38" s="16">
        <f t="shared" si="28"/>
        <v>0</v>
      </c>
      <c r="Q38" s="16">
        <f t="shared" si="28"/>
        <v>5.8324766883197366E-5</v>
      </c>
      <c r="R38" s="16">
        <f t="shared" si="28"/>
        <v>5.1201854727586885E-2</v>
      </c>
      <c r="S38" s="16">
        <f t="shared" si="29"/>
        <v>0</v>
      </c>
      <c r="T38" s="16"/>
      <c r="U38" s="16">
        <f t="shared" si="24"/>
        <v>5.4271195584815149E-2</v>
      </c>
      <c r="W38" t="str">
        <f>$A$12</f>
        <v>Maury</v>
      </c>
      <c r="X38" s="16">
        <f t="shared" si="30"/>
        <v>-1.6133078509839058E-3</v>
      </c>
      <c r="Y38" s="16">
        <f t="shared" si="31"/>
        <v>7.2905958603996707E-6</v>
      </c>
      <c r="Z38" s="16">
        <f t="shared" si="31"/>
        <v>0</v>
      </c>
      <c r="AA38" s="16">
        <f t="shared" si="31"/>
        <v>0</v>
      </c>
      <c r="AB38" s="16">
        <f t="shared" si="31"/>
        <v>5.8324766883197366E-5</v>
      </c>
      <c r="AC38" s="16">
        <f t="shared" si="31"/>
        <v>1.5476924882402987E-3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3.3296065199881885E-4</v>
      </c>
      <c r="C39" s="16">
        <f t="shared" si="21"/>
        <v>6.3851837651707861E-4</v>
      </c>
      <c r="D39" s="16">
        <f t="shared" si="21"/>
        <v>0</v>
      </c>
      <c r="E39" s="16">
        <f t="shared" si="21"/>
        <v>0</v>
      </c>
      <c r="F39" s="16">
        <f t="shared" si="21"/>
        <v>2.1939792061111806E-2</v>
      </c>
      <c r="G39" s="16">
        <f t="shared" si="21"/>
        <v>0</v>
      </c>
      <c r="H39" s="16">
        <f t="shared" si="21"/>
        <v>5.3727472594893633E-2</v>
      </c>
      <c r="I39" s="16">
        <f t="shared" si="21"/>
        <v>0</v>
      </c>
      <c r="J39" s="16">
        <f t="shared" si="21"/>
        <v>7.6638743684521338E-2</v>
      </c>
      <c r="K39" s="13"/>
      <c r="L39" t="str">
        <f>$A$13</f>
        <v>Wilson</v>
      </c>
      <c r="M39" s="16">
        <f>M26/$U$28</f>
        <v>5.1034171022797696E-5</v>
      </c>
      <c r="N39" s="16">
        <f t="shared" ref="N39:R39" si="37">N26/$U$28</f>
        <v>2.0267856491911086E-3</v>
      </c>
      <c r="O39" s="16">
        <f t="shared" si="37"/>
        <v>1.4872815555215329E-3</v>
      </c>
      <c r="P39" s="16">
        <f t="shared" si="37"/>
        <v>0</v>
      </c>
      <c r="Q39" s="16">
        <f t="shared" si="37"/>
        <v>1.3699029621690981E-2</v>
      </c>
      <c r="R39" s="16">
        <f t="shared" si="37"/>
        <v>0</v>
      </c>
      <c r="S39" s="16">
        <f t="shared" si="29"/>
        <v>5.9374612687094916E-2</v>
      </c>
      <c r="T39" s="16"/>
      <c r="U39" s="16">
        <f t="shared" si="24"/>
        <v>7.6638743684521338E-2</v>
      </c>
      <c r="W39" t="str">
        <f>$A$13</f>
        <v>Wilson</v>
      </c>
      <c r="X39" s="16">
        <f t="shared" si="30"/>
        <v>-2.8192648097602116E-4</v>
      </c>
      <c r="Y39" s="16">
        <f t="shared" ref="Y39" si="38">N39-C39</f>
        <v>1.3882672726740299E-3</v>
      </c>
      <c r="Z39" s="16">
        <f t="shared" ref="Z39" si="39">O39-D39</f>
        <v>1.4872815555215329E-3</v>
      </c>
      <c r="AA39" s="16">
        <f t="shared" ref="AA39" si="40">P39-E39</f>
        <v>0</v>
      </c>
      <c r="AB39" s="16">
        <f t="shared" ref="AB39" si="41">Q39-F39</f>
        <v>-8.2407624394208248E-3</v>
      </c>
      <c r="AC39" s="16">
        <f t="shared" ref="AC39" si="42">R39-G39</f>
        <v>0</v>
      </c>
      <c r="AD39" s="16">
        <f t="shared" si="32"/>
        <v>5.6471400922012832E-3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0.12259385301618338</v>
      </c>
      <c r="C41" s="18">
        <f t="shared" si="43"/>
        <v>0.17097197147489204</v>
      </c>
      <c r="D41" s="18">
        <f t="shared" si="43"/>
        <v>0.10701747506004214</v>
      </c>
      <c r="E41" s="18">
        <f t="shared" si="43"/>
        <v>4.3489395361510481E-2</v>
      </c>
      <c r="F41" s="18">
        <f t="shared" si="43"/>
        <v>0.45057998338498562</v>
      </c>
      <c r="G41" s="18">
        <f t="shared" si="43"/>
        <v>4.9654162239346586E-2</v>
      </c>
      <c r="H41" s="18">
        <f t="shared" si="43"/>
        <v>5.5693159463039828E-2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0.11164089441030016</v>
      </c>
      <c r="N41" s="18">
        <f>N28/$U$28</f>
        <v>0.16456332976094137</v>
      </c>
      <c r="O41" s="18">
        <f>O28/$U$28</f>
        <v>8.976181623324074E-2</v>
      </c>
      <c r="P41" s="18">
        <f>P28/$U$28</f>
        <v>4.0717977880332157E-2</v>
      </c>
      <c r="Q41" s="18">
        <f t="shared" ref="Q41:S41" si="44">Q28/$U$28</f>
        <v>0.47245977413734025</v>
      </c>
      <c r="R41" s="18">
        <f t="shared" si="44"/>
        <v>5.5860545482382278E-2</v>
      </c>
      <c r="S41" s="18">
        <f t="shared" si="44"/>
        <v>6.4995662095463064E-2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-1.0952958605883217E-2</v>
      </c>
      <c r="Y41" s="18">
        <f t="shared" si="45"/>
        <v>-6.4086417139506691E-3</v>
      </c>
      <c r="Z41" s="18">
        <f t="shared" si="45"/>
        <v>-1.7255658826801398E-2</v>
      </c>
      <c r="AA41" s="18">
        <f t="shared" si="45"/>
        <v>-2.7714174811783246E-3</v>
      </c>
      <c r="AB41" s="18">
        <f t="shared" si="45"/>
        <v>2.1879790752354633E-2</v>
      </c>
      <c r="AC41" s="18">
        <f t="shared" si="45"/>
        <v>6.2063832430356916E-3</v>
      </c>
      <c r="AD41" s="18">
        <f t="shared" si="45"/>
        <v>9.302502632423236E-3</v>
      </c>
      <c r="AE41" s="18"/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2015-04-23T04:45:12Z</dcterms:modified>
</cp:coreProperties>
</file>