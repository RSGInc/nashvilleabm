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B26" i="1"/>
  <c r="J26" i="1" s="1"/>
  <c r="AD32" i="1"/>
  <c r="S32" i="1"/>
  <c r="H32" i="1"/>
  <c r="S19" i="1"/>
  <c r="H19" i="1"/>
  <c r="W39" i="1"/>
  <c r="L39" i="1"/>
  <c r="L26" i="1"/>
  <c r="A39" i="1"/>
  <c r="A26" i="1"/>
  <c r="S6" i="1"/>
  <c r="L13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4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1" i="3" s="1"/>
  <c r="B102" i="3"/>
  <c r="C13" i="3" s="1"/>
  <c r="H22" i="1" l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F28" i="1" s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28" i="1" l="1"/>
  <c r="S35" i="1"/>
  <c r="P39" i="1"/>
  <c r="N39" i="1"/>
  <c r="S37" i="1"/>
  <c r="S33" i="1"/>
  <c r="S39" i="1"/>
  <c r="O39" i="1"/>
  <c r="R39" i="1"/>
  <c r="S34" i="1"/>
  <c r="S36" i="1"/>
  <c r="Q39" i="1"/>
  <c r="S38" i="1"/>
  <c r="M39" i="1"/>
  <c r="U39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s="1"/>
  <c r="AD41" i="1" s="1"/>
  <c r="H39" i="1" l="1"/>
  <c r="AD39" i="1" s="1"/>
  <c r="E39" i="1"/>
  <c r="AA39" i="1" s="1"/>
  <c r="G39" i="1"/>
  <c r="AC39" i="1" s="1"/>
  <c r="B39" i="1"/>
  <c r="X39" i="1" s="1"/>
  <c r="F39" i="1"/>
  <c r="AB39" i="1" s="1"/>
  <c r="J39" i="1"/>
  <c r="AF39" i="1" s="1"/>
  <c r="C39" i="1"/>
  <c r="Y39" i="1" s="1"/>
  <c r="D39" i="1"/>
  <c r="Z39" i="1" s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<sst xmlns="http://schemas.openxmlformats.org/spreadsheetml/2006/main" count="104" uniqueCount="56">
  <si>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</si>
  <si>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</si>
  <si>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</si>
  <si>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</si>
  <si>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</si>
  <si>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</si>
  <si>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</si>
  <si>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</si>
  <si>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</si>
  <si>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</si>
  <si>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</si>
  <si>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</si>
  <si>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</si>
  <si>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</si>
  <si>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</si>
  <si>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</si>
  <si>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</si>
  <si>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</si>
  <si>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</si>
  <si>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</si>
  <si>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</si>
  <si>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</si>
  <si>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</si>
  <si>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</si>
  <si>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</si>
  <si>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</si>
  <si>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</si>
  <si>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</si>
  <si>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</si>
  <si>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</si>
  <si>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</si>
  <si>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</si>
  <si>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</si>
  <si>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</si>
  <si>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</si>
  <si>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</si>
  <si>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</si>
  <si>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</si>
  <si>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</si>
  <si>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</si>
  <si>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</si>
  <si>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</si>
  <si>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</si>
  <si>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</si>
  <si>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</si>
  <si>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</si>
  <si>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</si>
  <si>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</si>
  <si>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</si>
  <si>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</si>
  <si>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</si>
  <si>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</si>
  <si>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</si>
  <si>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Meal Tour Flows by County: Survey</t>
  </si>
  <si>
    <t>Table X. Adjusted Observed Meal Tour Flows by County: Survey</t>
  </si>
  <si>
    <t>Table X. Estimated Meal Tour Flows by County: (DaySim- 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</si>
</sst>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4.8200614149796712E-2</c:v>
                </c:pt>
                <c:pt idx="1">
                  <c:v>0.19000386682833525</c:v>
                </c:pt>
                <c:pt idx="2">
                  <c:v>0.12159825735780808</c:v>
                </c:pt>
                <c:pt idx="3">
                  <c:v>0.13069727162428818</c:v>
                </c:pt>
                <c:pt idx="4">
                  <c:v>0.11527962305690219</c:v>
                </c:pt>
                <c:pt idx="5">
                  <c:v>7.742601914720719E-2</c:v>
                </c:pt>
                <c:pt idx="6">
                  <c:v>8.8493450718451522E-2</c:v>
                </c:pt>
                <c:pt idx="7">
                  <c:v>1.1574468298884335E-2</c:v>
                </c:pt>
                <c:pt idx="8">
                  <c:v>3.4161578245154055E-2</c:v>
                </c:pt>
                <c:pt idx="9">
                  <c:v>3.6731068788707161E-2</c:v>
                </c:pt>
                <c:pt idx="10">
                  <c:v>2.7111390102537575E-2</c:v>
                </c:pt>
                <c:pt idx="11">
                  <c:v>3.6252351287299222E-3</c:v>
                </c:pt>
                <c:pt idx="12">
                  <c:v>1.599415577758628E-2</c:v>
                </c:pt>
                <c:pt idx="13">
                  <c:v>3.7897842534644517E-3</c:v>
                </c:pt>
                <c:pt idx="14">
                  <c:v>1.3299453106401498E-2</c:v>
                </c:pt>
                <c:pt idx="15">
                  <c:v>5.4305816235343495E-3</c:v>
                </c:pt>
                <c:pt idx="16">
                  <c:v>8.5929262994481545E-3</c:v>
                </c:pt>
                <c:pt idx="17">
                  <c:v>1.1877701610185584E-2</c:v>
                </c:pt>
                <c:pt idx="18">
                  <c:v>1.4538622081799006E-2</c:v>
                </c:pt>
                <c:pt idx="19">
                  <c:v>1.4042287868720313E-2</c:v>
                </c:pt>
                <c:pt idx="20">
                  <c:v>6.5830852499427616E-4</c:v>
                </c:pt>
                <c:pt idx="21">
                  <c:v>0</c:v>
                </c:pt>
                <c:pt idx="22">
                  <c:v>9.9134025627054013E-3</c:v>
                </c:pt>
                <c:pt idx="23">
                  <c:v>0</c:v>
                </c:pt>
                <c:pt idx="24">
                  <c:v>1.5207155136099384E-3</c:v>
                </c:pt>
                <c:pt idx="25">
                  <c:v>0</c:v>
                </c:pt>
                <c:pt idx="26">
                  <c:v>5.5073361213201447E-3</c:v>
                </c:pt>
                <c:pt idx="27">
                  <c:v>0</c:v>
                </c:pt>
                <c:pt idx="28">
                  <c:v>0</c:v>
                </c:pt>
                <c:pt idx="29">
                  <c:v>9.9318812094285978E-3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5.2891034199445415E-2</c:v>
                </c:pt>
                <c:pt idx="1">
                  <c:v>8.6576974427441722E-2</c:v>
                </c:pt>
                <c:pt idx="2">
                  <c:v>0.11458868234569169</c:v>
                </c:pt>
                <c:pt idx="3">
                  <c:v>0.13393499024340147</c:v>
                </c:pt>
                <c:pt idx="4">
                  <c:v>0.11843997124370956</c:v>
                </c:pt>
                <c:pt idx="5">
                  <c:v>0.10166118927801171</c:v>
                </c:pt>
                <c:pt idx="6">
                  <c:v>7.9464927595768717E-2</c:v>
                </c:pt>
                <c:pt idx="7">
                  <c:v>6.4560439560439567E-2</c:v>
                </c:pt>
                <c:pt idx="8">
                  <c:v>5.1889699085960771E-2</c:v>
                </c:pt>
                <c:pt idx="9">
                  <c:v>4.4636438328027113E-2</c:v>
                </c:pt>
                <c:pt idx="10">
                  <c:v>3.6497381123549347E-2</c:v>
                </c:pt>
                <c:pt idx="11">
                  <c:v>2.9706275033377836E-2</c:v>
                </c:pt>
                <c:pt idx="12">
                  <c:v>2.3480024648248946E-2</c:v>
                </c:pt>
                <c:pt idx="13">
                  <c:v>1.7356475300400534E-2</c:v>
                </c:pt>
                <c:pt idx="14">
                  <c:v>1.2388312621957482E-2</c:v>
                </c:pt>
                <c:pt idx="15">
                  <c:v>9.2816062442230667E-3</c:v>
                </c:pt>
                <c:pt idx="16">
                  <c:v>6.6113792749306769E-3</c:v>
                </c:pt>
                <c:pt idx="17">
                  <c:v>4.493170381020848E-3</c:v>
                </c:pt>
                <c:pt idx="18">
                  <c:v>3.5175105268563213E-3</c:v>
                </c:pt>
                <c:pt idx="19">
                  <c:v>2.3621238574509603E-3</c:v>
                </c:pt>
                <c:pt idx="20">
                  <c:v>1.745917633768101E-3</c:v>
                </c:pt>
                <c:pt idx="21">
                  <c:v>1.155386669405361E-3</c:v>
                </c:pt>
                <c:pt idx="22">
                  <c:v>9.4998459484440796E-4</c:v>
                </c:pt>
                <c:pt idx="23">
                  <c:v>4.7499229742220398E-4</c:v>
                </c:pt>
                <c:pt idx="24">
                  <c:v>4.1080414912190614E-4</c:v>
                </c:pt>
                <c:pt idx="25">
                  <c:v>3.466160008216083E-4</c:v>
                </c:pt>
                <c:pt idx="26">
                  <c:v>1.5405155592071481E-4</c:v>
                </c:pt>
                <c:pt idx="27">
                  <c:v>1.0270103728047654E-4</c:v>
                </c:pt>
                <c:pt idx="28">
                  <c:v>6.418814830029784E-5</c:v>
                </c:pt>
                <c:pt idx="29">
                  <c:v>8.986340762041697E-5</c:v>
                </c:pt>
                <c:pt idx="30">
                  <c:v>2.5675259320119134E-5</c:v>
                </c:pt>
                <c:pt idx="31">
                  <c:v>5.1350518640238268E-5</c:v>
                </c:pt>
                <c:pt idx="32">
                  <c:v>3.8512888980178702E-5</c:v>
                </c:pt>
                <c:pt idx="33">
                  <c:v>0</c:v>
                </c:pt>
                <c:pt idx="34">
                  <c:v>2.5675259320119134E-5</c:v>
                </c:pt>
                <c:pt idx="35">
                  <c:v>0</c:v>
                </c:pt>
                <c:pt idx="36">
                  <c:v>1.2837629660059567E-5</c:v>
                </c:pt>
                <c:pt idx="37">
                  <c:v>0</c:v>
                </c:pt>
                <c:pt idx="38">
                  <c:v>1.2837629660059567E-5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584"/>
        <c:axId val="153831680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1.960239751910773E-2</c:v>
                </c:pt>
                <c:pt idx="4">
                  <c:v>6.5544872498086895E-2</c:v>
                </c:pt>
                <c:pt idx="5">
                  <c:v>0.12690540182871005</c:v>
                </c:pt>
                <c:pt idx="6">
                  <c:v>6.0459421603320657E-2</c:v>
                </c:pt>
                <c:pt idx="7">
                  <c:v>0.11150151948244538</c:v>
                </c:pt>
                <c:pt idx="8">
                  <c:v>6.9610843469852829E-2</c:v>
                </c:pt>
                <c:pt idx="9">
                  <c:v>6.8538345824723762E-2</c:v>
                </c:pt>
                <c:pt idx="10">
                  <c:v>5.6961875659953719E-2</c:v>
                </c:pt>
                <c:pt idx="11">
                  <c:v>5.6092632105650672E-2</c:v>
                </c:pt>
                <c:pt idx="12">
                  <c:v>6.2280051369557568E-2</c:v>
                </c:pt>
                <c:pt idx="13">
                  <c:v>1.103709797592241E-2</c:v>
                </c:pt>
                <c:pt idx="14">
                  <c:v>5.6443105131408343E-2</c:v>
                </c:pt>
                <c:pt idx="15">
                  <c:v>3.2745317736723296E-2</c:v>
                </c:pt>
                <c:pt idx="16">
                  <c:v>2.4909323042716109E-2</c:v>
                </c:pt>
                <c:pt idx="17">
                  <c:v>9.4518670425869228E-3</c:v>
                </c:pt>
                <c:pt idx="18">
                  <c:v>1.6241660335053795E-2</c:v>
                </c:pt>
                <c:pt idx="19">
                  <c:v>2.0352641291141605E-2</c:v>
                </c:pt>
                <c:pt idx="20">
                  <c:v>1.3614698194530882E-2</c:v>
                </c:pt>
                <c:pt idx="21">
                  <c:v>7.0879325231357222E-3</c:v>
                </c:pt>
                <c:pt idx="22">
                  <c:v>3.7051612840690541E-3</c:v>
                </c:pt>
                <c:pt idx="23">
                  <c:v>7.9861364854609974E-3</c:v>
                </c:pt>
                <c:pt idx="24">
                  <c:v>1.2870012469850568E-2</c:v>
                </c:pt>
                <c:pt idx="25">
                  <c:v>1.1937567590431217E-2</c:v>
                </c:pt>
                <c:pt idx="26">
                  <c:v>5.9240134585578877E-4</c:v>
                </c:pt>
                <c:pt idx="27">
                  <c:v>5.0175558218749734E-3</c:v>
                </c:pt>
                <c:pt idx="28">
                  <c:v>2.3715366971915612E-2</c:v>
                </c:pt>
                <c:pt idx="29">
                  <c:v>1.0213832098867081E-3</c:v>
                </c:pt>
                <c:pt idx="30">
                  <c:v>1.1413156861799546E-3</c:v>
                </c:pt>
                <c:pt idx="31">
                  <c:v>0</c:v>
                </c:pt>
                <c:pt idx="32">
                  <c:v>1.1133026378749132E-2</c:v>
                </c:pt>
                <c:pt idx="33">
                  <c:v>3.6557897878315335E-3</c:v>
                </c:pt>
                <c:pt idx="34">
                  <c:v>0</c:v>
                </c:pt>
                <c:pt idx="35">
                  <c:v>0</c:v>
                </c:pt>
                <c:pt idx="36">
                  <c:v>3.705772964477297E-3</c:v>
                </c:pt>
                <c:pt idx="37">
                  <c:v>7.5534235797337034E-4</c:v>
                </c:pt>
                <c:pt idx="38">
                  <c:v>7.385114910357912E-4</c:v>
                </c:pt>
                <c:pt idx="39">
                  <c:v>4.3902593698598264E-3</c:v>
                </c:pt>
                <c:pt idx="40">
                  <c:v>1.801666881232736E-3</c:v>
                </c:pt>
                <c:pt idx="41">
                  <c:v>1.2666426885085515E-3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5.2532013707497363E-3</c:v>
                </c:pt>
                <c:pt idx="46">
                  <c:v>0</c:v>
                </c:pt>
                <c:pt idx="47">
                  <c:v>9.9318812094285943E-3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1.810105782068399E-3</c:v>
                </c:pt>
                <c:pt idx="1">
                  <c:v>7.9336551299168129E-3</c:v>
                </c:pt>
                <c:pt idx="2">
                  <c:v>1.0282941357707713E-2</c:v>
                </c:pt>
                <c:pt idx="3">
                  <c:v>1.747201396734107E-2</c:v>
                </c:pt>
                <c:pt idx="4">
                  <c:v>2.8255622881791106E-2</c:v>
                </c:pt>
                <c:pt idx="5">
                  <c:v>4.3570915066242166E-2</c:v>
                </c:pt>
                <c:pt idx="6">
                  <c:v>5.8513915990551502E-2</c:v>
                </c:pt>
                <c:pt idx="7">
                  <c:v>6.9644140905823146E-2</c:v>
                </c:pt>
                <c:pt idx="8">
                  <c:v>7.7975762555201805E-2</c:v>
                </c:pt>
                <c:pt idx="9">
                  <c:v>7.7385231590839071E-2</c:v>
                </c:pt>
                <c:pt idx="10">
                  <c:v>7.4599465954606148E-2</c:v>
                </c:pt>
                <c:pt idx="11">
                  <c:v>6.9618465646503036E-2</c:v>
                </c:pt>
                <c:pt idx="12">
                  <c:v>6.1864537331827049E-2</c:v>
                </c:pt>
                <c:pt idx="13">
                  <c:v>5.4752490500154051E-2</c:v>
                </c:pt>
                <c:pt idx="14">
                  <c:v>4.7884358632022186E-2</c:v>
                </c:pt>
                <c:pt idx="15">
                  <c:v>4.3172948546780325E-2</c:v>
                </c:pt>
                <c:pt idx="16">
                  <c:v>3.7883845126835784E-2</c:v>
                </c:pt>
                <c:pt idx="17">
                  <c:v>3.346770052377529E-2</c:v>
                </c:pt>
                <c:pt idx="18">
                  <c:v>2.8345486289411522E-2</c:v>
                </c:pt>
                <c:pt idx="19">
                  <c:v>2.4584060799014072E-2</c:v>
                </c:pt>
                <c:pt idx="20">
                  <c:v>2.1451679161959537E-2</c:v>
                </c:pt>
                <c:pt idx="21">
                  <c:v>1.9692923898531375E-2</c:v>
                </c:pt>
                <c:pt idx="22">
                  <c:v>1.5738933963233028E-2</c:v>
                </c:pt>
                <c:pt idx="23">
                  <c:v>1.2966005956660162E-2</c:v>
                </c:pt>
                <c:pt idx="24">
                  <c:v>1.123292595255212E-2</c:v>
                </c:pt>
                <c:pt idx="25">
                  <c:v>9.3072815035431852E-3</c:v>
                </c:pt>
                <c:pt idx="26">
                  <c:v>7.7539283146759782E-3</c:v>
                </c:pt>
                <c:pt idx="27">
                  <c:v>6.3289514224093664E-3</c:v>
                </c:pt>
                <c:pt idx="28">
                  <c:v>4.74992297422204E-3</c:v>
                </c:pt>
                <c:pt idx="29">
                  <c:v>3.6458868234569169E-3</c:v>
                </c:pt>
                <c:pt idx="30">
                  <c:v>3.4404847488959636E-3</c:v>
                </c:pt>
                <c:pt idx="31">
                  <c:v>2.811440895553045E-3</c:v>
                </c:pt>
                <c:pt idx="32">
                  <c:v>2.3236109684707817E-3</c:v>
                </c:pt>
                <c:pt idx="33">
                  <c:v>2.2209099311903051E-3</c:v>
                </c:pt>
                <c:pt idx="34">
                  <c:v>1.2067371880455993E-3</c:v>
                </c:pt>
                <c:pt idx="35">
                  <c:v>1.360788743966314E-3</c:v>
                </c:pt>
                <c:pt idx="36">
                  <c:v>8.087706685837527E-4</c:v>
                </c:pt>
                <c:pt idx="37">
                  <c:v>8.9863407620416965E-4</c:v>
                </c:pt>
                <c:pt idx="38">
                  <c:v>5.9053096436274008E-4</c:v>
                </c:pt>
                <c:pt idx="39">
                  <c:v>5.6485570504262092E-4</c:v>
                </c:pt>
                <c:pt idx="40">
                  <c:v>4.1080414912190614E-4</c:v>
                </c:pt>
                <c:pt idx="41">
                  <c:v>3.5945363048166788E-4</c:v>
                </c:pt>
                <c:pt idx="42">
                  <c:v>3.2094074150148914E-4</c:v>
                </c:pt>
                <c:pt idx="43">
                  <c:v>1.5405155592071481E-4</c:v>
                </c:pt>
                <c:pt idx="44">
                  <c:v>1.6688918558077436E-4</c:v>
                </c:pt>
                <c:pt idx="45">
                  <c:v>1.155386669405361E-4</c:v>
                </c:pt>
                <c:pt idx="46">
                  <c:v>7.7025777960357405E-5</c:v>
                </c:pt>
                <c:pt idx="47">
                  <c:v>8.986340762041697E-5</c:v>
                </c:pt>
                <c:pt idx="48">
                  <c:v>6.418814830029784E-5</c:v>
                </c:pt>
                <c:pt idx="49">
                  <c:v>2.5675259320119134E-5</c:v>
                </c:pt>
                <c:pt idx="50">
                  <c:v>3.8512888980178702E-5</c:v>
                </c:pt>
                <c:pt idx="51">
                  <c:v>0</c:v>
                </c:pt>
                <c:pt idx="52">
                  <c:v>0</c:v>
                </c:pt>
                <c:pt idx="53">
                  <c:v>1.2837629660059567E-5</c:v>
                </c:pt>
                <c:pt idx="54">
                  <c:v>2.5675259320119134E-5</c:v>
                </c:pt>
                <c:pt idx="55">
                  <c:v>0</c:v>
                </c:pt>
                <c:pt idx="56">
                  <c:v>1.2837629660059567E-5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83808"/>
        <c:axId val="153833408"/>
      </c:lineChart>
      <c:catAx>
        <c:axId val="201783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1783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47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48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3791.270699146116</v>
      </c>
      <c r="C11" s="11">
        <f>B11/B$102</f>
        <v>4.8200614149796712E-2</v>
      </c>
      <c r="E11" s="19">
        <v>0</v>
      </c>
      <c r="F11" s="109" t="n">
        <v>3182.0</v>
      </c>
      <c r="G11" s="11">
        <f>F11/F$102</f>
        <v>5.2891034199445415E-2</v>
      </c>
      <c r="K11" s="8" t="n">
        <v>5.770249978000877</v>
      </c>
      <c r="L11" s="8" t="n">
        <v>5.682671360450472</v>
      </c>
    </row>
    <row r="12" spans="1:12" x14ac:dyDescent="0.25">
      <c r="A12">
        <v>1</v>
      </c>
      <c r="B12" s="8" t="n">
        <v>14944.956734203068</v>
      </c>
      <c r="C12" s="11">
        <f>B12/B$102</f>
        <v>0.19000386682833525</v>
      </c>
      <c r="E12" s="20">
        <v>1</v>
      </c>
      <c r="F12" s="110" t="n">
        <v>7340.0</v>
      </c>
      <c r="G12" s="11">
        <f>F12/F$102</f>
        <v>8.6576974427441722E-2</v>
      </c>
      <c r="K12" s="8"/>
      <c r="L12" s="379"/>
    </row>
    <row r="13" spans="1:12" x14ac:dyDescent="0.25">
      <c r="A13">
        <v>2</v>
      </c>
      <c r="B13" s="8" t="n">
        <v>9564.44058482667</v>
      </c>
      <c r="C13" s="11">
        <f t="shared" ref="C13:C76" si="0">B13/B$102</f>
        <v>0.12159825735780808</v>
      </c>
      <c r="E13" s="21">
        <v>2</v>
      </c>
      <c r="F13" s="111" t="n">
        <v>11335.0</v>
      </c>
      <c r="G13" s="11">
        <f t="shared" ref="G13:G76" si="1">F13/F$102</f>
        <v>0.11458868234569169</v>
      </c>
    </row>
    <row r="14" spans="1:12" x14ac:dyDescent="0.25">
      <c r="A14">
        <v>3</v>
      </c>
      <c r="B14" s="8" t="n">
        <v>10280.13325364641</v>
      </c>
      <c r="C14" s="11">
        <f t="shared" si="0"/>
        <v>0.13069727162428818</v>
      </c>
      <c r="E14" s="22">
        <v>3</v>
      </c>
      <c r="F14" s="112" t="n">
        <v>11878.0</v>
      </c>
      <c r="G14" s="11">
        <f t="shared" si="1"/>
        <v>0.13393499024340147</v>
      </c>
    </row>
    <row r="15" spans="1:12" x14ac:dyDescent="0.25">
      <c r="A15">
        <v>4</v>
      </c>
      <c r="B15" s="8" t="n">
        <v>9067.441666738297</v>
      </c>
      <c r="C15" s="11">
        <f t="shared" si="0"/>
        <v>0.11527962305690219</v>
      </c>
      <c r="E15" s="23">
        <v>4</v>
      </c>
      <c r="F15" s="113" t="n">
        <v>9949.0</v>
      </c>
      <c r="G15" s="11">
        <f t="shared" si="1"/>
        <v>0.11843997124370956</v>
      </c>
    </row>
    <row r="16" spans="1:12" x14ac:dyDescent="0.25">
      <c r="A16">
        <v>5</v>
      </c>
      <c r="B16" s="8" t="n">
        <v>6090.0260903744265</v>
      </c>
      <c r="C16" s="11">
        <f t="shared" si="0"/>
        <v>7.742601914720719E-2</v>
      </c>
      <c r="E16" s="24">
        <v>5</v>
      </c>
      <c r="F16" s="114" t="n">
        <v>8311.0</v>
      </c>
      <c r="G16" s="11">
        <f t="shared" si="1"/>
        <v>0.10166118927801171</v>
      </c>
    </row>
    <row r="17" spans="1:7" x14ac:dyDescent="0.25">
      <c r="A17">
        <v>6</v>
      </c>
      <c r="B17" s="8" t="n">
        <v>6960.5467210963125</v>
      </c>
      <c r="C17" s="11">
        <f t="shared" si="0"/>
        <v>8.8493450718451522E-2</v>
      </c>
      <c r="E17" s="25">
        <v>6</v>
      </c>
      <c r="F17" s="115" t="n">
        <v>6382.0</v>
      </c>
      <c r="G17" s="11">
        <f t="shared" si="1"/>
        <v>7.9464927595768717E-2</v>
      </c>
    </row>
    <row r="18" spans="1:7" x14ac:dyDescent="0.25">
      <c r="A18">
        <v>7</v>
      </c>
      <c r="B18" s="8" t="n">
        <v>910.4021451548422</v>
      </c>
      <c r="C18" s="11">
        <f t="shared" si="0"/>
        <v>1.1574468298884335E-2</v>
      </c>
      <c r="E18" s="26">
        <v>7</v>
      </c>
      <c r="F18" s="116" t="n">
        <v>4989.0</v>
      </c>
      <c r="G18" s="11">
        <f t="shared" si="1"/>
        <v>6.4560439560439567E-2</v>
      </c>
    </row>
    <row r="19" spans="1:7" x14ac:dyDescent="0.25">
      <c r="A19">
        <v>8</v>
      </c>
      <c r="B19" s="8" t="n">
        <v>2687.0153611514966</v>
      </c>
      <c r="C19" s="11">
        <f t="shared" si="0"/>
        <v>3.4161578245154055E-2</v>
      </c>
      <c r="E19" s="27">
        <v>8</v>
      </c>
      <c r="F19" s="117" t="n">
        <v>4023.0</v>
      </c>
      <c r="G19" s="11">
        <f t="shared" si="1"/>
        <v>5.1889699085960771E-2</v>
      </c>
    </row>
    <row r="20" spans="1:7" x14ac:dyDescent="0.25">
      <c r="A20">
        <v>9</v>
      </c>
      <c r="B20" s="8" t="n">
        <v>2889.121379536057</v>
      </c>
      <c r="C20" s="11">
        <f t="shared" si="0"/>
        <v>3.6731068788707161E-2</v>
      </c>
      <c r="E20" s="28">
        <v>9</v>
      </c>
      <c r="F20" s="118" t="n">
        <v>3294.0</v>
      </c>
      <c r="G20" s="11">
        <f t="shared" si="1"/>
        <v>4.4636438328027113E-2</v>
      </c>
    </row>
    <row r="21" spans="1:7" x14ac:dyDescent="0.25">
      <c r="A21">
        <v>10</v>
      </c>
      <c r="B21" s="8" t="n">
        <v>2132.475295634884</v>
      </c>
      <c r="C21" s="11">
        <f t="shared" si="0"/>
        <v>2.7111390102537575E-2</v>
      </c>
      <c r="E21" s="29">
        <v>10</v>
      </c>
      <c r="F21" s="119" t="n">
        <v>2726.0</v>
      </c>
      <c r="G21" s="11">
        <f t="shared" si="1"/>
        <v>3.6497381123549347E-2</v>
      </c>
    </row>
    <row r="22" spans="1:7" x14ac:dyDescent="0.25">
      <c r="A22">
        <v>11</v>
      </c>
      <c r="B22" s="8" t="n">
        <v>285.1467344037341</v>
      </c>
      <c r="C22" s="11">
        <f t="shared" si="0"/>
        <v>3.6252351287299222E-3</v>
      </c>
      <c r="E22" s="30">
        <v>11</v>
      </c>
      <c r="F22" s="120" t="n">
        <v>1999.0</v>
      </c>
      <c r="G22" s="11">
        <f t="shared" si="1"/>
        <v>2.9706275033377836E-2</v>
      </c>
    </row>
    <row r="23" spans="1:7" x14ac:dyDescent="0.25">
      <c r="A23">
        <v>12</v>
      </c>
      <c r="B23" s="8" t="n">
        <v>1258.0373762187253</v>
      </c>
      <c r="C23" s="11">
        <f t="shared" si="0"/>
        <v>1.599415577758628E-2</v>
      </c>
      <c r="E23" s="31">
        <v>12</v>
      </c>
      <c r="F23" s="121" t="n">
        <v>1698.0</v>
      </c>
      <c r="G23" s="11">
        <f t="shared" si="1"/>
        <v>2.3480024648248946E-2</v>
      </c>
    </row>
    <row r="24" spans="1:7" x14ac:dyDescent="0.25">
      <c r="A24">
        <v>13</v>
      </c>
      <c r="B24" s="8" t="n">
        <v>298.0895212578056</v>
      </c>
      <c r="C24" s="11">
        <f t="shared" si="0"/>
        <v>3.7897842534644517E-3</v>
      </c>
      <c r="E24" s="32">
        <v>13</v>
      </c>
      <c r="F24" s="122" t="n">
        <v>1285.0</v>
      </c>
      <c r="G24" s="11">
        <f t="shared" si="1"/>
        <v>1.7356475300400534E-2</v>
      </c>
    </row>
    <row r="25" spans="1:7" x14ac:dyDescent="0.25">
      <c r="A25">
        <v>14</v>
      </c>
      <c r="B25" s="8" t="n">
        <v>1046.0826644297113</v>
      </c>
      <c r="C25" s="11">
        <f t="shared" si="0"/>
        <v>1.3299453106401498E-2</v>
      </c>
      <c r="E25" s="33">
        <v>14</v>
      </c>
      <c r="F25" s="123" t="n">
        <v>907.0</v>
      </c>
      <c r="G25" s="11">
        <f t="shared" si="1"/>
        <v>1.2388312621957482E-2</v>
      </c>
    </row>
    <row r="26" spans="1:7" x14ac:dyDescent="0.25">
      <c r="A26">
        <v>15</v>
      </c>
      <c r="B26" s="8" t="n">
        <v>427.1481878766467</v>
      </c>
      <c r="C26" s="11">
        <f t="shared" si="0"/>
        <v>5.4305816235343495E-3</v>
      </c>
      <c r="E26" s="34">
        <v>15</v>
      </c>
      <c r="F26" s="124" t="n">
        <v>624.0</v>
      </c>
      <c r="G26" s="11">
        <f t="shared" si="1"/>
        <v>9.2816062442230667E-3</v>
      </c>
    </row>
    <row r="27" spans="1:7" x14ac:dyDescent="0.25">
      <c r="A27">
        <v>16</v>
      </c>
      <c r="B27" s="8" t="n">
        <v>675.8857801640116</v>
      </c>
      <c r="C27" s="11">
        <f t="shared" si="0"/>
        <v>8.5929262994481545E-3</v>
      </c>
      <c r="E27" s="35">
        <v>16</v>
      </c>
      <c r="F27" s="125" t="n">
        <v>486.0</v>
      </c>
      <c r="G27" s="11">
        <f t="shared" si="1"/>
        <v>6.6113792749306769E-3</v>
      </c>
    </row>
    <row r="28" spans="1:7" x14ac:dyDescent="0.25">
      <c r="A28">
        <v>17</v>
      </c>
      <c r="B28" s="8" t="n">
        <v>934.2532845732873</v>
      </c>
      <c r="C28" s="11">
        <f t="shared" si="0"/>
        <v>1.1877701610185584E-2</v>
      </c>
      <c r="E28" s="36">
        <v>17</v>
      </c>
      <c r="F28" s="126" t="n">
        <v>371.0</v>
      </c>
      <c r="G28" s="11">
        <f t="shared" si="1"/>
        <v>4.493170381020848E-3</v>
      </c>
    </row>
    <row r="29" spans="1:7" x14ac:dyDescent="0.25">
      <c r="A29">
        <v>18</v>
      </c>
      <c r="B29" s="8" t="n">
        <v>1143.550821435244</v>
      </c>
      <c r="C29" s="11">
        <f t="shared" si="0"/>
        <v>1.4538622081799006E-2</v>
      </c>
      <c r="E29" s="37">
        <v>18</v>
      </c>
      <c r="F29" s="127" t="n">
        <v>259.0</v>
      </c>
      <c r="G29" s="11">
        <f t="shared" si="1"/>
        <v>3.5175105268563213E-3</v>
      </c>
    </row>
    <row r="30" spans="1:7" x14ac:dyDescent="0.25">
      <c r="A30">
        <v>19</v>
      </c>
      <c r="B30" s="8" t="n">
        <v>1104.511124696506</v>
      </c>
      <c r="C30" s="11">
        <f t="shared" si="0"/>
        <v>1.4042287868720313E-2</v>
      </c>
      <c r="E30" s="38">
        <v>19</v>
      </c>
      <c r="F30" s="128" t="n">
        <v>179.0</v>
      </c>
      <c r="G30" s="11">
        <f t="shared" si="1"/>
        <v>2.3621238574509603E-3</v>
      </c>
    </row>
    <row r="31" spans="1:7" x14ac:dyDescent="0.25">
      <c r="A31">
        <v>20</v>
      </c>
      <c r="B31" s="8" t="n">
        <v>51.7799589451792</v>
      </c>
      <c r="C31" s="11">
        <f t="shared" si="0"/>
        <v>6.5830852499427616E-4</v>
      </c>
      <c r="E31" s="39">
        <v>20</v>
      </c>
      <c r="F31" s="129" t="n">
        <v>134.0</v>
      </c>
      <c r="G31" s="11">
        <f t="shared" si="1"/>
        <v>1.745917633768101E-3</v>
      </c>
    </row>
    <row r="32" spans="1:7" x14ac:dyDescent="0.25">
      <c r="A32">
        <v>21</v>
      </c>
      <c r="B32" s="8" t="n">
        <v>0.0</v>
      </c>
      <c r="C32" s="11">
        <f t="shared" si="0"/>
        <v>0</v>
      </c>
      <c r="E32" s="40">
        <v>21</v>
      </c>
      <c r="F32" s="130" t="n">
        <v>98.0</v>
      </c>
      <c r="G32" s="11">
        <f t="shared" si="1"/>
        <v>1.155386669405361E-3</v>
      </c>
    </row>
    <row r="33" spans="1:7" x14ac:dyDescent="0.25">
      <c r="A33">
        <v>22</v>
      </c>
      <c r="B33" s="8" t="n">
        <v>779.7492485888484</v>
      </c>
      <c r="C33" s="11">
        <f t="shared" si="0"/>
        <v>9.9134025627054013E-3</v>
      </c>
      <c r="E33" s="41">
        <v>22</v>
      </c>
      <c r="F33" s="131" t="n">
        <v>57.0</v>
      </c>
      <c r="G33" s="11">
        <f t="shared" si="1"/>
        <v>9.4998459484440796E-4</v>
      </c>
    </row>
    <row r="34" spans="1:7" x14ac:dyDescent="0.25">
      <c r="A34">
        <v>23</v>
      </c>
      <c r="B34" s="8" t="n">
        <v>0.0</v>
      </c>
      <c r="C34" s="11">
        <f t="shared" si="0"/>
        <v>0</v>
      </c>
      <c r="E34" s="42">
        <v>23</v>
      </c>
      <c r="F34" s="132" t="n">
        <v>49.0</v>
      </c>
      <c r="G34" s="11">
        <f t="shared" si="1"/>
        <v>4.7499229742220398E-4</v>
      </c>
    </row>
    <row r="35" spans="1:7" x14ac:dyDescent="0.25">
      <c r="A35">
        <v>24</v>
      </c>
      <c r="B35" s="8" t="n">
        <v>119.61350016347481</v>
      </c>
      <c r="C35" s="11">
        <f t="shared" si="0"/>
        <v>1.5207155136099384E-3</v>
      </c>
      <c r="E35" s="43">
        <v>24</v>
      </c>
      <c r="F35" s="133" t="n">
        <v>42.0</v>
      </c>
      <c r="G35" s="11">
        <f t="shared" si="1"/>
        <v>4.1080414912190614E-4</v>
      </c>
    </row>
    <row r="36" spans="1:7" x14ac:dyDescent="0.25">
      <c r="A36">
        <v>25</v>
      </c>
      <c r="B36" s="8" t="n">
        <v>0.0</v>
      </c>
      <c r="C36" s="11">
        <f t="shared" si="0"/>
        <v>0</v>
      </c>
      <c r="E36" s="44">
        <v>25</v>
      </c>
      <c r="F36" s="134" t="n">
        <v>24.0</v>
      </c>
      <c r="G36" s="11">
        <f t="shared" si="1"/>
        <v>3.466160008216083E-4</v>
      </c>
    </row>
    <row r="37" spans="1:7" x14ac:dyDescent="0.25">
      <c r="A37">
        <v>26</v>
      </c>
      <c r="B37" s="8" t="n">
        <v>433.18539473833954</v>
      </c>
      <c r="C37" s="11">
        <f t="shared" si="0"/>
        <v>5.5073361213201447E-3</v>
      </c>
      <c r="E37" s="45">
        <v>26</v>
      </c>
      <c r="F37" s="135" t="n">
        <v>17.0</v>
      </c>
      <c r="G37" s="11">
        <f t="shared" si="1"/>
        <v>1.5405155592071481E-4</v>
      </c>
    </row>
    <row r="38" spans="1:7" x14ac:dyDescent="0.25">
      <c r="A38">
        <v>27</v>
      </c>
      <c r="B38" s="8" t="n">
        <v>0.0</v>
      </c>
      <c r="C38" s="11">
        <f t="shared" si="0"/>
        <v>0</v>
      </c>
      <c r="E38" s="46">
        <v>27</v>
      </c>
      <c r="F38" s="136" t="n">
        <v>15.0</v>
      </c>
      <c r="G38" s="11">
        <f t="shared" si="1"/>
        <v>1.0270103728047654E-4</v>
      </c>
    </row>
    <row r="39" spans="1:7" x14ac:dyDescent="0.25">
      <c r="A39">
        <v>28</v>
      </c>
      <c r="B39" s="8" t="n">
        <v>0.0</v>
      </c>
      <c r="C39" s="11">
        <f t="shared" si="0"/>
        <v>0</v>
      </c>
      <c r="E39" s="47">
        <v>28</v>
      </c>
      <c r="F39" s="137" t="n">
        <v>7.0</v>
      </c>
      <c r="G39" s="11">
        <f t="shared" si="1"/>
        <v>6.418814830029784E-5</v>
      </c>
    </row>
    <row r="40" spans="1:7" x14ac:dyDescent="0.25">
      <c r="A40">
        <v>29</v>
      </c>
      <c r="B40" s="8" t="n">
        <v>781.202706249446</v>
      </c>
      <c r="C40" s="11">
        <f t="shared" si="0"/>
        <v>9.9318812094285978E-3</v>
      </c>
      <c r="E40" s="48">
        <v>29</v>
      </c>
      <c r="F40" s="138" t="n">
        <v>8.0</v>
      </c>
      <c r="G40" s="11">
        <f t="shared" si="1"/>
        <v>8.986340762041697E-5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7.0</v>
      </c>
      <c r="G41" s="11">
        <f t="shared" si="1"/>
        <v>2.5675259320119134E-5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50">
        <v>31</v>
      </c>
      <c r="F42" s="140" t="n">
        <v>4.0</v>
      </c>
      <c r="G42" s="11">
        <f t="shared" si="1"/>
        <v>5.1350518640238268E-5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2.0</v>
      </c>
      <c r="G43" s="11">
        <f t="shared" si="1"/>
        <v>3.8512888980178702E-5</v>
      </c>
    </row>
    <row r="44" spans="1:7" x14ac:dyDescent="0.25">
      <c r="A44">
        <v>33</v>
      </c>
      <c r="B44" s="8" t="n">
        <v>0.0</v>
      </c>
      <c r="C44" s="11">
        <f t="shared" si="0"/>
        <v>0</v>
      </c>
      <c r="E44" s="52">
        <v>33</v>
      </c>
      <c r="F44" s="142" t="n">
        <v>3.0</v>
      </c>
      <c r="G44" s="11">
        <f t="shared" si="1"/>
        <v>0</v>
      </c>
    </row>
    <row r="45" spans="1:7" x14ac:dyDescent="0.25">
      <c r="A45">
        <v>34</v>
      </c>
      <c r="B45" s="8" t="n">
        <v>0.0</v>
      </c>
      <c r="C45" s="11">
        <f t="shared" si="0"/>
        <v>0</v>
      </c>
      <c r="E45" s="53">
        <v>34</v>
      </c>
      <c r="F45" s="143" t="n">
        <v>5.0</v>
      </c>
      <c r="G45" s="11">
        <f t="shared" si="1"/>
        <v>2.5675259320119134E-5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1.0</v>
      </c>
      <c r="G46" s="11">
        <f t="shared" si="1"/>
        <v>0</v>
      </c>
    </row>
    <row r="47" spans="1:7" x14ac:dyDescent="0.25">
      <c r="A47">
        <v>36</v>
      </c>
      <c r="B47" s="8" t="n">
        <v>0.0</v>
      </c>
      <c r="C47" s="11">
        <f t="shared" si="0"/>
        <v>0</v>
      </c>
      <c r="E47" s="55">
        <v>36</v>
      </c>
      <c r="F47" s="145" t="n">
        <v>0.0</v>
      </c>
      <c r="G47" s="11">
        <f t="shared" si="1"/>
        <v>1.2837629660059567E-5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2.0</v>
      </c>
      <c r="G48" s="11">
        <f t="shared" si="1"/>
        <v>0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1.0</v>
      </c>
      <c r="G49" s="11">
        <f t="shared" si="1"/>
        <v>1.2837629660059567E-5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1.0</v>
      </c>
      <c r="G50" s="11">
        <f t="shared" si="1"/>
        <v>0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1.0</v>
      </c>
      <c r="G51" s="11">
        <f t="shared" si="1"/>
        <v>0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0.0</v>
      </c>
      <c r="G52" s="11">
        <f t="shared" si="1"/>
        <v>0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2.0</v>
      </c>
      <c r="G53" s="11">
        <f t="shared" si="1"/>
        <v>0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62">
        <v>43</v>
      </c>
      <c r="F54" s="152" t="n">
        <v>0.0</v>
      </c>
      <c r="G54" s="11">
        <f t="shared" si="1"/>
        <v>0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0.0</v>
      </c>
      <c r="G55" s="11">
        <f t="shared" si="1"/>
        <v>0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0.0</v>
      </c>
      <c r="G56" s="11">
        <f t="shared" si="1"/>
        <v>0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5">
        <v>46</v>
      </c>
      <c r="F57" s="155" t="n">
        <v>0.0</v>
      </c>
      <c r="G57" s="11">
        <f t="shared" si="1"/>
        <v>0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0.0</v>
      </c>
      <c r="G58" s="11">
        <f t="shared" si="1"/>
        <v>0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0.0</v>
      </c>
      <c r="G59" s="11">
        <f t="shared" si="1"/>
        <v>0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0.0</v>
      </c>
      <c r="G60" s="11">
        <f t="shared" si="1"/>
        <v>0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0.0</v>
      </c>
      <c r="G61" s="11">
        <f t="shared" si="1"/>
        <v>0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0.0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0.0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0.0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0.0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0.0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0.0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0.0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0.0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0.0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78656.066235249527</v>
      </c>
      <c r="C102" s="11">
        <f t="shared" si="2"/>
        <v>1</v>
      </c>
      <c r="F102" s="8">
        <f>SUM(F11:F101)</f>
        <v>77896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50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51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134.0</v>
      </c>
      <c r="G11" s="11">
        <f>F11/F$102</f>
        <v>1.810105782068399E-3</v>
      </c>
      <c r="K11" s="8" t="n">
        <v>12.257149961538289</v>
      </c>
      <c r="L11" s="8" t="n">
        <v>13.212073786111246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495.0</v>
      </c>
      <c r="G12" s="11">
        <f>F12/F$102</f>
        <v>7.9336551299168129E-3</v>
      </c>
      <c r="K12" s="8"/>
      <c r="L12" s="380"/>
    </row>
    <row r="13" spans="1:12" x14ac:dyDescent="0.25">
      <c r="A13">
        <v>2</v>
      </c>
      <c r="B13" s="8" t="n">
        <v>0.0</v>
      </c>
      <c r="C13" s="11">
        <f t="shared" ref="C13:C76" si="0">B13/B$102</f>
        <v>0</v>
      </c>
      <c r="E13" s="201">
        <v>2</v>
      </c>
      <c r="F13" s="291" t="n">
        <v>671.0</v>
      </c>
      <c r="G13" s="11">
        <f t="shared" ref="G13:G76" si="1">F13/F$102</f>
        <v>1.0282941357707713E-2</v>
      </c>
    </row>
    <row r="14" spans="1:12" x14ac:dyDescent="0.25">
      <c r="A14">
        <v>3</v>
      </c>
      <c r="B14" s="8" t="n">
        <v>1541.847477632629</v>
      </c>
      <c r="C14" s="11">
        <f t="shared" si="0"/>
        <v>1.960239751910773E-2</v>
      </c>
      <c r="E14" s="202">
        <v>3</v>
      </c>
      <c r="F14" s="292" t="n">
        <v>1104.0</v>
      </c>
      <c r="G14" s="11">
        <f t="shared" si="1"/>
        <v>1.747201396734107E-2</v>
      </c>
    </row>
    <row r="15" spans="1:12" x14ac:dyDescent="0.25">
      <c r="A15">
        <v>4</v>
      </c>
      <c r="B15" s="8" t="n">
        <v>5155.501832590509</v>
      </c>
      <c r="C15" s="11">
        <f t="shared" si="0"/>
        <v>6.5544872498086895E-2</v>
      </c>
      <c r="E15" s="203">
        <v>4</v>
      </c>
      <c r="F15" s="293" t="n">
        <v>1777.0</v>
      </c>
      <c r="G15" s="11">
        <f t="shared" si="1"/>
        <v>2.8255622881791106E-2</v>
      </c>
    </row>
    <row r="16" spans="1:12" x14ac:dyDescent="0.25">
      <c r="A16">
        <v>5</v>
      </c>
      <c r="B16" s="8" t="n">
        <v>9981.879691849977</v>
      </c>
      <c r="C16" s="11">
        <f t="shared" si="0"/>
        <v>0.12690540182871005</v>
      </c>
      <c r="E16" s="204">
        <v>5</v>
      </c>
      <c r="F16" s="294" t="n">
        <v>2785.0</v>
      </c>
      <c r="G16" s="11">
        <f t="shared" si="1"/>
        <v>4.3570915066242166E-2</v>
      </c>
    </row>
    <row r="17" spans="1:7" x14ac:dyDescent="0.25">
      <c r="A17">
        <v>6</v>
      </c>
      <c r="B17" s="8" t="n">
        <v>4755.5002701756675</v>
      </c>
      <c r="C17" s="11">
        <f t="shared" si="0"/>
        <v>6.0459421603320657E-2</v>
      </c>
      <c r="E17" s="205">
        <v>6</v>
      </c>
      <c r="F17" s="295" t="n">
        <v>4204.0</v>
      </c>
      <c r="G17" s="11">
        <f t="shared" si="1"/>
        <v>5.8513915990551502E-2</v>
      </c>
    </row>
    <row r="18" spans="1:7" x14ac:dyDescent="0.25">
      <c r="A18">
        <v>7</v>
      </c>
      <c r="B18" s="8" t="n">
        <v>8770.270901742193</v>
      </c>
      <c r="C18" s="11">
        <f t="shared" si="0"/>
        <v>0.11150151948244538</v>
      </c>
      <c r="E18" s="206">
        <v>7</v>
      </c>
      <c r="F18" s="296" t="n">
        <v>5595.0</v>
      </c>
      <c r="G18" s="11">
        <f t="shared" si="1"/>
        <v>6.9644140905823146E-2</v>
      </c>
    </row>
    <row r="19" spans="1:7" x14ac:dyDescent="0.25">
      <c r="A19">
        <v>8</v>
      </c>
      <c r="B19" s="8" t="n">
        <v>5475.315114656333</v>
      </c>
      <c r="C19" s="11">
        <f t="shared" si="0"/>
        <v>6.9610843469852829E-2</v>
      </c>
      <c r="E19" s="207">
        <v>8</v>
      </c>
      <c r="F19" s="297" t="n">
        <v>6504.0</v>
      </c>
      <c r="G19" s="11">
        <f t="shared" si="1"/>
        <v>7.7975762555201805E-2</v>
      </c>
    </row>
    <row r="20" spans="1:7" x14ac:dyDescent="0.25">
      <c r="A20">
        <v>9</v>
      </c>
      <c r="B20" s="8" t="n">
        <v>5390.956668843912</v>
      </c>
      <c r="C20" s="11">
        <f t="shared" si="0"/>
        <v>6.8538345824723762E-2</v>
      </c>
      <c r="E20" s="208">
        <v>9</v>
      </c>
      <c r="F20" s="298" t="n">
        <v>6405.0</v>
      </c>
      <c r="G20" s="11">
        <f t="shared" si="1"/>
        <v>7.7385231590839071E-2</v>
      </c>
    </row>
    <row r="21" spans="1:7" x14ac:dyDescent="0.25">
      <c r="A21">
        <v>10</v>
      </c>
      <c r="B21" s="8" t="n">
        <v>4480.397064793369</v>
      </c>
      <c r="C21" s="11">
        <f t="shared" si="0"/>
        <v>5.6961875659953719E-2</v>
      </c>
      <c r="E21" s="209">
        <v>10</v>
      </c>
      <c r="F21" s="299" t="n">
        <v>6175.0</v>
      </c>
      <c r="G21" s="11">
        <f t="shared" si="1"/>
        <v>7.4599465954606148E-2</v>
      </c>
    </row>
    <row r="22" spans="1:7" x14ac:dyDescent="0.25">
      <c r="A22">
        <v>11</v>
      </c>
      <c r="B22" s="8" t="n">
        <v>4412.025786211545</v>
      </c>
      <c r="C22" s="11">
        <f t="shared" si="0"/>
        <v>5.6092632105650672E-2</v>
      </c>
      <c r="E22" s="210">
        <v>11</v>
      </c>
      <c r="F22" s="300" t="n">
        <v>5913.0</v>
      </c>
      <c r="G22" s="11">
        <f t="shared" si="1"/>
        <v>6.9618465646503036E-2</v>
      </c>
    </row>
    <row r="23" spans="1:7" x14ac:dyDescent="0.25">
      <c r="A23">
        <v>12</v>
      </c>
      <c r="B23" s="8" t="n">
        <v>4898.703845658665</v>
      </c>
      <c r="C23" s="11">
        <f t="shared" si="0"/>
        <v>6.2280051369557568E-2</v>
      </c>
      <c r="E23" s="211">
        <v>12</v>
      </c>
      <c r="F23" s="301" t="n">
        <v>5280.0</v>
      </c>
      <c r="G23" s="11">
        <f t="shared" si="1"/>
        <v>6.1864537331827049E-2</v>
      </c>
    </row>
    <row r="24" spans="1:7" x14ac:dyDescent="0.25">
      <c r="A24">
        <v>13</v>
      </c>
      <c r="B24" s="8" t="n">
        <v>868.1347094390919</v>
      </c>
      <c r="C24" s="11">
        <f t="shared" si="0"/>
        <v>1.103709797592241E-2</v>
      </c>
      <c r="E24" s="212">
        <v>13</v>
      </c>
      <c r="F24" s="302" t="n">
        <v>4648.0</v>
      </c>
      <c r="G24" s="11">
        <f t="shared" si="1"/>
        <v>5.4752490500154051E-2</v>
      </c>
    </row>
    <row r="25" spans="1:7" x14ac:dyDescent="0.25">
      <c r="A25">
        <v>14</v>
      </c>
      <c r="B25" s="8" t="n">
        <v>4439.592615739209</v>
      </c>
      <c r="C25" s="11">
        <f t="shared" si="0"/>
        <v>5.6443105131408343E-2</v>
      </c>
      <c r="E25" s="213">
        <v>14</v>
      </c>
      <c r="F25" s="303" t="n">
        <v>4140.0</v>
      </c>
      <c r="G25" s="11">
        <f t="shared" si="1"/>
        <v>4.7884358632022186E-2</v>
      </c>
    </row>
    <row r="26" spans="1:7" x14ac:dyDescent="0.25">
      <c r="A26">
        <v>15</v>
      </c>
      <c r="B26" s="8" t="n">
        <v>2575.6178807939996</v>
      </c>
      <c r="C26" s="11">
        <f t="shared" si="0"/>
        <v>3.2745317736723296E-2</v>
      </c>
      <c r="E26" s="214">
        <v>15</v>
      </c>
      <c r="F26" s="304" t="n">
        <v>3694.0</v>
      </c>
      <c r="G26" s="11">
        <f t="shared" si="1"/>
        <v>4.3172948546780325E-2</v>
      </c>
    </row>
    <row r="27" spans="1:7" x14ac:dyDescent="0.25">
      <c r="A27">
        <v>16</v>
      </c>
      <c r="B27" s="8" t="n">
        <v>1959.2693631231064</v>
      </c>
      <c r="C27" s="11">
        <f t="shared" si="0"/>
        <v>2.4909323042716109E-2</v>
      </c>
      <c r="E27" s="215">
        <v>16</v>
      </c>
      <c r="F27" s="305" t="n">
        <v>3288.0</v>
      </c>
      <c r="G27" s="11">
        <f t="shared" si="1"/>
        <v>3.7883845126835784E-2</v>
      </c>
    </row>
    <row r="28" spans="1:7" x14ac:dyDescent="0.25">
      <c r="A28">
        <v>17</v>
      </c>
      <c r="B28" s="8" t="n">
        <v>743.4466801484893</v>
      </c>
      <c r="C28" s="11">
        <f t="shared" si="0"/>
        <v>9.4518670425869228E-3</v>
      </c>
      <c r="E28" s="216">
        <v>17</v>
      </c>
      <c r="F28" s="306" t="n">
        <v>2820.0</v>
      </c>
      <c r="G28" s="11">
        <f t="shared" si="1"/>
        <v>3.346770052377529E-2</v>
      </c>
    </row>
    <row r="29" spans="1:7" x14ac:dyDescent="0.25">
      <c r="A29">
        <v>18</v>
      </c>
      <c r="B29" s="8" t="n">
        <v>1277.5051110844167</v>
      </c>
      <c r="C29" s="11">
        <f t="shared" si="0"/>
        <v>1.6241660335053795E-2</v>
      </c>
      <c r="E29" s="217">
        <v>18</v>
      </c>
      <c r="F29" s="307" t="n">
        <v>2355.0</v>
      </c>
      <c r="G29" s="11">
        <f t="shared" si="1"/>
        <v>2.8345486289411522E-2</v>
      </c>
    </row>
    <row r="30" spans="1:7" x14ac:dyDescent="0.25">
      <c r="A30">
        <v>19</v>
      </c>
      <c r="B30" s="8" t="n">
        <v>1600.858701458309</v>
      </c>
      <c r="C30" s="11">
        <f t="shared" si="0"/>
        <v>2.0352641291141605E-2</v>
      </c>
      <c r="E30" s="218">
        <v>19</v>
      </c>
      <c r="F30" s="308" t="n">
        <v>2192.0</v>
      </c>
      <c r="G30" s="11">
        <f t="shared" si="1"/>
        <v>2.4584060799014072E-2</v>
      </c>
    </row>
    <row r="31" spans="1:7" x14ac:dyDescent="0.25">
      <c r="A31">
        <v>20</v>
      </c>
      <c r="B31" s="8" t="n">
        <v>1070.8786029619537</v>
      </c>
      <c r="C31" s="11">
        <f t="shared" si="0"/>
        <v>1.3614698194530882E-2</v>
      </c>
      <c r="E31" s="219">
        <v>20</v>
      </c>
      <c r="F31" s="309" t="n">
        <v>1794.0</v>
      </c>
      <c r="G31" s="11">
        <f t="shared" si="1"/>
        <v>2.1451679161959537E-2</v>
      </c>
    </row>
    <row r="32" spans="1:7" x14ac:dyDescent="0.25">
      <c r="A32">
        <v>21</v>
      </c>
      <c r="B32" s="8" t="n">
        <v>557.5088900107429</v>
      </c>
      <c r="C32" s="11">
        <f t="shared" si="0"/>
        <v>7.0879325231357222E-3</v>
      </c>
      <c r="E32" s="220">
        <v>21</v>
      </c>
      <c r="F32" s="310" t="n">
        <v>1515.0</v>
      </c>
      <c r="G32" s="11">
        <f t="shared" si="1"/>
        <v>1.9692923898531375E-2</v>
      </c>
    </row>
    <row r="33" spans="1:7" x14ac:dyDescent="0.25">
      <c r="A33">
        <v>22</v>
      </c>
      <c r="B33" s="8" t="n">
        <v>291.4334113720178</v>
      </c>
      <c r="C33" s="11">
        <f t="shared" si="0"/>
        <v>3.7051612840690541E-3</v>
      </c>
      <c r="E33" s="221">
        <v>22</v>
      </c>
      <c r="F33" s="311" t="n">
        <v>1307.0</v>
      </c>
      <c r="G33" s="11">
        <f t="shared" si="1"/>
        <v>1.5738933963233028E-2</v>
      </c>
    </row>
    <row r="34" spans="1:7" x14ac:dyDescent="0.25">
      <c r="A34">
        <v>23</v>
      </c>
      <c r="B34" s="8" t="n">
        <v>628.1580803641633</v>
      </c>
      <c r="C34" s="11">
        <f t="shared" si="0"/>
        <v>7.9861364854609974E-3</v>
      </c>
      <c r="E34" s="222">
        <v>23</v>
      </c>
      <c r="F34" s="312" t="n">
        <v>1100.0</v>
      </c>
      <c r="G34" s="11">
        <f t="shared" si="1"/>
        <v>1.2966005956660162E-2</v>
      </c>
    </row>
    <row r="35" spans="1:7" x14ac:dyDescent="0.25">
      <c r="A35">
        <v>24</v>
      </c>
      <c r="B35" s="8" t="n">
        <v>1012.3045532770541</v>
      </c>
      <c r="C35" s="11">
        <f t="shared" si="0"/>
        <v>1.2870012469850568E-2</v>
      </c>
      <c r="E35" s="223">
        <v>24</v>
      </c>
      <c r="F35" s="313" t="n">
        <v>1000.0</v>
      </c>
      <c r="G35" s="11">
        <f t="shared" si="1"/>
        <v>1.123292595255212E-2</v>
      </c>
    </row>
    <row r="36" spans="1:7" x14ac:dyDescent="0.25">
      <c r="A36">
        <v>25</v>
      </c>
      <c r="B36" s="8" t="n">
        <v>938.9621070807264</v>
      </c>
      <c r="C36" s="11">
        <f t="shared" si="0"/>
        <v>1.1937567590431217E-2</v>
      </c>
      <c r="E36" s="224">
        <v>25</v>
      </c>
      <c r="F36" s="314" t="n">
        <v>824.0</v>
      </c>
      <c r="G36" s="11">
        <f t="shared" si="1"/>
        <v>9.3072815035431852E-3</v>
      </c>
    </row>
    <row r="37" spans="1:7" x14ac:dyDescent="0.25">
      <c r="A37">
        <v>26</v>
      </c>
      <c r="B37" s="8" t="n">
        <v>46.5959594974839</v>
      </c>
      <c r="C37" s="11">
        <f t="shared" si="0"/>
        <v>5.9240134585578877E-4</v>
      </c>
      <c r="E37" s="225">
        <v>26</v>
      </c>
      <c r="F37" s="315" t="n">
        <v>628.0</v>
      </c>
      <c r="G37" s="11">
        <f t="shared" si="1"/>
        <v>7.7539283146759782E-3</v>
      </c>
    </row>
    <row r="38" spans="1:7" x14ac:dyDescent="0.25">
      <c r="A38">
        <v>27</v>
      </c>
      <c r="B38" s="8" t="n">
        <v>394.6612030644599</v>
      </c>
      <c r="C38" s="11">
        <f t="shared" si="0"/>
        <v>5.0175558218749734E-3</v>
      </c>
      <c r="E38" s="226">
        <v>27</v>
      </c>
      <c r="F38" s="316" t="n">
        <v>532.0</v>
      </c>
      <c r="G38" s="11">
        <f t="shared" si="1"/>
        <v>6.3289514224093664E-3</v>
      </c>
    </row>
    <row r="39" spans="1:7" x14ac:dyDescent="0.25">
      <c r="A39">
        <v>28</v>
      </c>
      <c r="B39" s="8" t="n">
        <v>1865.357475336244</v>
      </c>
      <c r="C39" s="11">
        <f t="shared" si="0"/>
        <v>2.3715366971915612E-2</v>
      </c>
      <c r="E39" s="227">
        <v>28</v>
      </c>
      <c r="F39" s="317" t="n">
        <v>431.0</v>
      </c>
      <c r="G39" s="11">
        <f t="shared" si="1"/>
        <v>4.74992297422204E-3</v>
      </c>
    </row>
    <row r="40" spans="1:7" x14ac:dyDescent="0.25">
      <c r="A40">
        <v>29</v>
      </c>
      <c r="B40" s="8" t="n">
        <v>80.3379854084207</v>
      </c>
      <c r="C40" s="11">
        <f t="shared" si="0"/>
        <v>1.0213832098867081E-3</v>
      </c>
      <c r="E40" s="228">
        <v>29</v>
      </c>
      <c r="F40" s="318" t="n">
        <v>362.0</v>
      </c>
      <c r="G40" s="11">
        <f t="shared" si="1"/>
        <v>3.6458868234569169E-3</v>
      </c>
    </row>
    <row r="41" spans="1:7" x14ac:dyDescent="0.25">
      <c r="A41">
        <v>30</v>
      </c>
      <c r="B41" s="8" t="n">
        <v>89.7714022074998</v>
      </c>
      <c r="C41" s="11">
        <f t="shared" si="0"/>
        <v>1.1413156861799546E-3</v>
      </c>
      <c r="E41" s="229">
        <v>30</v>
      </c>
      <c r="F41" s="319" t="n">
        <v>341.0</v>
      </c>
      <c r="G41" s="11">
        <f t="shared" si="1"/>
        <v>3.4404847488959636E-3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230">
        <v>31</v>
      </c>
      <c r="F42" s="320" t="n">
        <v>285.0</v>
      </c>
      <c r="G42" s="11">
        <f t="shared" si="1"/>
        <v>2.811440895553045E-3</v>
      </c>
    </row>
    <row r="43" spans="1:7" x14ac:dyDescent="0.25">
      <c r="A43">
        <v>32</v>
      </c>
      <c r="B43" s="8" t="n">
        <v>875.6800602456722</v>
      </c>
      <c r="C43" s="11">
        <f t="shared" si="0"/>
        <v>1.1133026378749132E-2</v>
      </c>
      <c r="E43" s="231">
        <v>32</v>
      </c>
      <c r="F43" s="321" t="n">
        <v>240.0</v>
      </c>
      <c r="G43" s="11">
        <f t="shared" si="1"/>
        <v>2.3236109684707817E-3</v>
      </c>
    </row>
    <row r="44" spans="1:7" x14ac:dyDescent="0.25">
      <c r="A44">
        <v>33</v>
      </c>
      <c r="B44" s="8" t="n">
        <v>287.550043693826</v>
      </c>
      <c r="C44" s="11">
        <f t="shared" si="0"/>
        <v>3.6557897878315335E-3</v>
      </c>
      <c r="E44" s="232">
        <v>33</v>
      </c>
      <c r="F44" s="322" t="n">
        <v>196.0</v>
      </c>
      <c r="G44" s="11">
        <f t="shared" si="1"/>
        <v>2.2209099311903051E-3</v>
      </c>
    </row>
    <row r="45" spans="1:7" x14ac:dyDescent="0.25">
      <c r="A45">
        <v>34</v>
      </c>
      <c r="B45" s="8" t="n">
        <v>0.0</v>
      </c>
      <c r="C45" s="11">
        <f t="shared" si="0"/>
        <v>0</v>
      </c>
      <c r="E45" s="233">
        <v>34</v>
      </c>
      <c r="F45" s="323" t="n">
        <v>170.0</v>
      </c>
      <c r="G45" s="11">
        <f t="shared" si="1"/>
        <v>1.2067371880455993E-3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234">
        <v>35</v>
      </c>
      <c r="F46" s="324" t="n">
        <v>151.0</v>
      </c>
      <c r="G46" s="11">
        <f t="shared" si="1"/>
        <v>1.360788743966314E-3</v>
      </c>
    </row>
    <row r="47" spans="1:7" x14ac:dyDescent="0.25">
      <c r="A47">
        <v>36</v>
      </c>
      <c r="B47" s="8" t="n">
        <v>291.4815237467234</v>
      </c>
      <c r="C47" s="11">
        <f t="shared" si="0"/>
        <v>3.705772964477297E-3</v>
      </c>
      <c r="E47" s="235">
        <v>36</v>
      </c>
      <c r="F47" s="325" t="n">
        <v>95.0</v>
      </c>
      <c r="G47" s="11">
        <f t="shared" si="1"/>
        <v>8.087706685837527E-4</v>
      </c>
    </row>
    <row r="48" spans="1:7" x14ac:dyDescent="0.25">
      <c r="A48">
        <v>37</v>
      </c>
      <c r="B48" s="8" t="n">
        <v>59.412258539043</v>
      </c>
      <c r="C48" s="11">
        <f t="shared" si="0"/>
        <v>7.5534235797337034E-4</v>
      </c>
      <c r="E48" s="236">
        <v>37</v>
      </c>
      <c r="F48" s="326" t="n">
        <v>90.0</v>
      </c>
      <c r="G48" s="11">
        <f t="shared" si="1"/>
        <v>8.9863407620416965E-4</v>
      </c>
    </row>
    <row r="49" spans="1:7" x14ac:dyDescent="0.25">
      <c r="A49">
        <v>38</v>
      </c>
      <c r="B49" s="8" t="n">
        <v>58.0884087544041</v>
      </c>
      <c r="C49" s="11">
        <f t="shared" si="0"/>
        <v>7.385114910357912E-4</v>
      </c>
      <c r="E49" s="237">
        <v>38</v>
      </c>
      <c r="F49" s="327" t="n">
        <v>87.0</v>
      </c>
      <c r="G49" s="11">
        <f t="shared" si="1"/>
        <v>5.9053096436274008E-4</v>
      </c>
    </row>
    <row r="50" spans="1:7" x14ac:dyDescent="0.25">
      <c r="A50">
        <v>39</v>
      </c>
      <c r="B50" s="8" t="n">
        <v>345.3205317856195</v>
      </c>
      <c r="C50" s="11">
        <f t="shared" si="0"/>
        <v>4.3902593698598264E-3</v>
      </c>
      <c r="E50" s="238">
        <v>39</v>
      </c>
      <c r="F50" s="328" t="n">
        <v>71.0</v>
      </c>
      <c r="G50" s="11">
        <f t="shared" si="1"/>
        <v>5.6485570504262092E-4</v>
      </c>
    </row>
    <row r="51" spans="1:7" x14ac:dyDescent="0.25">
      <c r="A51">
        <v>40</v>
      </c>
      <c r="B51" s="8" t="n">
        <v>141.7120295440976</v>
      </c>
      <c r="C51" s="11">
        <f t="shared" si="0"/>
        <v>1.801666881232736E-3</v>
      </c>
      <c r="E51" s="239">
        <v>40</v>
      </c>
      <c r="F51" s="329" t="n">
        <v>61.0</v>
      </c>
      <c r="G51" s="11">
        <f t="shared" si="1"/>
        <v>4.1080414912190614E-4</v>
      </c>
    </row>
    <row r="52" spans="1:7" x14ac:dyDescent="0.25">
      <c r="A52">
        <v>41</v>
      </c>
      <c r="B52" s="8" t="n">
        <v>99.6291312037232</v>
      </c>
      <c r="C52" s="11">
        <f t="shared" si="0"/>
        <v>1.2666426885085515E-3</v>
      </c>
      <c r="E52" s="240">
        <v>41</v>
      </c>
      <c r="F52" s="330" t="n">
        <v>43.0</v>
      </c>
      <c r="G52" s="11">
        <f t="shared" si="1"/>
        <v>3.5945363048166788E-4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241">
        <v>42</v>
      </c>
      <c r="F53" s="331" t="n">
        <v>40.0</v>
      </c>
      <c r="G53" s="11">
        <f t="shared" si="1"/>
        <v>3.2094074150148914E-4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242">
        <v>43</v>
      </c>
      <c r="F54" s="332" t="n">
        <v>25.0</v>
      </c>
      <c r="G54" s="11">
        <f t="shared" si="1"/>
        <v>1.5405155592071481E-4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243">
        <v>44</v>
      </c>
      <c r="F55" s="333" t="n">
        <v>20.0</v>
      </c>
      <c r="G55" s="11">
        <f t="shared" si="1"/>
        <v>1.6688918558077436E-4</v>
      </c>
    </row>
    <row r="56" spans="1:7" x14ac:dyDescent="0.25">
      <c r="A56">
        <v>45</v>
      </c>
      <c r="B56" s="8" t="n">
        <v>413.196154964795</v>
      </c>
      <c r="C56" s="11">
        <f t="shared" si="0"/>
        <v>5.2532013707497363E-3</v>
      </c>
      <c r="E56" s="244">
        <v>45</v>
      </c>
      <c r="F56" s="334" t="n">
        <v>17.0</v>
      </c>
      <c r="G56" s="11">
        <f t="shared" si="1"/>
        <v>1.155386669405361E-4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15.0</v>
      </c>
      <c r="G57" s="11">
        <f t="shared" si="1"/>
        <v>7.7025777960357405E-5</v>
      </c>
    </row>
    <row r="58" spans="1:7" x14ac:dyDescent="0.25">
      <c r="A58">
        <v>47</v>
      </c>
      <c r="B58" s="8" t="n">
        <v>781.202706249446</v>
      </c>
      <c r="C58" s="11">
        <f t="shared" si="0"/>
        <v>9.9318812094285943E-3</v>
      </c>
      <c r="E58" s="246">
        <v>47</v>
      </c>
      <c r="F58" s="336" t="n">
        <v>11.0</v>
      </c>
      <c r="G58" s="11">
        <f t="shared" si="1"/>
        <v>8.986340762041697E-5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21.0</v>
      </c>
      <c r="G59" s="11">
        <f t="shared" si="1"/>
        <v>6.418814830029784E-5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6.0</v>
      </c>
      <c r="G60" s="11">
        <f t="shared" si="1"/>
        <v>2.5675259320119134E-5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249">
        <v>50</v>
      </c>
      <c r="F61" s="339" t="n">
        <v>6.0</v>
      </c>
      <c r="G61" s="11">
        <f t="shared" si="1"/>
        <v>3.8512888980178702E-5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7.0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8.0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4.0</v>
      </c>
      <c r="G64" s="11">
        <f t="shared" si="1"/>
        <v>1.2837629660059567E-5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3">
        <v>54</v>
      </c>
      <c r="F65" s="343" t="n">
        <v>5.0</v>
      </c>
      <c r="G65" s="11">
        <f t="shared" si="1"/>
        <v>2.5675259320119134E-5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254">
        <v>55</v>
      </c>
      <c r="F66" s="344" t="n">
        <v>3.0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1.0</v>
      </c>
      <c r="G67" s="11">
        <f t="shared" si="1"/>
        <v>1.2837629660059567E-5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6">
        <v>57</v>
      </c>
      <c r="F68" s="346" t="n">
        <v>2.0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1.0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0">
        <v>61</v>
      </c>
      <c r="F72" s="350" t="n">
        <v>0.0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2.0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1.0</v>
      </c>
      <c r="G75" s="11">
        <f t="shared" si="1"/>
        <v>1.2837629660059567E-5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78656.066235249556</v>
      </c>
      <c r="C102" s="11">
        <f t="shared" si="2"/>
        <v>1</v>
      </c>
      <c r="F102" s="8">
        <f>SUM(F11:F101)</f>
        <v>77896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I10" workbookViewId="0">
      <selection activeCell="AE27" sqref="AE27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r="5" spans="1:21" ht="15.75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">
        <v>46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8018.516062300736</v>
      </c>
      <c r="C7" s="12" t="n">
        <v>0.0</v>
      </c>
      <c r="D7" s="12" t="n">
        <v>0.0</v>
      </c>
      <c r="E7" s="12" t="n">
        <v>0.0</v>
      </c>
      <c r="F7" s="12" t="n">
        <v>2247.373506108382</v>
      </c>
      <c r="G7" s="12" t="n">
        <v>532.619717972153</v>
      </c>
      <c r="H7" s="12" t="n">
        <v>0.0</v>
      </c>
      <c r="I7" s="12"/>
      <c r="J7" s="12">
        <f>SUM(B7:I7)</f>
        <v>10798.509286381272</v>
      </c>
      <c r="K7" s="12"/>
      <c r="L7" t="str">
        <f>$A$7</f>
        <v>Williamson</v>
      </c>
      <c r="M7" s="381" t="n">
        <v>7287.0</v>
      </c>
      <c r="N7" s="381" t="n">
        <v>168.0</v>
      </c>
      <c r="O7" s="381" t="n">
        <v>0.0</v>
      </c>
      <c r="P7" s="381" t="n">
        <v>0.0</v>
      </c>
      <c r="Q7" s="381" t="n">
        <v>1574.0</v>
      </c>
      <c r="R7" s="381" t="n">
        <v>496.0</v>
      </c>
      <c r="S7" s="381" t="n">
        <v>1.0</v>
      </c>
      <c r="T7" s="381"/>
      <c r="U7" s="12">
        <f>SUM(M7:T7)</f>
        <v>9188</v>
      </c>
    </row>
    <row r="8" spans="1:21" x14ac:dyDescent="0.25">
      <c r="A8" t="s">
        <v>41</v>
      </c>
      <c r="B8" s="12" t="n">
        <v>0.0</v>
      </c>
      <c r="C8" s="12" t="n">
        <v>12653.879114038107</v>
      </c>
      <c r="D8" s="12" t="n">
        <v>0.0</v>
      </c>
      <c r="E8" s="12" t="n">
        <v>0.0</v>
      </c>
      <c r="F8" s="12" t="n">
        <v>89.0767523092853</v>
      </c>
      <c r="G8" s="12" t="n">
        <v>0.0</v>
      </c>
      <c r="H8" s="12" t="n">
        <v>0.0</v>
      </c>
      <c r="I8" s="12"/>
      <c r="J8" s="12">
        <f t="shared" ref="J8:J14" si="0">SUM(B8:I8)</f>
        <v>12742.955866347393</v>
      </c>
      <c r="K8" s="12"/>
      <c r="L8" t="str">
        <f>$A$8</f>
        <v>Rutherford</v>
      </c>
      <c r="M8" s="381" t="n">
        <v>98.0</v>
      </c>
      <c r="N8" s="381" t="n">
        <v>12785.0</v>
      </c>
      <c r="O8" s="381" t="n">
        <v>0.0</v>
      </c>
      <c r="P8" s="381" t="n">
        <v>0.0</v>
      </c>
      <c r="Q8" s="381" t="n">
        <v>635.0</v>
      </c>
      <c r="R8" s="381" t="n">
        <v>4.0</v>
      </c>
      <c r="S8" s="381" t="n">
        <v>43.0</v>
      </c>
      <c r="T8" s="381"/>
      <c r="U8" s="12">
        <f t="shared" ref="U8:U14" si="1">SUM(M8:T8)</f>
        <v>13049</v>
      </c>
    </row>
    <row r="9" spans="1:21" x14ac:dyDescent="0.25">
      <c r="A9" t="s">
        <v>42</v>
      </c>
      <c r="B9" s="12" t="n">
        <v>0.0</v>
      </c>
      <c r="C9" s="12" t="n">
        <v>0.0</v>
      </c>
      <c r="D9" s="12" t="n">
        <v>6053.529280891107</v>
      </c>
      <c r="E9" s="12" t="n">
        <v>639.5155146140972</v>
      </c>
      <c r="F9" s="12" t="n">
        <v>2691.435433236064</v>
      </c>
      <c r="G9" s="12" t="n">
        <v>0.0</v>
      </c>
      <c r="H9" s="12" t="n">
        <v>0.0</v>
      </c>
      <c r="I9" s="12"/>
      <c r="J9" s="12">
        <f t="shared" si="0"/>
        <v>9384.4802287412676</v>
      </c>
      <c r="K9" s="13"/>
      <c r="L9" t="str">
        <f>$A$9</f>
        <v>Sumner</v>
      </c>
      <c r="M9" s="381" t="n">
        <v>0.0</v>
      </c>
      <c r="N9" s="381" t="n">
        <v>0.0</v>
      </c>
      <c r="O9" s="381" t="n">
        <v>6728.0</v>
      </c>
      <c r="P9" s="381" t="n">
        <v>540.0</v>
      </c>
      <c r="Q9" s="381" t="n">
        <v>1332.0</v>
      </c>
      <c r="R9" s="381" t="n">
        <v>0.0</v>
      </c>
      <c r="S9" s="381" t="n">
        <v>43.0</v>
      </c>
      <c r="T9" s="381"/>
      <c r="U9" s="12">
        <f t="shared" si="1"/>
        <v>8092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99.6291312037232</v>
      </c>
      <c r="E10" s="12" t="n">
        <v>1752.0766071557298</v>
      </c>
      <c r="F10" s="12" t="n">
        <v>339.885688197923</v>
      </c>
      <c r="G10" s="12" t="n">
        <v>0.0</v>
      </c>
      <c r="H10" s="12" t="n">
        <v>0.0</v>
      </c>
      <c r="I10" s="12"/>
      <c r="J10" s="12">
        <f t="shared" si="0"/>
        <v>2191.5914265573761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232.0</v>
      </c>
      <c r="P10" s="381" t="n">
        <v>2865.0</v>
      </c>
      <c r="Q10" s="381" t="n">
        <v>343.0</v>
      </c>
      <c r="R10" s="381" t="n">
        <v>0.0</v>
      </c>
      <c r="S10" s="381" t="n">
        <v>0.0</v>
      </c>
      <c r="T10" s="381"/>
      <c r="U10" s="12">
        <f t="shared" si="1"/>
        <v>3238</v>
      </c>
    </row>
    <row r="11" spans="1:21" x14ac:dyDescent="0.25">
      <c r="A11" t="s">
        <v>44</v>
      </c>
      <c r="B11" s="12" t="n">
        <v>616.8453008181066</v>
      </c>
      <c r="C11" s="12" t="n">
        <v>200.0046144042692</v>
      </c>
      <c r="D11" s="12" t="n">
        <v>612.312666254429</v>
      </c>
      <c r="E11" s="12" t="n">
        <v>0.0</v>
      </c>
      <c r="F11" s="12" t="n">
        <v>29378.402368835254</v>
      </c>
      <c r="G11" s="12" t="n">
        <v>0.0</v>
      </c>
      <c r="H11" s="12" t="n">
        <v>1486.7456244665839</v>
      </c>
      <c r="I11" s="12"/>
      <c r="J11" s="12">
        <f t="shared" si="0"/>
        <v>32294.310574778643</v>
      </c>
      <c r="K11" s="13"/>
      <c r="L11" t="str">
        <f>$A$11</f>
        <v>Davidson</v>
      </c>
      <c r="M11" s="381" t="n">
        <v>1219.0</v>
      </c>
      <c r="N11" s="381" t="n">
        <v>519.0</v>
      </c>
      <c r="O11" s="381" t="n">
        <v>307.0</v>
      </c>
      <c r="P11" s="381" t="n">
        <v>71.0</v>
      </c>
      <c r="Q11" s="381" t="n">
        <v>33285.0</v>
      </c>
      <c r="R11" s="381" t="n">
        <v>0.0</v>
      </c>
      <c r="S11" s="381" t="n">
        <v>350.0</v>
      </c>
      <c r="T11" s="381"/>
      <c r="U11" s="12">
        <f t="shared" si="1"/>
        <v>34292</v>
      </c>
    </row>
    <row r="12" spans="1:21" x14ac:dyDescent="0.25">
      <c r="A12" t="s">
        <v>45</v>
      </c>
      <c r="B12" s="12" t="n">
        <v>1341.8128686649654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1999.7700662028117</v>
      </c>
      <c r="H12" s="12" t="n">
        <v>0.0</v>
      </c>
      <c r="I12" s="12"/>
      <c r="J12" s="12">
        <f t="shared" si="0"/>
        <v>3341.5829348677771</v>
      </c>
      <c r="K12" s="13"/>
      <c r="L12" t="str">
        <f>$A$12</f>
        <v>Maury</v>
      </c>
      <c r="M12" s="381" t="n">
        <v>258.0</v>
      </c>
      <c r="N12" s="381" t="n">
        <v>0.0</v>
      </c>
      <c r="O12" s="381" t="n">
        <v>0.0</v>
      </c>
      <c r="P12" s="381" t="n">
        <v>0.0</v>
      </c>
      <c r="Q12" s="381" t="n">
        <v>2.0</v>
      </c>
      <c r="R12" s="381" t="n">
        <v>4394.0</v>
      </c>
      <c r="S12" s="381" t="n">
        <v>0.0</v>
      </c>
      <c r="T12" s="381"/>
      <c r="U12" s="12">
        <f t="shared" si="1"/>
        <v>4302</v>
      </c>
    </row>
    <row r="13" spans="1:21" x14ac:dyDescent="0.25">
      <c r="A13" t="s">
        <v>46</v>
      </c>
      <c r="B13" s="12" t="n">
        <v>0.0</v>
      </c>
      <c r="C13" s="12" t="n">
        <v>19.9892397735445</v>
      </c>
      <c r="D13" s="12" t="n">
        <v>138.210058113553</v>
      </c>
      <c r="E13" s="12" t="n">
        <v>0.0</v>
      </c>
      <c r="F13" s="12" t="n">
        <v>2011.5662247260789</v>
      </c>
      <c r="G13" s="12" t="n">
        <v>0.0</v>
      </c>
      <c r="H13" s="12" t="n">
        <v>5732.870394962634</v>
      </c>
      <c r="I13" s="12"/>
      <c r="J13" s="12">
        <f t="shared" si="0"/>
        <v>7902.6359175758107</v>
      </c>
      <c r="K13" s="13"/>
      <c r="L13" t="str">
        <f>$A$13</f>
        <v>Wilson</v>
      </c>
      <c r="M13" s="381" t="n">
        <v>1.0</v>
      </c>
      <c r="N13" s="381" t="n">
        <v>172.0</v>
      </c>
      <c r="O13" s="381" t="n">
        <v>139.0</v>
      </c>
      <c r="P13" s="381" t="n">
        <v>0.0</v>
      </c>
      <c r="Q13" s="381" t="n">
        <v>1312.0</v>
      </c>
      <c r="R13" s="381" t="n">
        <v>0.0</v>
      </c>
      <c r="S13" s="381" t="n">
        <v>4494.0</v>
      </c>
      <c r="T13" s="381"/>
      <c r="U13" s="12">
        <f t="shared" si="1"/>
        <v>5735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9977.174231783807</v>
      </c>
      <c r="C15" s="15">
        <f t="shared" si="2"/>
        <v>12873.872968215921</v>
      </c>
      <c r="D15" s="15">
        <f t="shared" si="2"/>
        <v>6903.681136462812</v>
      </c>
      <c r="E15" s="15">
        <f t="shared" si="2"/>
        <v>2391.5921217698269</v>
      </c>
      <c r="F15" s="15">
        <f t="shared" si="2"/>
        <v>36757.739973412987</v>
      </c>
      <c r="G15" s="15">
        <f t="shared" si="2"/>
        <v>2532.3897841749649</v>
      </c>
      <c r="H15" s="15">
        <f t="shared" si="2"/>
        <v>7219.6160194292179</v>
      </c>
      <c r="I15" s="15">
        <f t="shared" si="2"/>
        <v>0</v>
      </c>
      <c r="J15" s="15">
        <f t="shared" si="2"/>
        <v>78656.066235249542</v>
      </c>
      <c r="K15" s="12"/>
      <c r="L15" s="15" t="s">
        <v>4</v>
      </c>
      <c r="M15" s="15">
        <f t="shared" ref="M15:U15" si="3">SUM(M7:M14)</f>
        <v>8643</v>
      </c>
      <c r="N15" s="15">
        <f t="shared" si="3"/>
        <v>13132</v>
      </c>
      <c r="O15" s="15">
        <f t="shared" si="3"/>
        <v>6894</v>
      </c>
      <c r="P15" s="15">
        <f t="shared" si="3"/>
        <v>3274</v>
      </c>
      <c r="Q15" s="15">
        <f t="shared" si="3"/>
        <v>36895</v>
      </c>
      <c r="R15" s="15">
        <f t="shared" si="3"/>
        <v>4517</v>
      </c>
      <c r="S15" s="15">
        <f t="shared" si="3"/>
        <v>4541</v>
      </c>
      <c r="T15" s="15">
        <f t="shared" si="3"/>
        <v>0</v>
      </c>
      <c r="U15" s="15">
        <f t="shared" si="3"/>
        <v>77896</v>
      </c>
    </row>
    <row r="18" spans="1:32" ht="15.75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6822.6200141657118</v>
      </c>
      <c r="C20" s="12">
        <f t="shared" si="4"/>
        <v>0</v>
      </c>
      <c r="D20" s="12">
        <f t="shared" si="4"/>
        <v>0</v>
      </c>
      <c r="E20" s="12">
        <f t="shared" si="4"/>
        <v>0</v>
      </c>
      <c r="F20" s="12">
        <f t="shared" si="4"/>
        <v>1912.1961399028933</v>
      </c>
      <c r="G20" s="12">
        <f t="shared" si="4"/>
        <v>453.18384593139439</v>
      </c>
      <c r="H20" s="12">
        <f t="shared" si="4"/>
        <v>0</v>
      </c>
      <c r="I20" s="12"/>
      <c r="J20" s="12">
        <f>SUM(B20:I20)</f>
        <v>9188</v>
      </c>
      <c r="K20" s="12"/>
      <c r="L20" t="str">
        <f>$A$7</f>
        <v>Williamson</v>
      </c>
      <c r="M20" s="12">
        <f t="shared" ref="M20:M26" si="5">M7</f>
        <v>6944</v>
      </c>
      <c r="N20" s="12">
        <f t="shared" ref="N20:U20" si="6">N7</f>
        <v>169</v>
      </c>
      <c r="O20" s="12">
        <f t="shared" si="6"/>
        <v>0</v>
      </c>
      <c r="P20" s="12">
        <f t="shared" si="6"/>
        <v>0</v>
      </c>
      <c r="Q20" s="12">
        <f t="shared" si="6"/>
        <v>1621</v>
      </c>
      <c r="R20" s="12">
        <f t="shared" si="6"/>
        <v>454</v>
      </c>
      <c r="S20" s="12">
        <f t="shared" si="6"/>
        <v>0</v>
      </c>
      <c r="T20" s="12"/>
      <c r="U20" s="12">
        <f t="shared" si="6"/>
        <v>9188</v>
      </c>
    </row>
    <row r="21" spans="1:32" x14ac:dyDescent="0.25">
      <c r="A21" t="str">
        <f>$A$8</f>
        <v>Rutherford</v>
      </c>
      <c r="B21" s="12">
        <f t="shared" ref="B21:G25" si="7">($U8/$J8)*B8</f>
        <v>0</v>
      </c>
      <c r="C21" s="12">
        <f t="shared" si="7"/>
        <v>12957.783915358796</v>
      </c>
      <c r="D21" s="12">
        <f t="shared" si="7"/>
        <v>0</v>
      </c>
      <c r="E21" s="12">
        <f t="shared" si="7"/>
        <v>0</v>
      </c>
      <c r="F21" s="12">
        <f t="shared" si="7"/>
        <v>91.216084641203452</v>
      </c>
      <c r="G21" s="12">
        <f t="shared" si="7"/>
        <v>0</v>
      </c>
      <c r="H21" s="12">
        <f t="shared" ref="H21:H26" si="8">($U8/$J8)*H8</f>
        <v>0</v>
      </c>
      <c r="I21" s="12"/>
      <c r="J21" s="12">
        <f t="shared" ref="J21:J27" si="9">SUM(B21:I21)</f>
        <v>13049</v>
      </c>
      <c r="K21" s="12"/>
      <c r="L21" t="str">
        <f>$A$8</f>
        <v>Rutherford</v>
      </c>
      <c r="M21" s="12">
        <f t="shared" si="5"/>
        <v>108</v>
      </c>
      <c r="N21" s="12">
        <f t="shared" ref="N21:R25" si="10">N8</f>
        <v>12297</v>
      </c>
      <c r="O21" s="12">
        <f t="shared" si="10"/>
        <v>0</v>
      </c>
      <c r="P21" s="12">
        <f t="shared" si="10"/>
        <v>0</v>
      </c>
      <c r="Q21" s="12">
        <f t="shared" si="10"/>
        <v>597</v>
      </c>
      <c r="R21" s="12">
        <f t="shared" si="10"/>
        <v>2</v>
      </c>
      <c r="S21" s="12">
        <f t="shared" ref="S21" si="11">S8</f>
        <v>45</v>
      </c>
      <c r="T21" s="12"/>
      <c r="U21" s="12">
        <f t="shared" ref="U21:U26" si="12">U8</f>
        <v>13049</v>
      </c>
    </row>
    <row r="22" spans="1:32" x14ac:dyDescent="0.25">
      <c r="A22" t="str">
        <f>$A$9</f>
        <v>Sumner</v>
      </c>
      <c r="B22" s="12">
        <f t="shared" si="7"/>
        <v>0</v>
      </c>
      <c r="C22" s="12">
        <f t="shared" si="7"/>
        <v>0</v>
      </c>
      <c r="D22" s="12">
        <f t="shared" si="7"/>
        <v>5219.8052259673386</v>
      </c>
      <c r="E22" s="12">
        <f t="shared" si="7"/>
        <v>551.43805710285858</v>
      </c>
      <c r="F22" s="12">
        <f t="shared" si="7"/>
        <v>2320.7567169298027</v>
      </c>
      <c r="G22" s="12">
        <f t="shared" si="7"/>
        <v>0</v>
      </c>
      <c r="H22" s="12">
        <f t="shared" si="8"/>
        <v>0</v>
      </c>
      <c r="I22" s="12"/>
      <c r="J22" s="12">
        <f t="shared" si="9"/>
        <v>8092</v>
      </c>
      <c r="K22" s="13"/>
      <c r="L22" t="str">
        <f>$A$9</f>
        <v>Sumner</v>
      </c>
      <c r="M22" s="12">
        <f t="shared" si="5"/>
        <v>0</v>
      </c>
      <c r="N22" s="12">
        <f t="shared" si="10"/>
        <v>0</v>
      </c>
      <c r="O22" s="12">
        <f t="shared" si="10"/>
        <v>6237</v>
      </c>
      <c r="P22" s="12">
        <f t="shared" si="10"/>
        <v>498</v>
      </c>
      <c r="Q22" s="12">
        <f t="shared" si="10"/>
        <v>1313</v>
      </c>
      <c r="R22" s="12">
        <f t="shared" si="10"/>
        <v>0</v>
      </c>
      <c r="S22" s="12">
        <f t="shared" ref="S22" si="13">S9</f>
        <v>44</v>
      </c>
      <c r="T22" s="12"/>
      <c r="U22" s="12">
        <f t="shared" si="12"/>
        <v>8092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0</v>
      </c>
      <c r="D23" s="12">
        <f t="shared" si="7"/>
        <v>147.19857128862978</v>
      </c>
      <c r="E23" s="12">
        <f t="shared" si="7"/>
        <v>2588.6321625568412</v>
      </c>
      <c r="F23" s="12">
        <f t="shared" si="7"/>
        <v>502.16926615452888</v>
      </c>
      <c r="G23" s="12">
        <f t="shared" si="7"/>
        <v>0</v>
      </c>
      <c r="H23" s="12">
        <f t="shared" si="8"/>
        <v>0</v>
      </c>
      <c r="I23" s="12"/>
      <c r="J23" s="12">
        <f>SUM(B23:I23)</f>
        <v>3238</v>
      </c>
      <c r="K23" s="13"/>
      <c r="L23" t="str">
        <f>$A$10</f>
        <v>Roberston</v>
      </c>
      <c r="M23" s="12">
        <f t="shared" si="5"/>
        <v>0</v>
      </c>
      <c r="N23" s="12">
        <f t="shared" si="10"/>
        <v>0</v>
      </c>
      <c r="O23" s="12">
        <f t="shared" si="10"/>
        <v>210</v>
      </c>
      <c r="P23" s="12">
        <f t="shared" si="10"/>
        <v>2713</v>
      </c>
      <c r="Q23" s="12">
        <f t="shared" si="10"/>
        <v>315</v>
      </c>
      <c r="R23" s="12">
        <f t="shared" si="10"/>
        <v>0</v>
      </c>
      <c r="S23" s="12">
        <f t="shared" ref="S23" si="14">S10</f>
        <v>0</v>
      </c>
      <c r="T23" s="12"/>
      <c r="U23" s="12">
        <f t="shared" si="12"/>
        <v>3238</v>
      </c>
    </row>
    <row r="24" spans="1:32" x14ac:dyDescent="0.25">
      <c r="A24" t="str">
        <f>$A$11</f>
        <v>Davidson</v>
      </c>
      <c r="B24" s="12">
        <f t="shared" si="7"/>
        <v>655.00265152508211</v>
      </c>
      <c r="C24" s="12">
        <f t="shared" si="7"/>
        <v>212.3766730139651</v>
      </c>
      <c r="D24" s="12">
        <f t="shared" si="7"/>
        <v>650.18963332803094</v>
      </c>
      <c r="E24" s="12">
        <f t="shared" si="7"/>
        <v>0</v>
      </c>
      <c r="F24" s="12">
        <f t="shared" si="7"/>
        <v>31195.717019545133</v>
      </c>
      <c r="G24" s="12">
        <f t="shared" si="7"/>
        <v>0</v>
      </c>
      <c r="H24" s="12">
        <f t="shared" si="8"/>
        <v>1578.7140225877868</v>
      </c>
      <c r="I24" s="12"/>
      <c r="J24" s="12">
        <f t="shared" si="9"/>
        <v>34292</v>
      </c>
      <c r="K24" s="13"/>
      <c r="L24" t="str">
        <f>$A$11</f>
        <v>Davidson</v>
      </c>
      <c r="M24" s="12">
        <f t="shared" si="5"/>
        <v>1350</v>
      </c>
      <c r="N24" s="12">
        <f t="shared" si="10"/>
        <v>520</v>
      </c>
      <c r="O24" s="12">
        <f t="shared" si="10"/>
        <v>314</v>
      </c>
      <c r="P24" s="12">
        <f t="shared" si="10"/>
        <v>63</v>
      </c>
      <c r="Q24" s="12">
        <f t="shared" si="10"/>
        <v>31711</v>
      </c>
      <c r="R24" s="12">
        <f t="shared" si="10"/>
        <v>0</v>
      </c>
      <c r="S24" s="12">
        <f t="shared" ref="S24" si="15">S11</f>
        <v>334</v>
      </c>
      <c r="T24" s="12"/>
      <c r="U24" s="12">
        <f t="shared" si="12"/>
        <v>34292</v>
      </c>
    </row>
    <row r="25" spans="1:32" x14ac:dyDescent="0.25">
      <c r="A25" t="str">
        <f>$A$12</f>
        <v>Maury</v>
      </c>
      <c r="B25" s="12">
        <f t="shared" si="7"/>
        <v>1727.4684104840546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0</v>
      </c>
      <c r="G25" s="12">
        <f t="shared" si="7"/>
        <v>2574.5315895159456</v>
      </c>
      <c r="H25" s="12">
        <f t="shared" si="8"/>
        <v>0</v>
      </c>
      <c r="I25" s="12"/>
      <c r="J25" s="12">
        <f t="shared" si="9"/>
        <v>4302</v>
      </c>
      <c r="K25" s="13"/>
      <c r="L25" t="str">
        <f>$A$12</f>
        <v>Maury</v>
      </c>
      <c r="M25" s="12">
        <f t="shared" si="5"/>
        <v>237</v>
      </c>
      <c r="N25" s="12">
        <f t="shared" si="10"/>
        <v>4</v>
      </c>
      <c r="O25" s="12">
        <f t="shared" si="10"/>
        <v>0</v>
      </c>
      <c r="P25" s="12">
        <f t="shared" si="10"/>
        <v>0</v>
      </c>
      <c r="Q25" s="12">
        <f t="shared" si="10"/>
        <v>0</v>
      </c>
      <c r="R25" s="12">
        <f t="shared" si="10"/>
        <v>4061</v>
      </c>
      <c r="S25" s="12">
        <f t="shared" ref="S25:S26" si="16">S12</f>
        <v>0</v>
      </c>
      <c r="T25" s="12"/>
      <c r="U25" s="12">
        <f t="shared" si="12"/>
        <v>4302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14.506335771627425</v>
      </c>
      <c r="D26" s="12">
        <f t="shared" si="17"/>
        <v>100.30003805671623</v>
      </c>
      <c r="E26" s="12">
        <f t="shared" si="17"/>
        <v>0</v>
      </c>
      <c r="F26" s="12">
        <f t="shared" si="17"/>
        <v>1459.8081474494795</v>
      </c>
      <c r="G26" s="12">
        <f t="shared" si="17"/>
        <v>0</v>
      </c>
      <c r="H26" s="12">
        <f t="shared" si="8"/>
        <v>4160.3854787221762</v>
      </c>
      <c r="I26" s="12"/>
      <c r="J26" s="12">
        <f t="shared" si="9"/>
        <v>5734.9999999999991</v>
      </c>
      <c r="K26" s="13"/>
      <c r="L26" t="str">
        <f>$A$13</f>
        <v>Wilson</v>
      </c>
      <c r="M26" s="12">
        <f t="shared" si="5"/>
        <v>4</v>
      </c>
      <c r="N26" s="12">
        <f t="shared" ref="N26:R26" si="18">N13</f>
        <v>142</v>
      </c>
      <c r="O26" s="12">
        <f t="shared" si="18"/>
        <v>133</v>
      </c>
      <c r="P26" s="12">
        <f t="shared" si="18"/>
        <v>0</v>
      </c>
      <c r="Q26" s="12">
        <f t="shared" si="18"/>
        <v>1338</v>
      </c>
      <c r="R26" s="12">
        <f t="shared" si="18"/>
        <v>0</v>
      </c>
      <c r="S26" s="12">
        <f t="shared" si="16"/>
        <v>4118</v>
      </c>
      <c r="T26" s="12"/>
      <c r="U26" s="12">
        <f t="shared" si="12"/>
        <v>5735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9205.0910761748491</v>
      </c>
      <c r="C28" s="15">
        <f t="shared" si="19"/>
        <v>13184.666924144389</v>
      </c>
      <c r="D28" s="15">
        <f t="shared" si="19"/>
        <v>6117.4934686407159</v>
      </c>
      <c r="E28" s="15">
        <f t="shared" si="19"/>
        <v>3140.0702196596999</v>
      </c>
      <c r="F28" s="15">
        <f t="shared" si="19"/>
        <v>37481.863374623041</v>
      </c>
      <c r="G28" s="15">
        <f t="shared" si="19"/>
        <v>3027.71543544734</v>
      </c>
      <c r="H28" s="15">
        <f t="shared" si="19"/>
        <v>5739.0995013099628</v>
      </c>
      <c r="I28" s="15">
        <f t="shared" si="19"/>
        <v>0</v>
      </c>
      <c r="J28" s="15">
        <f t="shared" si="19"/>
        <v>77896</v>
      </c>
      <c r="K28" s="12"/>
      <c r="L28" s="15" t="s">
        <v>4</v>
      </c>
      <c r="M28" s="15">
        <f t="shared" ref="M28:U28" si="20">M15</f>
        <v>8643</v>
      </c>
      <c r="N28" s="15">
        <f t="shared" si="20"/>
        <v>13132</v>
      </c>
      <c r="O28" s="15">
        <f t="shared" si="20"/>
        <v>6894</v>
      </c>
      <c r="P28" s="15">
        <f t="shared" si="20"/>
        <v>3274</v>
      </c>
      <c r="Q28" s="15">
        <f t="shared" si="20"/>
        <v>36895</v>
      </c>
      <c r="R28" s="15">
        <f t="shared" si="20"/>
        <v>4517</v>
      </c>
      <c r="S28" s="15">
        <f t="shared" si="20"/>
        <v>4541</v>
      </c>
      <c r="T28" s="15"/>
      <c r="U28" s="15">
        <f t="shared" si="20"/>
        <v>77896</v>
      </c>
    </row>
    <row r="31" spans="1:32" ht="15.75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8.7586269053169769E-2</v>
      </c>
      <c r="C33" s="16">
        <f t="shared" si="21"/>
        <v>0</v>
      </c>
      <c r="D33" s="16">
        <f t="shared" si="21"/>
        <v>0</v>
      </c>
      <c r="E33" s="16">
        <f t="shared" si="21"/>
        <v>0</v>
      </c>
      <c r="F33" s="16">
        <f t="shared" si="21"/>
        <v>2.4548065881468795E-2</v>
      </c>
      <c r="G33" s="16">
        <f t="shared" si="21"/>
        <v>5.8178063819887332E-3</v>
      </c>
      <c r="H33" s="16">
        <f t="shared" si="21"/>
        <v>0</v>
      </c>
      <c r="I33" s="12"/>
      <c r="J33" s="16">
        <f t="shared" ref="J33:J39" si="22">J20/$J$28</f>
        <v>0.1179521413166273</v>
      </c>
      <c r="K33" s="12"/>
      <c r="L33" t="str">
        <f>$A$7</f>
        <v>Williamson</v>
      </c>
      <c r="M33" s="16">
        <f t="shared" ref="M33:S33" si="23">M20/$U$28</f>
        <v>8.9144500359453635E-2</v>
      </c>
      <c r="N33" s="16">
        <f t="shared" si="23"/>
        <v>2.1695594125500667E-3</v>
      </c>
      <c r="O33" s="16">
        <f t="shared" si="23"/>
        <v>0</v>
      </c>
      <c r="P33" s="16">
        <f t="shared" si="23"/>
        <v>0</v>
      </c>
      <c r="Q33" s="16">
        <f t="shared" si="23"/>
        <v>2.0809797678956559E-2</v>
      </c>
      <c r="R33" s="16">
        <f t="shared" si="23"/>
        <v>5.8282838656670433E-3</v>
      </c>
      <c r="S33" s="16">
        <f t="shared" si="23"/>
        <v>0</v>
      </c>
      <c r="T33" s="16"/>
      <c r="U33" s="16">
        <f t="shared" ref="U33:U39" si="24">U20/$U$28</f>
        <v>0.1179521413166273</v>
      </c>
      <c r="W33" t="str">
        <f>$A$7</f>
        <v>Williamson</v>
      </c>
      <c r="X33" s="16">
        <f t="shared" ref="X33:AD33" si="25">M33-B33</f>
        <v>1.5582313062838665E-3</v>
      </c>
      <c r="Y33" s="16">
        <f t="shared" si="25"/>
        <v>2.1695594125500667E-3</v>
      </c>
      <c r="Z33" s="16">
        <f t="shared" si="25"/>
        <v>0</v>
      </c>
      <c r="AA33" s="16">
        <f t="shared" si="25"/>
        <v>0</v>
      </c>
      <c r="AB33" s="16">
        <f t="shared" si="25"/>
        <v>-3.7382682025122356E-3</v>
      </c>
      <c r="AC33" s="16">
        <f t="shared" si="25"/>
        <v>1.0477483678310133E-5</v>
      </c>
      <c r="AD33" s="16">
        <f t="shared" si="25"/>
        <v>0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0</v>
      </c>
      <c r="C34" s="16">
        <f t="shared" si="27"/>
        <v>0.16634723112045285</v>
      </c>
      <c r="D34" s="16">
        <f t="shared" si="27"/>
        <v>0</v>
      </c>
      <c r="E34" s="16">
        <f t="shared" si="27"/>
        <v>0</v>
      </c>
      <c r="F34" s="16">
        <f t="shared" si="27"/>
        <v>1.1709983136644173E-3</v>
      </c>
      <c r="G34" s="16">
        <f t="shared" si="27"/>
        <v>0</v>
      </c>
      <c r="H34" s="16">
        <f t="shared" ref="H34:H39" si="28">H21/$J$28</f>
        <v>0</v>
      </c>
      <c r="I34" s="12"/>
      <c r="J34" s="16">
        <f t="shared" si="22"/>
        <v>0.16751822943411729</v>
      </c>
      <c r="K34" s="12"/>
      <c r="L34" t="str">
        <f>$A$8</f>
        <v>Rutherford</v>
      </c>
      <c r="M34" s="16">
        <f t="shared" ref="M34:R38" si="29">M21/$U$28</f>
        <v>1.3864640032864332E-3</v>
      </c>
      <c r="N34" s="16">
        <f t="shared" si="29"/>
        <v>0.15786433192975249</v>
      </c>
      <c r="O34" s="16">
        <f t="shared" si="29"/>
        <v>0</v>
      </c>
      <c r="P34" s="16">
        <f t="shared" si="29"/>
        <v>0</v>
      </c>
      <c r="Q34" s="16">
        <f t="shared" si="29"/>
        <v>7.6640649070555617E-3</v>
      </c>
      <c r="R34" s="16">
        <f t="shared" si="29"/>
        <v>2.5675259320119134E-5</v>
      </c>
      <c r="S34" s="16">
        <f t="shared" ref="S34:S39" si="30">S21/$U$28</f>
        <v>5.776933347026805E-4</v>
      </c>
      <c r="T34" s="16"/>
      <c r="U34" s="16">
        <f t="shared" si="24"/>
        <v>0.16751822943411729</v>
      </c>
      <c r="W34" t="str">
        <f>$A$8</f>
        <v>Rutherford</v>
      </c>
      <c r="X34" s="16">
        <f t="shared" ref="X34:X39" si="31">M34-B34</f>
        <v>1.3864640032864332E-3</v>
      </c>
      <c r="Y34" s="16">
        <f t="shared" ref="Y34:AC38" si="32">N34-C34</f>
        <v>-8.4828991907003604E-3</v>
      </c>
      <c r="Z34" s="16">
        <f t="shared" si="32"/>
        <v>0</v>
      </c>
      <c r="AA34" s="16">
        <f t="shared" si="32"/>
        <v>0</v>
      </c>
      <c r="AB34" s="16">
        <f t="shared" si="32"/>
        <v>6.493066593391144E-3</v>
      </c>
      <c r="AC34" s="16">
        <f t="shared" si="32"/>
        <v>2.5675259320119134E-5</v>
      </c>
      <c r="AD34" s="16">
        <f t="shared" ref="AD34:AD39" si="33">S34-H34</f>
        <v>5.776933347026805E-4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0</v>
      </c>
      <c r="C35" s="16">
        <f t="shared" si="27"/>
        <v>0</v>
      </c>
      <c r="D35" s="16">
        <f t="shared" si="27"/>
        <v>6.7009926388612237E-2</v>
      </c>
      <c r="E35" s="16">
        <f t="shared" si="27"/>
        <v>7.0791575575492784E-3</v>
      </c>
      <c r="F35" s="16">
        <f t="shared" si="27"/>
        <v>2.9793015263040498E-2</v>
      </c>
      <c r="G35" s="16">
        <f t="shared" si="27"/>
        <v>0</v>
      </c>
      <c r="H35" s="16">
        <f t="shared" si="28"/>
        <v>0</v>
      </c>
      <c r="I35" s="12"/>
      <c r="J35" s="16">
        <f t="shared" si="22"/>
        <v>0.10388209920920201</v>
      </c>
      <c r="K35" s="13"/>
      <c r="L35" t="str">
        <f>$A$9</f>
        <v>Sumner</v>
      </c>
      <c r="M35" s="16">
        <f t="shared" si="29"/>
        <v>0</v>
      </c>
      <c r="N35" s="16">
        <f t="shared" si="29"/>
        <v>0</v>
      </c>
      <c r="O35" s="16">
        <f t="shared" si="29"/>
        <v>8.0068296189791513E-2</v>
      </c>
      <c r="P35" s="16">
        <f t="shared" si="29"/>
        <v>6.3931395707096644E-3</v>
      </c>
      <c r="Q35" s="16">
        <f t="shared" si="29"/>
        <v>1.6855807743658212E-2</v>
      </c>
      <c r="R35" s="16">
        <f t="shared" si="29"/>
        <v>0</v>
      </c>
      <c r="S35" s="16">
        <f t="shared" si="30"/>
        <v>5.6485570504262092E-4</v>
      </c>
      <c r="T35" s="16"/>
      <c r="U35" s="16">
        <f t="shared" si="24"/>
        <v>0.10388209920920201</v>
      </c>
      <c r="W35" t="str">
        <f>$A$9</f>
        <v>Sumner</v>
      </c>
      <c r="X35" s="16">
        <f t="shared" si="31"/>
        <v>0</v>
      </c>
      <c r="Y35" s="16">
        <f t="shared" si="32"/>
        <v>0</v>
      </c>
      <c r="Z35" s="16">
        <f t="shared" si="32"/>
        <v>1.3058369801179276E-2</v>
      </c>
      <c r="AA35" s="16">
        <f t="shared" si="32"/>
        <v>-6.8601798683961407E-4</v>
      </c>
      <c r="AB35" s="16">
        <f t="shared" si="32"/>
        <v>-1.2937207519382286E-2</v>
      </c>
      <c r="AC35" s="16">
        <f t="shared" si="32"/>
        <v>0</v>
      </c>
      <c r="AD35" s="16">
        <f t="shared" si="33"/>
        <v>5.6485570504262092E-4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0</v>
      </c>
      <c r="C36" s="16">
        <f t="shared" si="27"/>
        <v>0</v>
      </c>
      <c r="D36" s="16">
        <f t="shared" si="27"/>
        <v>1.8896807446933063E-3</v>
      </c>
      <c r="E36" s="16">
        <f t="shared" si="27"/>
        <v>3.323190102902384E-2</v>
      </c>
      <c r="F36" s="16">
        <f t="shared" si="27"/>
        <v>6.4466630655557267E-3</v>
      </c>
      <c r="G36" s="16">
        <f t="shared" si="27"/>
        <v>0</v>
      </c>
      <c r="H36" s="16">
        <f t="shared" si="28"/>
        <v>0</v>
      </c>
      <c r="I36" s="12"/>
      <c r="J36" s="16">
        <f t="shared" si="22"/>
        <v>4.1568244839272878E-2</v>
      </c>
      <c r="K36" s="13"/>
      <c r="L36" t="str">
        <f>$A$10</f>
        <v>Roberston</v>
      </c>
      <c r="M36" s="16">
        <f t="shared" si="29"/>
        <v>0</v>
      </c>
      <c r="N36" s="16">
        <f t="shared" si="29"/>
        <v>0</v>
      </c>
      <c r="O36" s="16">
        <f t="shared" si="29"/>
        <v>2.6959022286125092E-3</v>
      </c>
      <c r="P36" s="16">
        <f t="shared" si="29"/>
        <v>3.4828489267741604E-2</v>
      </c>
      <c r="Q36" s="16">
        <f t="shared" si="29"/>
        <v>4.0438533429187637E-3</v>
      </c>
      <c r="R36" s="16">
        <f t="shared" si="29"/>
        <v>0</v>
      </c>
      <c r="S36" s="16">
        <f t="shared" si="30"/>
        <v>0</v>
      </c>
      <c r="T36" s="16"/>
      <c r="U36" s="16">
        <f t="shared" si="24"/>
        <v>4.1568244839272878E-2</v>
      </c>
      <c r="W36" t="str">
        <f>$A$10</f>
        <v>Roberston</v>
      </c>
      <c r="X36" s="16">
        <f t="shared" si="31"/>
        <v>0</v>
      </c>
      <c r="Y36" s="16">
        <f t="shared" si="32"/>
        <v>0</v>
      </c>
      <c r="Z36" s="16">
        <f t="shared" si="32"/>
        <v>8.0622148391920286E-4</v>
      </c>
      <c r="AA36" s="16">
        <f t="shared" si="32"/>
        <v>1.5965882387177638E-3</v>
      </c>
      <c r="AB36" s="16">
        <f t="shared" si="32"/>
        <v>-2.402809722636963E-3</v>
      </c>
      <c r="AC36" s="16">
        <f t="shared" si="32"/>
        <v>0</v>
      </c>
      <c r="AD36" s="16">
        <f t="shared" si="33"/>
        <v>0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8.4086814666360539E-3</v>
      </c>
      <c r="C37" s="16">
        <f t="shared" si="27"/>
        <v>2.7264130765888507E-3</v>
      </c>
      <c r="D37" s="16">
        <f t="shared" si="27"/>
        <v>8.3468937214751845E-3</v>
      </c>
      <c r="E37" s="16">
        <f t="shared" si="27"/>
        <v>0</v>
      </c>
      <c r="F37" s="16">
        <f t="shared" si="27"/>
        <v>0.40047906207693762</v>
      </c>
      <c r="G37" s="16">
        <f t="shared" si="27"/>
        <v>0</v>
      </c>
      <c r="H37" s="16">
        <f t="shared" si="28"/>
        <v>2.0266945961124921E-2</v>
      </c>
      <c r="I37" s="12"/>
      <c r="J37" s="16">
        <f t="shared" si="22"/>
        <v>0.44022799630276266</v>
      </c>
      <c r="K37" s="13"/>
      <c r="L37" t="str">
        <f>$A$11</f>
        <v>Davidson</v>
      </c>
      <c r="M37" s="16">
        <f t="shared" si="29"/>
        <v>1.7330800041080414E-2</v>
      </c>
      <c r="N37" s="16">
        <f t="shared" si="29"/>
        <v>6.6755674232309749E-3</v>
      </c>
      <c r="O37" s="16">
        <f t="shared" si="29"/>
        <v>4.0310157132587036E-3</v>
      </c>
      <c r="P37" s="16">
        <f t="shared" si="29"/>
        <v>8.087706685837527E-4</v>
      </c>
      <c r="Q37" s="16">
        <f t="shared" si="29"/>
        <v>0.40709407415014892</v>
      </c>
      <c r="R37" s="16">
        <f t="shared" si="29"/>
        <v>0</v>
      </c>
      <c r="S37" s="16">
        <f t="shared" si="30"/>
        <v>4.2877683064598956E-3</v>
      </c>
      <c r="T37" s="16"/>
      <c r="U37" s="16">
        <f t="shared" si="24"/>
        <v>0.44022799630276266</v>
      </c>
      <c r="W37" t="str">
        <f>$A$11</f>
        <v>Davidson</v>
      </c>
      <c r="X37" s="16">
        <f t="shared" si="31"/>
        <v>8.9221185744443599E-3</v>
      </c>
      <c r="Y37" s="16">
        <f t="shared" si="32"/>
        <v>3.9491543466421246E-3</v>
      </c>
      <c r="Z37" s="16">
        <f t="shared" si="32"/>
        <v>-4.3158780082164809E-3</v>
      </c>
      <c r="AA37" s="16">
        <f t="shared" si="32"/>
        <v>8.087706685837527E-4</v>
      </c>
      <c r="AB37" s="16">
        <f t="shared" si="32"/>
        <v>6.6150120732113016E-3</v>
      </c>
      <c r="AC37" s="16">
        <f t="shared" si="32"/>
        <v>0</v>
      </c>
      <c r="AD37" s="16">
        <f t="shared" si="33"/>
        <v>-1.5979177654665024E-2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2.2176599703246053E-2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0</v>
      </c>
      <c r="G38" s="16">
        <f t="shared" si="27"/>
        <v>3.3050883094330206E-2</v>
      </c>
      <c r="H38" s="16">
        <f t="shared" si="28"/>
        <v>0</v>
      </c>
      <c r="I38" s="12"/>
      <c r="J38" s="16">
        <f t="shared" si="22"/>
        <v>5.5227482797576256E-2</v>
      </c>
      <c r="K38" s="13"/>
      <c r="L38" t="str">
        <f>$A$12</f>
        <v>Maury</v>
      </c>
      <c r="M38" s="16">
        <f t="shared" si="29"/>
        <v>3.0425182294341172E-3</v>
      </c>
      <c r="N38" s="16">
        <f t="shared" si="29"/>
        <v>5.1350518640238268E-5</v>
      </c>
      <c r="O38" s="16">
        <f t="shared" si="29"/>
        <v>0</v>
      </c>
      <c r="P38" s="16">
        <f t="shared" si="29"/>
        <v>0</v>
      </c>
      <c r="Q38" s="16">
        <f t="shared" si="29"/>
        <v>0</v>
      </c>
      <c r="R38" s="16">
        <f t="shared" si="29"/>
        <v>5.2133614049501897E-2</v>
      </c>
      <c r="S38" s="16">
        <f t="shared" si="30"/>
        <v>0</v>
      </c>
      <c r="T38" s="16"/>
      <c r="U38" s="16">
        <f t="shared" si="24"/>
        <v>5.5227482797576256E-2</v>
      </c>
      <c r="W38" t="str">
        <f>$A$12</f>
        <v>Maury</v>
      </c>
      <c r="X38" s="16">
        <f t="shared" si="31"/>
        <v>-1.9134081473811935E-2</v>
      </c>
      <c r="Y38" s="16">
        <f t="shared" si="32"/>
        <v>5.1350518640238268E-5</v>
      </c>
      <c r="Z38" s="16">
        <f t="shared" si="32"/>
        <v>0</v>
      </c>
      <c r="AA38" s="16">
        <f t="shared" si="32"/>
        <v>0</v>
      </c>
      <c r="AB38" s="16">
        <f t="shared" si="32"/>
        <v>0</v>
      </c>
      <c r="AC38" s="16">
        <f t="shared" si="32"/>
        <v>1.9082730955171691E-2</v>
      </c>
      <c r="AD38" s="16">
        <f t="shared" si="33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0</v>
      </c>
      <c r="C39" s="16">
        <f t="shared" ref="C39:G39" si="34">C26/$J$28</f>
        <v>1.8622696636062732E-4</v>
      </c>
      <c r="D39" s="16">
        <f t="shared" si="34"/>
        <v>1.2876147434620036E-3</v>
      </c>
      <c r="E39" s="16">
        <f t="shared" si="34"/>
        <v>0</v>
      </c>
      <c r="F39" s="16">
        <f t="shared" si="34"/>
        <v>1.8740476371694046E-2</v>
      </c>
      <c r="G39" s="16">
        <f t="shared" si="34"/>
        <v>0</v>
      </c>
      <c r="H39" s="16">
        <f t="shared" si="28"/>
        <v>5.3409488018924929E-2</v>
      </c>
      <c r="I39" s="12"/>
      <c r="J39" s="16">
        <f t="shared" si="22"/>
        <v>7.3623806100441599E-2</v>
      </c>
      <c r="K39" s="13"/>
      <c r="L39" t="str">
        <f>$A$13</f>
        <v>Wilson</v>
      </c>
      <c r="M39" s="16">
        <f>M26/$U$28</f>
        <v>5.1350518640238268E-5</v>
      </c>
      <c r="N39" s="16">
        <f t="shared" ref="N39:R39" si="35">N26/$U$28</f>
        <v>1.8229434117284584E-3</v>
      </c>
      <c r="O39" s="16">
        <f t="shared" si="35"/>
        <v>1.7074047447879223E-3</v>
      </c>
      <c r="P39" s="16">
        <f t="shared" si="35"/>
        <v>0</v>
      </c>
      <c r="Q39" s="16">
        <f t="shared" si="35"/>
        <v>1.7176748485159699E-2</v>
      </c>
      <c r="R39" s="16">
        <f t="shared" si="35"/>
        <v>0</v>
      </c>
      <c r="S39" s="16">
        <f t="shared" si="30"/>
        <v>5.2865358940125298E-2</v>
      </c>
      <c r="T39" s="16"/>
      <c r="U39" s="16">
        <f t="shared" si="24"/>
        <v>7.3623806100441613E-2</v>
      </c>
      <c r="W39" t="str">
        <f>$A$13</f>
        <v>Wilson</v>
      </c>
      <c r="X39" s="16">
        <f t="shared" si="31"/>
        <v>5.1350518640238268E-5</v>
      </c>
      <c r="Y39" s="16">
        <f t="shared" ref="Y39" si="36">N39-C39</f>
        <v>1.636716445367831E-3</v>
      </c>
      <c r="Z39" s="16">
        <f t="shared" ref="Z39" si="37">O39-D39</f>
        <v>4.1979000132591872E-4</v>
      </c>
      <c r="AA39" s="16">
        <f t="shared" ref="AA39" si="38">P39-E39</f>
        <v>0</v>
      </c>
      <c r="AB39" s="16">
        <f t="shared" ref="AB39" si="39">Q39-F39</f>
        <v>-1.5637278865343468E-3</v>
      </c>
      <c r="AC39" s="16">
        <f t="shared" ref="AC39" si="40">R39-G39</f>
        <v>0</v>
      </c>
      <c r="AD39" s="16">
        <f t="shared" si="33"/>
        <v>-5.4412907879963085E-4</v>
      </c>
      <c r="AE39" s="16"/>
      <c r="AF39" s="16">
        <f t="shared" si="26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0.11817155022305188</v>
      </c>
      <c r="C41" s="18">
        <f t="shared" si="41"/>
        <v>0.16925987116340235</v>
      </c>
      <c r="D41" s="18">
        <f t="shared" si="41"/>
        <v>7.8534115598242735E-2</v>
      </c>
      <c r="E41" s="18">
        <f t="shared" si="41"/>
        <v>4.031105858657312E-2</v>
      </c>
      <c r="F41" s="18">
        <f t="shared" si="41"/>
        <v>0.48117828097236109</v>
      </c>
      <c r="G41" s="18">
        <f t="shared" si="41"/>
        <v>3.8868689476318941E-2</v>
      </c>
      <c r="H41" s="18">
        <f t="shared" si="41"/>
        <v>7.3676433980049846E-2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0.11095563315189483</v>
      </c>
      <c r="N41" s="18">
        <f>N28/$U$28</f>
        <v>0.16858375269590223</v>
      </c>
      <c r="O41" s="18">
        <f>O28/$U$28</f>
        <v>8.8502618876450653E-2</v>
      </c>
      <c r="P41" s="18">
        <f>P28/$U$28</f>
        <v>4.2030399507035021E-2</v>
      </c>
      <c r="Q41" s="18">
        <f t="shared" ref="Q41:S41" si="42">Q28/$U$28</f>
        <v>0.4736443463078977</v>
      </c>
      <c r="R41" s="18">
        <f t="shared" si="42"/>
        <v>5.7987573174489063E-2</v>
      </c>
      <c r="S41" s="18">
        <f t="shared" si="42"/>
        <v>5.8295676286330492E-2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-7.2159170711570547E-3</v>
      </c>
      <c r="Y41" s="18">
        <f t="shared" si="43"/>
        <v>-6.7611846750012528E-4</v>
      </c>
      <c r="Z41" s="18">
        <f t="shared" si="43"/>
        <v>9.9685032782079186E-3</v>
      </c>
      <c r="AA41" s="18">
        <f t="shared" si="43"/>
        <v>1.7193409204619009E-3</v>
      </c>
      <c r="AB41" s="18">
        <f t="shared" si="43"/>
        <v>-7.5339346644633931E-3</v>
      </c>
      <c r="AC41" s="18">
        <f t="shared" si="43"/>
        <v>1.9118883698170122E-2</v>
      </c>
      <c r="AD41" s="18">
        <f t="shared" si="43"/>
        <v>-1.5380757693719355E-2</v>
      </c>
      <c r="AE41" s="18"/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2015-04-23T04:39:44Z</dcterms:modified>
</cp:coreProperties>
</file>